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adly\Data-GPT\Data-GPT\new Desktop\"/>
    </mc:Choice>
  </mc:AlternateContent>
  <xr:revisionPtr revIDLastSave="0" documentId="8_{1CD572DE-3A20-434E-9D17-8A95F18B58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mit" sheetId="1" r:id="rId1"/>
    <sheet name="Data" sheetId="3" r:id="rId2"/>
  </sheets>
  <definedNames>
    <definedName name="_xlnm._FilterDatabase" localSheetId="1" hidden="1">Data!$A$1:$W$231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1" l="1"/>
  <c r="L41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10" i="1"/>
  <c r="L13" i="1"/>
  <c r="L15" i="1"/>
  <c r="L16" i="1"/>
  <c r="L17" i="1"/>
  <c r="L18" i="1"/>
  <c r="L20" i="1"/>
  <c r="L23" i="1"/>
  <c r="L24" i="1"/>
  <c r="L29" i="1"/>
  <c r="L30" i="1"/>
  <c r="L31" i="1"/>
  <c r="L32" i="1"/>
  <c r="L33" i="1"/>
  <c r="L34" i="1"/>
  <c r="L37" i="1"/>
  <c r="L38" i="1"/>
  <c r="L39" i="1"/>
  <c r="L40" i="1"/>
  <c r="L42" i="1"/>
  <c r="L43" i="1"/>
  <c r="L44" i="1"/>
  <c r="L45" i="1"/>
  <c r="L12" i="1"/>
  <c r="F3" i="1" l="1"/>
  <c r="F4" i="1"/>
  <c r="G4" i="1" s="1"/>
  <c r="L25" i="1"/>
  <c r="L26" i="1"/>
  <c r="L19" i="1"/>
  <c r="L36" i="1"/>
  <c r="L21" i="1"/>
  <c r="L22" i="1"/>
  <c r="L35" i="1"/>
  <c r="L27" i="1"/>
  <c r="L28" i="1"/>
  <c r="F5" i="1"/>
  <c r="G5" i="1" s="1"/>
  <c r="G3" i="1"/>
  <c r="K4" i="1" l="1"/>
  <c r="K5" i="1"/>
  <c r="L5" i="1" s="1"/>
  <c r="L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Ahmed Reda</author>
    <author>AbdElSatar Mohamed-Rashed, Vodafone</author>
    <author>Amr Saad-Aly, Vodafone</author>
  </authors>
  <commentList>
    <comment ref="K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Insert Date Here</t>
        </r>
      </text>
    </comment>
    <comment ref="L1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Withdrawal less than 297 L.E</t>
        </r>
      </text>
    </comment>
    <comment ref="F2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VCN Clearance</t>
        </r>
      </text>
    </comment>
    <comment ref="F2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VCN Clearance</t>
        </r>
      </text>
    </comment>
    <comment ref="F24" authorId="2" shapeId="0" xr:uid="{6AF57DF8-E69F-4539-A2EA-D5101928DE21}">
      <text>
        <r>
          <rPr>
            <b/>
            <sz val="9"/>
            <color indexed="81"/>
            <rFont val="Tahoma"/>
            <family val="2"/>
          </rPr>
          <t>Deposit ACH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4" authorId="2" shapeId="0" xr:uid="{6A77DEBB-284E-4019-ABA1-584D746E40BD}">
      <text>
        <r>
          <rPr>
            <b/>
            <sz val="9"/>
            <color indexed="81"/>
            <rFont val="Tahoma"/>
            <family val="2"/>
          </rPr>
          <t>Deposit ACH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<sst xmlns="http://schemas.openxmlformats.org/spreadsheetml/2006/main" count="90" uniqueCount="54">
  <si>
    <t>Successful</t>
  </si>
  <si>
    <t>Mobile ATM Cash Out</t>
  </si>
  <si>
    <t>CST Consuming</t>
  </si>
  <si>
    <t>Status</t>
  </si>
  <si>
    <t>Reversed</t>
  </si>
  <si>
    <t>Mobile Purchase</t>
  </si>
  <si>
    <t>All TRX</t>
  </si>
  <si>
    <t>F</t>
  </si>
  <si>
    <t>T</t>
  </si>
  <si>
    <t>Mobile Cash Out Fees</t>
  </si>
  <si>
    <t>In</t>
  </si>
  <si>
    <t>Out</t>
  </si>
  <si>
    <t>Receive</t>
  </si>
  <si>
    <t>Cash In</t>
  </si>
  <si>
    <t>Cash Out &amp; Send</t>
  </si>
  <si>
    <t>Daily Consuming</t>
  </si>
  <si>
    <t>Daily Limit Details</t>
  </si>
  <si>
    <t>Monthly Limit Details</t>
  </si>
  <si>
    <t>P2m Send On us</t>
  </si>
  <si>
    <t>P2m Send Off us</t>
  </si>
  <si>
    <t>P2m Receive On us</t>
  </si>
  <si>
    <t>P2m Receive Off us</t>
  </si>
  <si>
    <t>Mobile Recieve Off-Us</t>
  </si>
  <si>
    <t>Mobile Cash Out Off-Us</t>
  </si>
  <si>
    <t>Mobile Cash In Off-Us</t>
  </si>
  <si>
    <t>Mobile ATM Cash Out Off us</t>
  </si>
  <si>
    <t>Mobile ATM Cash In Deposit Off us</t>
  </si>
  <si>
    <t>Deposit Receive On us</t>
  </si>
  <si>
    <t>Deposit Receive Off us</t>
  </si>
  <si>
    <t>المتبقي للعميل</t>
  </si>
  <si>
    <t>الاستخدام</t>
  </si>
  <si>
    <t>حد الاستخدام الشهري</t>
  </si>
  <si>
    <t>حد الاستخدام اليومي</t>
  </si>
  <si>
    <t>Mobile Receive</t>
  </si>
  <si>
    <t>Mobile Send</t>
  </si>
  <si>
    <t>Mobile Send Fees</t>
  </si>
  <si>
    <t>Withdrawal</t>
  </si>
  <si>
    <t>Mobile Cash In</t>
  </si>
  <si>
    <t>Mobile Send Off-Us</t>
  </si>
  <si>
    <t>Mobile Send Off-Us Fees</t>
  </si>
  <si>
    <t>Deposit IPN</t>
  </si>
  <si>
    <t>Mobile ATM Cash Out Off us Fees</t>
  </si>
  <si>
    <t>Mobile Cash Out</t>
  </si>
  <si>
    <t>Deposit</t>
  </si>
  <si>
    <t>Deposit ACH</t>
  </si>
  <si>
    <t>Mobile ATM Cash In Deposit</t>
  </si>
  <si>
    <t>P2m Send Off us Fees</t>
  </si>
  <si>
    <t>P2m Send On us Fees</t>
  </si>
  <si>
    <t>Mobile ATM Cash Out Fees</t>
  </si>
  <si>
    <t>Mobile Cash Out Off-Us Fees</t>
  </si>
  <si>
    <t>Withdrawl</t>
  </si>
  <si>
    <t>Withdrawl Fees</t>
  </si>
  <si>
    <t>Internet Purchase</t>
  </si>
  <si>
    <t>VCN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</si>
</sst>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F0000"/>
      <name val="Calibri"/>
      <family val="2"/>
    </font>
    <font>
      <b/>
      <sz val="1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gradientFill>
        <stop position="0">
          <color rgb="FFFF0000"/>
        </stop>
        <stop position="1">
          <color theme="4" tint="-0.25098422193060094"/>
        </stop>
      </gradientFill>
    </fill>
    <fill>
      <patternFill patternType="gray125">
        <bgColor rgb="FF0070C0"/>
      </pattern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4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horizontal="center" vertical="center"/>
      <protection hidden="1"/>
    </xf>
    <xf numFmtId="0" fontId="0" fillId="4" borderId="9" xfId="0" applyFill="1" applyBorder="1" applyAlignment="1" applyProtection="1">
      <alignment horizontal="center" vertical="center"/>
      <protection hidden="1"/>
    </xf>
    <xf numFmtId="0" fontId="0" fillId="4" borderId="10" xfId="0" applyFill="1" applyBorder="1" applyAlignment="1" applyProtection="1">
      <alignment horizontal="center" vertical="center"/>
      <protection hidden="1"/>
    </xf>
    <xf numFmtId="0" fontId="0" fillId="4" borderId="11" xfId="0" applyFill="1" applyBorder="1" applyAlignment="1" applyProtection="1">
      <alignment horizontal="center" vertical="center"/>
      <protection hidden="1"/>
    </xf>
    <xf numFmtId="0" fontId="9" fillId="6" borderId="5" xfId="0" applyFont="1" applyFill="1" applyBorder="1" applyAlignment="1" applyProtection="1">
      <alignment horizontal="center" vertical="center"/>
      <protection hidden="1"/>
    </xf>
    <xf numFmtId="0" fontId="9" fillId="6" borderId="12" xfId="0" applyFont="1" applyFill="1" applyBorder="1" applyAlignment="1" applyProtection="1">
      <alignment horizontal="center" vertical="center"/>
      <protection hidden="1"/>
    </xf>
    <xf numFmtId="1" fontId="0" fillId="0" borderId="5" xfId="0" applyNumberForma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64" fontId="4" fillId="3" borderId="5" xfId="0" applyNumberFormat="1" applyFont="1" applyFill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14" fontId="0" fillId="8" borderId="0" xfId="0" applyNumberFormat="1" applyFill="1" applyAlignment="1" applyProtection="1">
      <alignment horizontal="center" vertical="center"/>
      <protection hidden="1"/>
    </xf>
    <xf numFmtId="0" fontId="0" fillId="8" borderId="0" xfId="0" applyFill="1" applyProtection="1">
      <protection hidden="1"/>
    </xf>
    <xf numFmtId="0" fontId="2" fillId="8" borderId="0" xfId="0" applyFont="1" applyFill="1" applyAlignment="1" applyProtection="1">
      <alignment horizontal="center" vertic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6" fillId="8" borderId="0" xfId="0" quotePrefix="1" applyFont="1" applyFill="1" applyAlignment="1" applyProtection="1">
      <alignment horizontal="left" vertical="center"/>
      <protection hidden="1"/>
    </xf>
    <xf numFmtId="0" fontId="0" fillId="8" borderId="0" xfId="0" quotePrefix="1" applyFill="1" applyAlignment="1" applyProtection="1">
      <alignment horizontal="center" vertical="center"/>
      <protection hidden="1"/>
    </xf>
    <xf numFmtId="0" fontId="1" fillId="2" borderId="1" xfId="0" applyFont="1" applyFill="1" applyBorder="1" applyAlignment="1">
      <alignment horizontal="center" vertical="center"/>
    </xf>
    <xf numFmtId="0" fontId="0" fillId="7" borderId="5" xfId="0" applyFill="1" applyBorder="1" applyAlignment="1" applyProtection="1">
      <alignment horizontal="center" vertical="center"/>
      <protection hidden="1"/>
    </xf>
    <xf numFmtId="1" fontId="0" fillId="7" borderId="5" xfId="0" applyNumberForma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16" xfId="0" applyFont="1" applyFill="1" applyBorder="1" applyAlignment="1" applyProtection="1">
      <alignment horizontal="center" vertical="center"/>
      <protection hidden="1"/>
    </xf>
    <xf numFmtId="0" fontId="10" fillId="8" borderId="17" xfId="0" applyFont="1" applyFill="1" applyBorder="1" applyAlignment="1" applyProtection="1">
      <alignment horizontal="center" vertical="center"/>
      <protection hidden="1"/>
    </xf>
    <xf numFmtId="0" fontId="10" fillId="8" borderId="18" xfId="0" applyFont="1" applyFill="1" applyBorder="1" applyAlignment="1" applyProtection="1">
      <alignment horizontal="center" vertical="center"/>
      <protection hidden="1"/>
    </xf>
    <xf numFmtId="0" fontId="10" fillId="8" borderId="19" xfId="0" applyFont="1" applyFill="1" applyBorder="1" applyAlignment="1" applyProtection="1">
      <alignment horizontal="center" vertical="center"/>
      <protection hidden="1"/>
    </xf>
    <xf numFmtId="0" fontId="12" fillId="6" borderId="5" xfId="0" applyFont="1" applyFill="1" applyBorder="1" applyAlignment="1" applyProtection="1">
      <alignment horizontal="center" vertical="center"/>
      <protection hidden="1"/>
    </xf>
    <xf numFmtId="0" fontId="1" fillId="9" borderId="2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13" fillId="5" borderId="5" xfId="0" applyFont="1" applyFill="1" applyBorder="1" applyAlignment="1" applyProtection="1">
      <alignment horizontal="center" vertical="center"/>
      <protection hidden="1"/>
    </xf>
    <xf numFmtId="0" fontId="8" fillId="5" borderId="5" xfId="0" applyFont="1" applyFill="1" applyBorder="1" applyAlignment="1" applyProtection="1">
      <alignment horizontal="center" vertical="center"/>
      <protection hidden="1"/>
    </xf>
    <xf numFmtId="0" fontId="8" fillId="5" borderId="12" xfId="0" applyFont="1" applyFill="1" applyBorder="1" applyAlignment="1" applyProtection="1">
      <alignment horizontal="center" vertical="center"/>
      <protection hidden="1"/>
    </xf>
    <xf numFmtId="0" fontId="8" fillId="5" borderId="13" xfId="0" applyFont="1" applyFill="1" applyBorder="1" applyAlignment="1" applyProtection="1">
      <alignment horizontal="center" vertical="center"/>
      <protection hidden="1"/>
    </xf>
    <xf numFmtId="0" fontId="2" fillId="9" borderId="0" xfId="0" applyFont="1" applyFill="1" applyAlignment="1"/>
    <xf numFmtId="0" fontId="0" fillId="0" borderId="0" xfId="0" applyAlignment="1"/>
    <xf numFmtId="0" fontId="0" fillId="0" borderId="5" xfId="0" applyFill="1" applyBorder="1" applyAlignment="1" applyProtection="1">
      <alignment horizontal="center" vertical="center"/>
      <protection hidden="1"/>
    </xf>
    <xf numFmtId="0" fontId="0" fillId="0" borderId="1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28575</xdr:rowOff>
        </xdr:from>
        <xdr:to>
          <xdr:col>1</xdr:col>
          <xdr:colOff>676275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28575</xdr:rowOff>
        </xdr:from>
        <xdr:to>
          <xdr:col>2</xdr:col>
          <xdr:colOff>695325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180975</xdr:colOff>
      <xdr:row>5</xdr:row>
      <xdr:rowOff>114300</xdr:rowOff>
    </xdr:from>
    <xdr:to>
      <xdr:col>11</xdr:col>
      <xdr:colOff>428625</xdr:colOff>
      <xdr:row>8</xdr:row>
      <xdr:rowOff>19050</xdr:rowOff>
    </xdr:to>
    <xdr:sp macro="[0]!ChooseD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20175" y="1085850"/>
          <a:ext cx="1419225" cy="447675"/>
        </a:xfrm>
        <a:prstGeom prst="roundRect">
          <a:avLst>
            <a:gd name="adj" fmla="val 50000"/>
          </a:avLst>
        </a:prstGeom>
        <a:effectLst>
          <a:glow rad="228600">
            <a:srgbClr val="FF0000">
              <a:alpha val="40000"/>
            </a:srgb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12700"/>
        </a:effectLst>
        <a:scene3d>
          <a:camera prst="perspectiveFront"/>
          <a:lightRig rig="threePt" dir="t"/>
        </a:scene3d>
        <a:sp3d>
          <a:bevelT prst="angle"/>
          <a:bevelB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ar-EG" sz="1800" b="1">
              <a:ln>
                <a:solidFill>
                  <a:schemeClr val="bg1"/>
                </a:solidFill>
              </a:ln>
              <a:solidFill>
                <a:srgbClr val="FF0000"/>
              </a:solidFill>
              <a:latin typeface="Elephant" panose="02020904090505020303" pitchFamily="18" charset="0"/>
            </a:rPr>
            <a:t>ادخال التاريخ</a:t>
          </a:r>
          <a:endParaRPr lang="en-US" sz="1800" b="1">
            <a:ln>
              <a:solidFill>
                <a:schemeClr val="bg1"/>
              </a:solidFill>
            </a:ln>
            <a:solidFill>
              <a:srgbClr val="FF0000"/>
            </a:solidFill>
            <a:latin typeface="Elephant" panose="02020904090505020303" pitchFamily="18" charset="0"/>
          </a:endParaRPr>
        </a:p>
      </xdr:txBody>
    </xdr:sp>
    <xdr:clientData/>
  </xdr:twoCellAnchor>
  <xdr:oneCellAnchor>
    <xdr:from>
      <xdr:col>0</xdr:col>
      <xdr:colOff>330341</xdr:colOff>
      <xdr:row>10</xdr:row>
      <xdr:rowOff>119493</xdr:rowOff>
    </xdr:from>
    <xdr:ext cx="3384645" cy="93762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0341" y="2259817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</a:t>
          </a:r>
          <a:r>
            <a:rPr lang="en-US" sz="54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359476</xdr:colOff>
      <xdr:row>10</xdr:row>
      <xdr:rowOff>182246</xdr:rowOff>
    </xdr:from>
    <xdr:ext cx="3384645" cy="937629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9476" y="2322570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</a:t>
          </a:r>
          <a:r>
            <a:rPr lang="en-US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343786</xdr:colOff>
      <xdr:row>10</xdr:row>
      <xdr:rowOff>166557</xdr:rowOff>
    </xdr:from>
    <xdr:ext cx="3384645" cy="937629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43786" y="2306881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RTM</a:t>
          </a:r>
          <a:r>
            <a:rPr lang="en-US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 TEAM</a:t>
          </a:r>
          <a:endParaRPr lang="en-US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272068</xdr:colOff>
      <xdr:row>17</xdr:row>
      <xdr:rowOff>117252</xdr:rowOff>
    </xdr:from>
    <xdr:ext cx="3384645" cy="937629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72068" y="3747958"/>
          <a:ext cx="3384645" cy="937629"/>
        </a:xfrm>
        <a:prstGeom prst="rect">
          <a:avLst/>
        </a:prstGeom>
        <a:noFill/>
      </xdr:spPr>
      <xdr:txBody>
        <a:bodyPr wrap="none" lIns="91440" tIns="45720" rIns="91440" bIns="45720">
          <a:prstTxWarp prst="textStop">
            <a:avLst/>
          </a:prstTxWarp>
          <a:spAutoFit/>
        </a:bodyPr>
        <a:lstStyle/>
        <a:p>
          <a:pPr algn="ctr"/>
          <a:r>
            <a:rPr lang="en-US" sz="5400" b="1" u="sng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Amr Saad Aly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M46"/>
  <sheetViews>
    <sheetView showGridLines="0" tabSelected="1" zoomScale="85" zoomScaleNormal="85" workbookViewId="0">
      <selection activeCell="U26" sqref="U26"/>
    </sheetView>
  </sheetViews>
  <sheetFormatPr defaultColWidth="9.140625" defaultRowHeight="15" x14ac:dyDescent="0.25"/>
  <cols>
    <col min="1" max="1" width="19.5703125" style="17" customWidth="1"/>
    <col min="2" max="2" width="10.7109375" style="18" bestFit="1" customWidth="1"/>
    <col min="3" max="3" width="12.140625" style="18" customWidth="1"/>
    <col min="4" max="4" width="3.42578125" style="18" customWidth="1"/>
    <col min="5" max="5" width="15.85546875" style="18" bestFit="1" customWidth="1"/>
    <col min="6" max="6" width="33.7109375" style="18" bestFit="1" customWidth="1"/>
    <col min="7" max="7" width="14.5703125" style="18" bestFit="1" customWidth="1"/>
    <col min="8" max="8" width="10.28515625" style="18" bestFit="1" customWidth="1"/>
    <col min="9" max="10" width="6.140625" style="18" customWidth="1"/>
    <col min="11" max="11" width="33.7109375" style="18" bestFit="1" customWidth="1"/>
    <col min="12" max="12" width="15.85546875" style="18" bestFit="1" customWidth="1"/>
    <col min="13" max="19" width="9.140625" style="18"/>
    <col min="20" max="20" width="9.42578125" style="18" customWidth="1"/>
    <col min="21" max="16384" width="9.140625" style="18"/>
  </cols>
  <sheetData>
    <row r="1" spans="2:12" ht="20.25" thickTop="1" thickBot="1" x14ac:dyDescent="0.3">
      <c r="B1" s="6"/>
      <c r="C1" s="7"/>
      <c r="F1" s="37" t="s">
        <v>31</v>
      </c>
      <c r="G1" s="37"/>
      <c r="K1" s="37" t="s">
        <v>32</v>
      </c>
      <c r="L1" s="37"/>
    </row>
    <row r="2" spans="2:12" ht="17.25" thickTop="1" thickBot="1" x14ac:dyDescent="0.3">
      <c r="B2" s="8"/>
      <c r="C2" s="9"/>
      <c r="F2" s="34" t="s">
        <v>30</v>
      </c>
      <c r="G2" s="34" t="s">
        <v>29</v>
      </c>
      <c r="J2" s="19"/>
      <c r="K2" s="16"/>
      <c r="L2" s="16"/>
    </row>
    <row r="3" spans="2:12" ht="17.25" thickTop="1" thickBot="1" x14ac:dyDescent="0.3">
      <c r="B3" s="8"/>
      <c r="C3" s="9"/>
      <c r="E3" s="13" t="s">
        <v>12</v>
      </c>
      <c r="F3" s="14">
        <f>SUM(G19:G22)</f>
        <v>0</v>
      </c>
      <c r="G3" s="14">
        <f>200000-F3</f>
        <v>200000</v>
      </c>
      <c r="K3" s="34" t="s">
        <v>30</v>
      </c>
      <c r="L3" s="34" t="s">
        <v>29</v>
      </c>
    </row>
    <row r="4" spans="2:12" ht="16.5" thickTop="1" thickBot="1" x14ac:dyDescent="0.3">
      <c r="B4" s="10"/>
      <c r="C4" s="11"/>
      <c r="E4" s="13" t="s">
        <v>13</v>
      </c>
      <c r="F4" s="14">
        <f>SUM(G10:G18)</f>
        <v>0</v>
      </c>
      <c r="G4" s="14">
        <f>200000-F4</f>
        <v>200000</v>
      </c>
      <c r="J4" s="12" t="s">
        <v>10</v>
      </c>
      <c r="K4" s="14">
        <f>SUM(L12:L24)</f>
        <v>0</v>
      </c>
      <c r="L4" s="14">
        <f>60000-K4</f>
        <v>60000</v>
      </c>
    </row>
    <row r="5" spans="2:12" ht="16.5" thickTop="1" thickBot="1" x14ac:dyDescent="0.3">
      <c r="E5" s="13" t="s">
        <v>14</v>
      </c>
      <c r="F5" s="14">
        <f>SUM(G23,G25,G27,G29,G31,G33,G35,G37,G39,G41,G42,G43)</f>
        <v>0</v>
      </c>
      <c r="G5" s="14">
        <f>200000-$F$5</f>
        <v>200000</v>
      </c>
      <c r="J5" s="12" t="s">
        <v>11</v>
      </c>
      <c r="K5" s="14">
        <f>SUM(L25,L27,L29,L31,L33,L35,L37,L39,L41,L43,L44)</f>
        <v>0</v>
      </c>
      <c r="L5" s="15">
        <f>60000-K5</f>
        <v>60000</v>
      </c>
    </row>
    <row r="6" spans="2:12" ht="15.75" thickTop="1" x14ac:dyDescent="0.25"/>
    <row r="7" spans="2:12" ht="15.75" thickBot="1" x14ac:dyDescent="0.3">
      <c r="F7" s="20"/>
      <c r="G7" s="20"/>
    </row>
    <row r="8" spans="2:12" ht="17.25" thickTop="1" thickBot="1" x14ac:dyDescent="0.3">
      <c r="D8" s="17"/>
      <c r="E8" s="21"/>
      <c r="F8" s="38" t="s">
        <v>17</v>
      </c>
      <c r="G8" s="38"/>
    </row>
    <row r="9" spans="2:12" ht="16.5" thickTop="1" thickBot="1" x14ac:dyDescent="0.3">
      <c r="D9" s="17"/>
      <c r="E9" s="21"/>
      <c r="F9" s="12" t="s">
        <v>6</v>
      </c>
      <c r="G9" s="12" t="s">
        <v>2</v>
      </c>
    </row>
    <row r="10" spans="2:12" ht="17.25" thickTop="1" thickBot="1" x14ac:dyDescent="0.3">
      <c r="D10" s="17"/>
      <c r="E10" s="21"/>
      <c r="F10" s="43" t="s">
        <v>43</v>
      </c>
      <c r="G10" s="27">
        <f>SUMIFS(Data!E:E,Data!D:D,$F10,Data!T:T,"F",Data!L:L,"Successful")</f>
        <v>0</v>
      </c>
      <c r="K10" s="39" t="s">
        <v>16</v>
      </c>
      <c r="L10" s="40"/>
    </row>
    <row r="11" spans="2:12" ht="16.5" thickTop="1" thickBot="1" x14ac:dyDescent="0.3">
      <c r="C11" s="17"/>
      <c r="D11" s="17"/>
      <c r="E11" s="21"/>
      <c r="F11" s="43" t="s">
        <v>44</v>
      </c>
      <c r="G11" s="27">
        <f>SUMIFS(Data!E:E,Data!D:D,$F11,Data!T:T,"F",Data!L:L,"Successful")</f>
        <v>0</v>
      </c>
      <c r="K11" s="12" t="s">
        <v>6</v>
      </c>
      <c r="L11" s="12" t="s">
        <v>15</v>
      </c>
    </row>
    <row r="12" spans="2:12" ht="16.5" thickTop="1" thickBot="1" x14ac:dyDescent="0.3">
      <c r="B12" s="17"/>
      <c r="C12" s="17"/>
      <c r="D12" s="17"/>
      <c r="E12" s="21"/>
      <c r="F12" s="43" t="s">
        <v>40</v>
      </c>
      <c r="G12" s="27">
        <f>SUMIFS(Data!E:E,Data!D:D,$F12,Data!T:T,"F",Data!L:L,"Successful")</f>
        <v>0</v>
      </c>
      <c r="K12" s="26" t="s">
        <v>43</v>
      </c>
      <c r="L12" s="27">
        <f>SUMIFS(Data!$E:$E,Data!D:D,K12,Data!B:B,$K$2,Data!$T:$T,"F",Data!L:L,"Successful")</f>
        <v>0</v>
      </c>
    </row>
    <row r="13" spans="2:12" ht="16.5" thickTop="1" thickBot="1" x14ac:dyDescent="0.3">
      <c r="B13" s="17"/>
      <c r="C13" s="17"/>
      <c r="D13" s="17"/>
      <c r="E13" s="21"/>
      <c r="F13" s="43" t="s">
        <v>28</v>
      </c>
      <c r="G13" s="27">
        <f>SUMIFS(Data!E:E,Data!D:D,$F13,Data!T:T,"F",Data!L:L,"Successful")</f>
        <v>0</v>
      </c>
      <c r="K13" s="26" t="s">
        <v>44</v>
      </c>
      <c r="L13" s="27">
        <f>SUMIFS(Data!$E:$E,Data!D:D,K13,Data!B:B,$K$2,Data!$T:$T,"F",Data!L:L,"Successful")</f>
        <v>0</v>
      </c>
    </row>
    <row r="14" spans="2:12" ht="16.5" thickTop="1" thickBot="1" x14ac:dyDescent="0.3">
      <c r="B14" s="17"/>
      <c r="C14" s="17"/>
      <c r="D14" s="17"/>
      <c r="E14" s="21"/>
      <c r="F14" s="43" t="s">
        <v>27</v>
      </c>
      <c r="G14" s="27">
        <f>SUMIFS(Data!E:E,Data!D:D,$F14,Data!T:T,"F",Data!L:L,"Successful")</f>
        <v>0</v>
      </c>
      <c r="K14" s="26" t="s">
        <v>40</v>
      </c>
      <c r="L14" s="27">
        <f>SUMIFS(Data!$E:$E,Data!D:D,K14,Data!B:B,$K$2,Data!$T:$T,"F",Data!L:L,"Successful")</f>
        <v>0</v>
      </c>
    </row>
    <row r="15" spans="2:12" ht="16.5" thickTop="1" thickBot="1" x14ac:dyDescent="0.3">
      <c r="B15" s="17"/>
      <c r="C15" s="17"/>
      <c r="D15" s="17"/>
      <c r="E15" s="21"/>
      <c r="F15" s="43" t="s">
        <v>45</v>
      </c>
      <c r="G15" s="27">
        <f>SUMIFS(Data!E:E,Data!D:D,$F15,Data!T:T,"F",Data!L:L,"Successful")</f>
        <v>0</v>
      </c>
      <c r="K15" s="26" t="s">
        <v>28</v>
      </c>
      <c r="L15" s="27">
        <f>SUMIFS(Data!$E:$E,Data!D:D,K15,Data!B:B,$K$2,Data!$T:$T,"F",Data!L:L,"Successful")</f>
        <v>0</v>
      </c>
    </row>
    <row r="16" spans="2:12" ht="16.5" thickTop="1" thickBot="1" x14ac:dyDescent="0.3">
      <c r="B16" s="17"/>
      <c r="C16" s="17"/>
      <c r="D16" s="17"/>
      <c r="E16" s="21"/>
      <c r="F16" s="43" t="s">
        <v>26</v>
      </c>
      <c r="G16" s="27">
        <f>SUMIFS(Data!E:E,Data!D:D,$F16,Data!T:T,"F",Data!L:L,"Successful")</f>
        <v>0</v>
      </c>
      <c r="K16" s="26" t="s">
        <v>27</v>
      </c>
      <c r="L16" s="27">
        <f>SUMIFS(Data!$E:$E,Data!D:D,K16,Data!B:B,$K$2,Data!$T:$T,"F",Data!L:L,"Successful")</f>
        <v>0</v>
      </c>
    </row>
    <row r="17" spans="1:13" ht="16.5" thickTop="1" thickBot="1" x14ac:dyDescent="0.3">
      <c r="B17" s="17"/>
      <c r="C17" s="17"/>
      <c r="D17" s="17"/>
      <c r="E17" s="21"/>
      <c r="F17" s="43" t="s">
        <v>37</v>
      </c>
      <c r="G17" s="27">
        <f>SUMIFS(Data!E:E,Data!D:D,$F17,Data!T:T,"F",Data!L:L,"Successful")</f>
        <v>0</v>
      </c>
      <c r="K17" s="26" t="s">
        <v>45</v>
      </c>
      <c r="L17" s="27">
        <f>SUMIFS(Data!$E:$E,Data!D:D,K17,Data!B:B,$K$2,Data!$T:$T,"F",Data!L:L,"Successful")</f>
        <v>0</v>
      </c>
    </row>
    <row r="18" spans="1:13" ht="16.5" thickTop="1" thickBot="1" x14ac:dyDescent="0.3">
      <c r="B18" s="17"/>
      <c r="C18" s="17"/>
      <c r="D18" s="17"/>
      <c r="E18" s="21"/>
      <c r="F18" s="43" t="s">
        <v>24</v>
      </c>
      <c r="G18" s="27">
        <f>SUMIFS(Data!E:E,Data!D:D,$F18,Data!T:T,"F",Data!L:L,"Successful")</f>
        <v>0</v>
      </c>
      <c r="K18" s="26" t="s">
        <v>26</v>
      </c>
      <c r="L18" s="27">
        <f>SUMIFS(Data!$E:$E,Data!D:D,K18,Data!B:B,$K$2,Data!$T:$T,"F",Data!L:L,"Successful")</f>
        <v>0</v>
      </c>
    </row>
    <row r="19" spans="1:13" ht="16.5" thickTop="1" thickBot="1" x14ac:dyDescent="0.3">
      <c r="B19" s="17"/>
      <c r="C19" s="17"/>
      <c r="D19" s="17"/>
      <c r="E19" s="21"/>
      <c r="F19" s="43" t="s">
        <v>33</v>
      </c>
      <c r="G19" s="27">
        <f>SUMIFS(Data!E:E,Data!D:D,$F19,Data!T:T,"F",Data!L:L,"Successful")</f>
        <v>0</v>
      </c>
      <c r="K19" s="26" t="s">
        <v>37</v>
      </c>
      <c r="L19" s="27">
        <f>SUMIFS(Data!$E:$E,Data!D:D,K19,Data!B:B,$K$2,Data!$T:$T,"F",Data!L:L,"Successful")</f>
        <v>0</v>
      </c>
    </row>
    <row r="20" spans="1:13" ht="16.5" thickTop="1" thickBot="1" x14ac:dyDescent="0.3">
      <c r="A20" s="22"/>
      <c r="B20" s="17"/>
      <c r="C20" s="17"/>
      <c r="D20" s="17"/>
      <c r="E20" s="21"/>
      <c r="F20" s="43" t="s">
        <v>22</v>
      </c>
      <c r="G20" s="27">
        <f>SUMIFS(Data!E:E,Data!D:D,$F20,Data!T:T,"F",Data!L:L,"Successful")</f>
        <v>0</v>
      </c>
      <c r="K20" s="26" t="s">
        <v>24</v>
      </c>
      <c r="L20" s="27">
        <f>SUMIFS(Data!$E:$E,Data!D:D,K20,Data!B:B,$K$2,Data!$T:$T,"F",Data!L:L,"Successful")</f>
        <v>0</v>
      </c>
    </row>
    <row r="21" spans="1:13" ht="16.5" thickTop="1" thickBot="1" x14ac:dyDescent="0.3">
      <c r="A21" s="23"/>
      <c r="B21" s="17"/>
      <c r="C21" s="17"/>
      <c r="D21" s="17"/>
      <c r="E21" s="21"/>
      <c r="F21" s="43" t="s">
        <v>21</v>
      </c>
      <c r="G21" s="27">
        <f>SUMIFS(Data!E:E,Data!D:D,$F21,Data!T:T,"F",Data!L:L,"Successful")</f>
        <v>0</v>
      </c>
      <c r="K21" s="26" t="s">
        <v>33</v>
      </c>
      <c r="L21" s="27">
        <f>SUMIFS(Data!$E:$E,Data!D:D,K21,Data!B:B,$K$2,Data!$T:$T,"F",Data!L:L,"Successful")</f>
        <v>0</v>
      </c>
      <c r="M21" s="24"/>
    </row>
    <row r="22" spans="1:13" ht="16.5" thickTop="1" thickBot="1" x14ac:dyDescent="0.3">
      <c r="A22" s="23"/>
      <c r="B22" s="17"/>
      <c r="C22" s="17"/>
      <c r="D22" s="17"/>
      <c r="E22" s="21"/>
      <c r="F22" s="43" t="s">
        <v>20</v>
      </c>
      <c r="G22" s="27">
        <f>SUMIFS(Data!E:E,Data!D:D,$F22,Data!T:T,"F",Data!L:L,"Successful")</f>
        <v>0</v>
      </c>
      <c r="K22" s="26" t="s">
        <v>22</v>
      </c>
      <c r="L22" s="27">
        <f>SUMIFS(Data!$E:$E,Data!D:D,K22,Data!B:B,$K$2,Data!$T:$T,"F",Data!L:L,"Successful")</f>
        <v>0</v>
      </c>
    </row>
    <row r="23" spans="1:13" ht="16.5" thickTop="1" thickBot="1" x14ac:dyDescent="0.3">
      <c r="A23" s="23"/>
      <c r="B23" s="17"/>
      <c r="C23" s="17"/>
      <c r="D23" s="17"/>
      <c r="E23" s="21"/>
      <c r="F23" s="43" t="s">
        <v>34</v>
      </c>
      <c r="G23" s="27">
        <f>SUMIFS(Data!E:E,Data!D:D,$F23,Data!T:T,"F",Data!L:L,"Successful")</f>
        <v>0</v>
      </c>
      <c r="K23" s="26" t="s">
        <v>21</v>
      </c>
      <c r="L23" s="27">
        <f>SUMIFS(Data!$E:$E,Data!D:D,K23,Data!B:B,$K$2,Data!$T:$T,"F",Data!L:L,"Successful")</f>
        <v>0</v>
      </c>
    </row>
    <row r="24" spans="1:13" ht="16.5" thickTop="1" thickBot="1" x14ac:dyDescent="0.3">
      <c r="B24" s="17"/>
      <c r="C24" s="17"/>
      <c r="D24" s="17"/>
      <c r="E24" s="21"/>
      <c r="F24" s="43" t="s">
        <v>35</v>
      </c>
      <c r="G24" s="27">
        <f>SUMIFS(Data!E:E,Data!D:D,$F24,Data!T:T,"F",Data!L:L,"Successful")</f>
        <v>0</v>
      </c>
      <c r="K24" s="26" t="s">
        <v>20</v>
      </c>
      <c r="L24" s="27">
        <f>SUMIFS(Data!$E:$E,Data!D:D,K24,Data!B:B,$K$2,Data!$T:$T,"F",Data!L:L,"Successful")</f>
        <v>0</v>
      </c>
    </row>
    <row r="25" spans="1:13" ht="16.5" thickTop="1" thickBot="1" x14ac:dyDescent="0.3">
      <c r="B25" s="21"/>
      <c r="C25" s="21"/>
      <c r="D25" s="21"/>
      <c r="E25" s="21"/>
      <c r="F25" s="43" t="s">
        <v>38</v>
      </c>
      <c r="G25" s="27">
        <f>SUMIFS(Data!E:E,Data!D:D,$F25,Data!T:T,"F",Data!L:L,"Successful")</f>
        <v>0</v>
      </c>
      <c r="K25" s="26" t="s">
        <v>34</v>
      </c>
      <c r="L25" s="27">
        <f>SUMIFS(Data!$E:$E,Data!D:D,K25,Data!B:B,$K$2,Data!$T:$T,"F",Data!L:L,"Successful")</f>
        <v>0</v>
      </c>
    </row>
    <row r="26" spans="1:13" ht="16.5" thickTop="1" thickBot="1" x14ac:dyDescent="0.3">
      <c r="B26" s="21"/>
      <c r="C26" s="21"/>
      <c r="D26" s="21"/>
      <c r="E26" s="21"/>
      <c r="F26" s="43" t="s">
        <v>39</v>
      </c>
      <c r="G26" s="27">
        <f>SUMIFS(Data!E:E,Data!D:D,$F26,Data!T:T,"F",Data!L:L,"Successful")</f>
        <v>0</v>
      </c>
      <c r="K26" s="26" t="s">
        <v>35</v>
      </c>
      <c r="L26" s="27">
        <f>SUMIFS(Data!$E:$E,Data!D:D,K26,Data!B:B,$K$2,Data!$T:$T,"F",Data!L:L,"Successful")</f>
        <v>0</v>
      </c>
    </row>
    <row r="27" spans="1:13" ht="16.5" thickTop="1" thickBot="1" x14ac:dyDescent="0.3">
      <c r="E27" s="20"/>
      <c r="F27" s="43" t="s">
        <v>19</v>
      </c>
      <c r="G27" s="27">
        <f>SUMIFS(Data!E:E,Data!D:D,$F27,Data!T:T,"F",Data!L:L,"Successful")</f>
        <v>0</v>
      </c>
      <c r="K27" s="26" t="s">
        <v>38</v>
      </c>
      <c r="L27" s="27">
        <f>SUMIFS(Data!$E:$E,Data!D:D,K27,Data!B:B,$K$2,Data!$T:$T,"F",Data!L:L,"Successful")</f>
        <v>0</v>
      </c>
    </row>
    <row r="28" spans="1:13" ht="16.5" thickTop="1" thickBot="1" x14ac:dyDescent="0.3">
      <c r="E28" s="20"/>
      <c r="F28" s="43" t="s">
        <v>46</v>
      </c>
      <c r="G28" s="27">
        <f>SUMIFS(Data!E:E,Data!D:D,$F28,Data!T:T,"F",Data!L:L,"Successful")</f>
        <v>0</v>
      </c>
      <c r="K28" s="26" t="s">
        <v>39</v>
      </c>
      <c r="L28" s="27">
        <f>SUMIFS(Data!$E:$E,Data!D:D,K28,Data!B:B,$K$2,Data!$T:$T,"F",Data!L:L,"Successful")</f>
        <v>0</v>
      </c>
    </row>
    <row r="29" spans="1:13" ht="16.5" thickTop="1" thickBot="1" x14ac:dyDescent="0.3">
      <c r="E29" s="20"/>
      <c r="F29" s="43" t="s">
        <v>18</v>
      </c>
      <c r="G29" s="27">
        <f>SUMIFS(Data!E:E,Data!D:D,$F29,Data!T:T,"F",Data!L:L,"Successful")</f>
        <v>0</v>
      </c>
      <c r="K29" s="26" t="s">
        <v>19</v>
      </c>
      <c r="L29" s="27">
        <f>SUMIFS(Data!$E:$E,Data!D:D,K29,Data!B:B,$K$2,Data!$T:$T,"F",Data!L:L,"Successful")</f>
        <v>0</v>
      </c>
    </row>
    <row r="30" spans="1:13" ht="16.5" thickTop="1" thickBot="1" x14ac:dyDescent="0.3">
      <c r="E30" s="20"/>
      <c r="F30" s="43" t="s">
        <v>47</v>
      </c>
      <c r="G30" s="27">
        <f>SUMIFS(Data!E:E,Data!D:D,$F30,Data!T:T,"F",Data!L:L,"Successful")</f>
        <v>0</v>
      </c>
      <c r="K30" s="26" t="s">
        <v>46</v>
      </c>
      <c r="L30" s="27">
        <f>SUMIFS(Data!$E:$E,Data!D:D,K30,Data!B:B,$K$2,Data!$T:$T,"F",Data!L:L,"Successful")</f>
        <v>0</v>
      </c>
    </row>
    <row r="31" spans="1:13" ht="16.5" thickTop="1" thickBot="1" x14ac:dyDescent="0.3">
      <c r="F31" s="43" t="s">
        <v>1</v>
      </c>
      <c r="G31" s="27">
        <f>SUMIFS(Data!E:E,Data!D:D,$F31,Data!T:T,"F",Data!L:L,"Successful")</f>
        <v>0</v>
      </c>
      <c r="K31" s="26" t="s">
        <v>18</v>
      </c>
      <c r="L31" s="27">
        <f>SUMIFS(Data!$E:$E,Data!D:D,K31,Data!B:B,$K$2,Data!$T:$T,"F",Data!L:L,"Successful")</f>
        <v>0</v>
      </c>
    </row>
    <row r="32" spans="1:13" ht="16.5" thickTop="1" thickBot="1" x14ac:dyDescent="0.3">
      <c r="F32" s="43" t="s">
        <v>48</v>
      </c>
      <c r="G32" s="27">
        <f>SUMIFS(Data!E:E,Data!D:D,$F32,Data!T:T,"F",Data!L:L,"Successful")</f>
        <v>0</v>
      </c>
      <c r="K32" s="26" t="s">
        <v>47</v>
      </c>
      <c r="L32" s="27">
        <f>SUMIFS(Data!$E:$E,Data!D:D,K32,Data!B:B,$K$2,Data!$T:$T,"F",Data!L:L,"Successful")</f>
        <v>0</v>
      </c>
    </row>
    <row r="33" spans="1:12" ht="16.5" thickTop="1" thickBot="1" x14ac:dyDescent="0.3">
      <c r="F33" s="43" t="s">
        <v>25</v>
      </c>
      <c r="G33" s="27">
        <f>SUMIFS(Data!E:E,Data!D:D,$F33,Data!T:T,"F",Data!L:L,"Successful")</f>
        <v>0</v>
      </c>
      <c r="K33" s="26" t="s">
        <v>1</v>
      </c>
      <c r="L33" s="27">
        <f>SUMIFS(Data!$E:$E,Data!D:D,K33,Data!B:B,$K$2,Data!$T:$T,"F",Data!L:L,"Successful")</f>
        <v>0</v>
      </c>
    </row>
    <row r="34" spans="1:12" ht="16.5" thickTop="1" thickBot="1" x14ac:dyDescent="0.3">
      <c r="A34" s="28"/>
      <c r="B34" s="29"/>
      <c r="F34" s="43" t="s">
        <v>41</v>
      </c>
      <c r="G34" s="27">
        <f>SUMIFS(Data!E:E,Data!D:D,$F34,Data!T:T,"F",Data!L:L,"Successful")</f>
        <v>0</v>
      </c>
      <c r="K34" s="26" t="s">
        <v>48</v>
      </c>
      <c r="L34" s="27">
        <f>SUMIFS(Data!$E:$E,Data!D:D,K34,Data!B:B,$K$2,Data!$T:$T,"F",Data!L:L,"Successful")</f>
        <v>0</v>
      </c>
    </row>
    <row r="35" spans="1:12" ht="16.5" thickTop="1" thickBot="1" x14ac:dyDescent="0.3">
      <c r="A35" s="30" t="s">
        <v>4</v>
      </c>
      <c r="B35" s="31" t="s">
        <v>3</v>
      </c>
      <c r="F35" s="43" t="s">
        <v>42</v>
      </c>
      <c r="G35" s="27">
        <f>SUMIFS(Data!E:E,Data!D:D,$F35,Data!T:T,"F",Data!L:L,"Successful")</f>
        <v>0</v>
      </c>
      <c r="K35" s="26" t="s">
        <v>25</v>
      </c>
      <c r="L35" s="27">
        <f>SUMIFS(Data!$E:$E,Data!D:D,K35,Data!B:B,$K$2,Data!$T:$T,"F",Data!L:L,"Successful")</f>
        <v>0</v>
      </c>
    </row>
    <row r="36" spans="1:12" ht="16.5" thickTop="1" thickBot="1" x14ac:dyDescent="0.3">
      <c r="A36" s="30" t="s">
        <v>7</v>
      </c>
      <c r="B36" s="31" t="s">
        <v>0</v>
      </c>
      <c r="F36" s="43" t="s">
        <v>9</v>
      </c>
      <c r="G36" s="27">
        <f>SUMIFS(Data!E:E,Data!D:D,$F36,Data!T:T,"F",Data!L:L,"Successful")</f>
        <v>0</v>
      </c>
      <c r="K36" s="26" t="s">
        <v>41</v>
      </c>
      <c r="L36" s="27">
        <f>SUMIFS(Data!$E:$E,Data!D:D,K36,Data!B:B,$K$2,Data!$T:$T,"F",Data!L:L,"Successful")</f>
        <v>0</v>
      </c>
    </row>
    <row r="37" spans="1:12" ht="16.5" thickTop="1" thickBot="1" x14ac:dyDescent="0.3">
      <c r="A37" s="32" t="s">
        <v>8</v>
      </c>
      <c r="B37" s="33"/>
      <c r="F37" s="43" t="s">
        <v>23</v>
      </c>
      <c r="G37" s="27">
        <f>SUMIFS(Data!E:E,Data!D:D,$F37,Data!T:T,"F",Data!L:L,"Successful")</f>
        <v>0</v>
      </c>
      <c r="K37" s="26" t="s">
        <v>42</v>
      </c>
      <c r="L37" s="27">
        <f>SUMIFS(Data!$E:$E,Data!D:D,K37,Data!B:B,$K$2,Data!$T:$T,"F",Data!L:L,"Successful")</f>
        <v>0</v>
      </c>
    </row>
    <row r="38" spans="1:12" ht="16.5" thickTop="1" thickBot="1" x14ac:dyDescent="0.3">
      <c r="F38" s="43" t="s">
        <v>49</v>
      </c>
      <c r="G38" s="27">
        <f>SUMIFS(Data!E:E,Data!D:D,$F38,Data!T:T,"F",Data!L:L,"Successful")</f>
        <v>0</v>
      </c>
      <c r="K38" s="26" t="s">
        <v>9</v>
      </c>
      <c r="L38" s="27">
        <f>SUMIFS(Data!$E:$E,Data!D:D,K38,Data!B:B,$K$2,Data!$T:$T,"F",Data!L:L,"Successful")</f>
        <v>0</v>
      </c>
    </row>
    <row r="39" spans="1:12" ht="16.5" thickTop="1" thickBot="1" x14ac:dyDescent="0.3">
      <c r="F39" s="43" t="s">
        <v>50</v>
      </c>
      <c r="G39" s="27">
        <f>SUMIFS(Data!E:E,Data!D:D,$F39,Data!T:T,"F",Data!L:L,"Successful")</f>
        <v>0</v>
      </c>
      <c r="K39" s="26" t="s">
        <v>23</v>
      </c>
      <c r="L39" s="27">
        <f>SUMIFS(Data!$E:$E,Data!D:D,K39,Data!B:B,$K$2,Data!$T:$T,"F",Data!L:L,"Successful")</f>
        <v>0</v>
      </c>
    </row>
    <row r="40" spans="1:12" ht="16.5" thickTop="1" thickBot="1" x14ac:dyDescent="0.3">
      <c r="F40" s="43" t="s">
        <v>51</v>
      </c>
      <c r="G40" s="27">
        <f>SUMIFS(Data!E:E,Data!D:D,$F40,Data!T:T,"F",Data!L:L,"Successful")</f>
        <v>0</v>
      </c>
      <c r="K40" s="26" t="s">
        <v>49</v>
      </c>
      <c r="L40" s="27">
        <f>SUMIFS(Data!$E:$E,Data!D:D,K40,Data!B:B,$K$2,Data!$T:$T,"F",Data!L:L,"Successful")</f>
        <v>0</v>
      </c>
    </row>
    <row r="41" spans="1:12" ht="16.5" thickTop="1" thickBot="1" x14ac:dyDescent="0.3">
      <c r="F41" s="43" t="s">
        <v>52</v>
      </c>
      <c r="G41" s="27">
        <f>SUMIFS(Data!E:E,Data!D:D,$F41,Data!T:T,"F",Data!L:L,"Successful")</f>
        <v>0</v>
      </c>
      <c r="K41" s="26" t="s">
        <v>36</v>
      </c>
      <c r="L41" s="27">
        <f>SUMIFS(Data!$E:$E,Data!D:D,K41,Data!B:B,$K$2,Data!$T:$T,"F",Data!L:L,"Successful")</f>
        <v>0</v>
      </c>
    </row>
    <row r="42" spans="1:12" ht="16.5" thickTop="1" thickBot="1" x14ac:dyDescent="0.3">
      <c r="F42" s="43" t="s">
        <v>53</v>
      </c>
      <c r="G42" s="27">
        <f>SUMIFS(Data!E:E,Data!D:D,$F42,Data!T:T,"F",Data!L:L,"Successful")</f>
        <v>0</v>
      </c>
      <c r="K42" s="26" t="s">
        <v>51</v>
      </c>
      <c r="L42" s="27">
        <f>SUMIFS(Data!$E:$E,Data!D:D,K42,Data!B:B,$K$2,Data!$T:$T,"F",Data!L:L,"Successful")</f>
        <v>0</v>
      </c>
    </row>
    <row r="43" spans="1:12" ht="16.5" thickTop="1" thickBot="1" x14ac:dyDescent="0.3">
      <c r="F43" s="43" t="s">
        <v>5</v>
      </c>
      <c r="G43" s="27">
        <f>SUMIFS(Data!E:E,Data!D:D,$F43,Data!T:T,"F",Data!L:L,"Successful")</f>
        <v>0</v>
      </c>
      <c r="K43" s="26" t="s">
        <v>52</v>
      </c>
      <c r="L43" s="27">
        <f>SUMIFS(Data!$E:$E,Data!D:D,K43,Data!B:B,$K$2,Data!$T:$T,"F",Data!L:L,"Successful")</f>
        <v>0</v>
      </c>
    </row>
    <row r="44" spans="1:12" ht="16.5" thickTop="1" thickBot="1" x14ac:dyDescent="0.3">
      <c r="K44" s="26" t="s">
        <v>53</v>
      </c>
      <c r="L44" s="27">
        <f>SUMIFS(Data!$E:$E,Data!D:D,K44,Data!B:B,$K$2,Data!$T:$T,"F",Data!L:L,"Successful")</f>
        <v>0</v>
      </c>
    </row>
    <row r="45" spans="1:12" ht="16.5" thickTop="1" thickBot="1" x14ac:dyDescent="0.3">
      <c r="K45" s="26" t="s">
        <v>5</v>
      </c>
      <c r="L45" s="27">
        <f>SUMIFS(Data!$E:$E,Data!D:D,K45,Data!B:B,$K$2,Data!$T:$T,"F",Data!L:L,"Successful")</f>
        <v>0</v>
      </c>
    </row>
    <row r="46" spans="1:12" ht="15.75" thickTop="1" x14ac:dyDescent="0.25"/>
  </sheetData>
  <sheetProtection algorithmName="SHA-512" hashValue="l+mTQSIkwbzi8s7RWvTzdEeHQoNKQrcd0OaXT5bOWyTLOrgz3e/eLYryngscj4MivlEvn9cY69JlW+xYgbXA4g==" saltValue="ISX8Fpqkz97/1s7AJFICOQ==" spinCount="100000" sheet="1" objects="1" scenarios="1"/>
  <mergeCells count="4">
    <mergeCell ref="F1:G1"/>
    <mergeCell ref="K1:L1"/>
    <mergeCell ref="F8:G8"/>
    <mergeCell ref="K10:L10"/>
  </mergeCells>
  <conditionalFormatting sqref="K46:K1048576 K6:K9">
    <cfRule type="duplicateValues" dxfId="6" priority="13"/>
  </conditionalFormatting>
  <conditionalFormatting sqref="K2">
    <cfRule type="duplicateValues" dxfId="5" priority="12"/>
  </conditionalFormatting>
  <conditionalFormatting sqref="J18">
    <cfRule type="duplicateValues" dxfId="4" priority="11"/>
  </conditionalFormatting>
  <conditionalFormatting sqref="F1">
    <cfRule type="duplicateValues" dxfId="3" priority="9"/>
  </conditionalFormatting>
  <conditionalFormatting sqref="F8">
    <cfRule type="duplicateValues" dxfId="2" priority="3"/>
  </conditionalFormatting>
  <conditionalFormatting sqref="K10">
    <cfRule type="duplicateValues" dxfId="1" priority="2"/>
  </conditionalFormatting>
  <conditionalFormatting sqref="K1">
    <cfRule type="duplicateValues" dxfId="0" priority="1"/>
  </conditionalFormatting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.Run">
                <anchor moveWithCells="1">
                  <from>
                    <xdr:col>1</xdr:col>
                    <xdr:colOff>95250</xdr:colOff>
                    <xdr:row>1</xdr:row>
                    <xdr:rowOff>28575</xdr:rowOff>
                  </from>
                  <to>
                    <xdr:col>1</xdr:col>
                    <xdr:colOff>676275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4">
                <anchor mov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2</xdr:col>
                    <xdr:colOff>695325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BA1000"/>
  <sheetViews>
    <sheetView workbookViewId="0"/>
  </sheetViews>
  <sheetFormatPr defaultColWidth="9.140625" defaultRowHeight="15" x14ac:dyDescent="0.25"/>
  <cols>
    <col min="1" max="1" width="15.140625" style="2" bestFit="1" customWidth="1"/>
    <col min="2" max="2" width="10.7109375" style="1" bestFit="1" customWidth="1"/>
    <col min="3" max="3" width="20.5703125" style="42" customWidth="1"/>
    <col min="4" max="4" width="39.28515625" style="42" bestFit="1" customWidth="1"/>
    <col min="5" max="5" width="8.140625" style="42" bestFit="1" customWidth="1"/>
    <col min="6" max="6" width="16.7109375" style="42" customWidth="1"/>
    <col min="7" max="7" width="13.140625" style="42" customWidth="1"/>
    <col min="8" max="8" width="16.140625" style="42" customWidth="1"/>
    <col min="9" max="9" width="5.140625" style="42" customWidth="1"/>
    <col min="10" max="11" width="12.7109375" style="42" customWidth="1"/>
    <col min="12" max="12" width="10.140625" style="42" bestFit="1" customWidth="1"/>
    <col min="13" max="13" width="20.5703125" style="42" customWidth="1"/>
    <col min="14" max="14" width="13.7109375" style="42" customWidth="1"/>
    <col min="15" max="15" width="10.85546875" style="42" customWidth="1"/>
    <col min="16" max="16" width="35.85546875" style="42" customWidth="1"/>
    <col min="17" max="17" width="12" style="42" customWidth="1"/>
    <col min="18" max="18" width="14.7109375" style="42" customWidth="1"/>
    <col min="19" max="19" width="39" style="42" customWidth="1"/>
    <col min="20" max="20" width="9.28515625" style="42" bestFit="1" customWidth="1"/>
    <col min="21" max="21" width="15" style="42" customWidth="1"/>
    <col min="22" max="22" width="23.28515625" style="42" customWidth="1"/>
    <col min="23" max="23" width="21" style="42" bestFit="1" customWidth="1"/>
    <col min="24" max="24" width="19.140625" style="42" customWidth="1"/>
    <col min="25" max="25" width="19.7109375" style="42" customWidth="1"/>
    <col min="26" max="26" width="15.28515625" style="42" customWidth="1"/>
    <col min="27" max="27" width="16" style="42" customWidth="1"/>
    <col min="28" max="28" width="8.85546875" style="42" customWidth="1"/>
    <col min="29" max="29" width="9.42578125" style="42" customWidth="1"/>
    <col min="30" max="30" width="14" style="42" customWidth="1"/>
    <col min="31" max="31" width="16.5703125" style="42" customWidth="1"/>
    <col min="32" max="32" width="21.140625" style="42" customWidth="1"/>
    <col min="33" max="33" width="20.28515625" style="42" customWidth="1"/>
    <col min="34" max="34" width="25" style="42" customWidth="1"/>
    <col min="35" max="35" width="15.140625" style="42" customWidth="1"/>
    <col min="36" max="36" width="47" style="42" customWidth="1"/>
    <col min="37" max="37" width="11.28515625" style="42" customWidth="1"/>
    <col min="38" max="38" width="21" style="42" customWidth="1"/>
    <col min="39" max="39" width="17.85546875" style="42" customWidth="1"/>
    <col min="40" max="40" width="17.28515625" style="42" customWidth="1"/>
    <col min="41" max="41" width="16.28515625" style="42" customWidth="1"/>
    <col min="42" max="42" width="21" style="42" customWidth="1"/>
    <col min="43" max="43" width="18.85546875" style="42" customWidth="1"/>
    <col min="44" max="44" width="17.85546875" style="42" customWidth="1"/>
    <col min="45" max="45" width="17.42578125" style="42" customWidth="1"/>
    <col min="46" max="46" width="16.28515625" style="42" customWidth="1"/>
    <col min="47" max="47" width="27.28515625" style="42" customWidth="1"/>
    <col min="48" max="48" width="19.5703125" style="42" customWidth="1"/>
    <col min="49" max="49" width="24.85546875" style="42" customWidth="1"/>
    <col min="50" max="51" width="19.7109375" style="42" customWidth="1"/>
    <col min="52" max="53" width="17.7109375" style="42" customWidth="1"/>
    <col min="54" max="16384" width="9.140625" style="42"/>
  </cols>
  <sheetData>
    <row r="1" spans="1:53" s="41" customFormat="1" x14ac:dyDescent="0.25">
      <c r="A1" s="3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35"/>
      <c r="AZ1" s="36"/>
      <c r="BA1" s="36"/>
    </row>
    <row r="2" spans="1:53" x14ac:dyDescent="0.25">
      <c r="C2" s="1"/>
      <c r="D2" s="1"/>
      <c r="E2" s="44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2"/>
      <c r="AZ2" s="2"/>
      <c r="BA2" s="2"/>
    </row>
    <row r="3" spans="1:53" x14ac:dyDescent="0.25">
      <c r="C3" s="1"/>
      <c r="D3" s="1"/>
      <c r="E3" s="44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2"/>
      <c r="AZ3" s="2"/>
      <c r="BA3" s="2"/>
    </row>
    <row r="4" spans="1:53" x14ac:dyDescent="0.25">
      <c r="C4" s="1"/>
      <c r="D4" s="1"/>
      <c r="E4" s="4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2"/>
      <c r="AZ4" s="2"/>
      <c r="BA4" s="2"/>
    </row>
    <row r="5" spans="1:53" x14ac:dyDescent="0.25">
      <c r="C5" s="1"/>
      <c r="D5" s="1"/>
      <c r="E5" s="4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2"/>
      <c r="AZ5" s="2"/>
      <c r="BA5" s="2"/>
    </row>
    <row r="6" spans="1:53" x14ac:dyDescent="0.25">
      <c r="C6" s="1"/>
      <c r="D6" s="1"/>
      <c r="E6" s="4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2"/>
      <c r="AZ6" s="2"/>
      <c r="BA6" s="2"/>
    </row>
    <row r="7" spans="1:53" x14ac:dyDescent="0.25">
      <c r="C7" s="1"/>
      <c r="D7" s="1"/>
      <c r="E7" s="4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2"/>
      <c r="AZ7" s="2"/>
      <c r="BA7" s="2"/>
    </row>
    <row r="8" spans="1:53" x14ac:dyDescent="0.25">
      <c r="C8" s="1"/>
      <c r="D8" s="1"/>
      <c r="E8" s="4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2"/>
      <c r="AZ8" s="2"/>
      <c r="BA8" s="2"/>
    </row>
    <row r="9" spans="1:53" x14ac:dyDescent="0.25">
      <c r="C9" s="1"/>
      <c r="D9" s="1"/>
      <c r="E9" s="44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2"/>
      <c r="AZ9" s="2"/>
      <c r="BA9" s="2"/>
    </row>
    <row r="10" spans="1:53" x14ac:dyDescent="0.25">
      <c r="C10" s="1"/>
      <c r="D10" s="1"/>
      <c r="E10" s="44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2"/>
      <c r="AZ10" s="2"/>
      <c r="BA10" s="2"/>
    </row>
    <row r="11" spans="1:53" x14ac:dyDescent="0.25">
      <c r="C11" s="1"/>
      <c r="D11" s="1"/>
      <c r="E11" s="4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2"/>
      <c r="AZ11" s="2"/>
      <c r="BA11" s="2"/>
    </row>
    <row r="12" spans="1:53" x14ac:dyDescent="0.25">
      <c r="C12" s="1"/>
      <c r="D12" s="1"/>
      <c r="E12" s="44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2"/>
      <c r="AZ12" s="2"/>
      <c r="BA12" s="2"/>
    </row>
    <row r="13" spans="1:53" x14ac:dyDescent="0.25">
      <c r="C13" s="1"/>
      <c r="D13" s="1"/>
      <c r="E13" s="44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2"/>
      <c r="AZ13" s="2"/>
      <c r="BA13" s="2"/>
    </row>
    <row r="14" spans="1:53" x14ac:dyDescent="0.25">
      <c r="C14" s="1"/>
      <c r="D14" s="1"/>
      <c r="E14" s="4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2"/>
      <c r="AZ14" s="2"/>
      <c r="BA14" s="2"/>
    </row>
    <row r="15" spans="1:53" x14ac:dyDescent="0.25">
      <c r="C15" s="1"/>
      <c r="D15" s="1"/>
      <c r="E15" s="44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2"/>
      <c r="AZ15" s="2"/>
      <c r="BA15" s="2"/>
    </row>
    <row r="16" spans="1:53" x14ac:dyDescent="0.25">
      <c r="C16" s="1"/>
      <c r="D16" s="1"/>
      <c r="E16" s="44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2"/>
      <c r="AZ16" s="2"/>
      <c r="BA16" s="2"/>
    </row>
    <row r="17" spans="3:53" x14ac:dyDescent="0.25">
      <c r="C17" s="1"/>
      <c r="D17" s="1"/>
      <c r="E17" s="4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2"/>
      <c r="AZ17" s="2"/>
      <c r="BA17" s="2"/>
    </row>
    <row r="18" spans="3:53" x14ac:dyDescent="0.25">
      <c r="C18" s="1"/>
      <c r="D18" s="1"/>
      <c r="E18" s="44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2"/>
      <c r="AZ18" s="2"/>
      <c r="BA18" s="2"/>
    </row>
    <row r="19" spans="3:53" x14ac:dyDescent="0.25">
      <c r="C19" s="1"/>
      <c r="D19" s="1"/>
      <c r="E19" s="44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2"/>
      <c r="AZ19" s="2"/>
      <c r="BA19" s="2"/>
    </row>
    <row r="20" spans="3:53" x14ac:dyDescent="0.25">
      <c r="C20" s="1"/>
      <c r="D20" s="1"/>
      <c r="E20" s="44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2"/>
      <c r="AZ20" s="2"/>
      <c r="BA20" s="2"/>
    </row>
    <row r="21" spans="3:53" x14ac:dyDescent="0.25">
      <c r="C21" s="1"/>
      <c r="D21" s="1"/>
      <c r="E21" s="44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2"/>
      <c r="AZ21" s="2"/>
      <c r="BA21" s="2"/>
    </row>
    <row r="22" spans="3:53" x14ac:dyDescent="0.25">
      <c r="C22" s="1"/>
      <c r="D22" s="1"/>
      <c r="E22" s="44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2"/>
      <c r="AZ22" s="2"/>
      <c r="BA22" s="2"/>
    </row>
    <row r="23" spans="3:53" x14ac:dyDescent="0.25">
      <c r="C23" s="1"/>
      <c r="D23" s="1"/>
      <c r="E23" s="44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2"/>
      <c r="AZ23" s="2"/>
      <c r="BA23" s="2"/>
    </row>
    <row r="24" spans="3:53" x14ac:dyDescent="0.25">
      <c r="C24" s="1"/>
      <c r="D24" s="1"/>
      <c r="E24" s="4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2"/>
      <c r="AZ24" s="2"/>
      <c r="BA24" s="2"/>
    </row>
    <row r="25" spans="3:53" x14ac:dyDescent="0.25">
      <c r="C25" s="1"/>
      <c r="D25" s="1"/>
      <c r="E25" s="44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2"/>
      <c r="AZ25" s="2"/>
      <c r="BA25" s="2"/>
    </row>
    <row r="26" spans="3:53" x14ac:dyDescent="0.25">
      <c r="C26" s="1"/>
      <c r="D26" s="1"/>
      <c r="E26" s="44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2"/>
      <c r="AZ26" s="2"/>
      <c r="BA26" s="2"/>
    </row>
    <row r="27" spans="3:53" x14ac:dyDescent="0.25">
      <c r="C27" s="1"/>
      <c r="D27" s="1"/>
      <c r="E27" s="44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2"/>
      <c r="AZ27" s="2"/>
      <c r="BA27" s="2"/>
    </row>
    <row r="28" spans="3:53" x14ac:dyDescent="0.25">
      <c r="C28" s="1"/>
      <c r="D28" s="1"/>
      <c r="E28" s="44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2"/>
      <c r="AZ28" s="2"/>
      <c r="BA28" s="2"/>
    </row>
    <row r="29" spans="3:53" x14ac:dyDescent="0.25">
      <c r="C29" s="1"/>
      <c r="D29" s="1"/>
      <c r="E29" s="44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2"/>
      <c r="AZ29" s="2"/>
      <c r="BA29" s="2"/>
    </row>
    <row r="30" spans="3:53" x14ac:dyDescent="0.25">
      <c r="C30" s="1"/>
      <c r="D30" s="1"/>
      <c r="E30" s="44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2"/>
      <c r="AZ30" s="2"/>
      <c r="BA30" s="2"/>
    </row>
    <row r="31" spans="3:53" x14ac:dyDescent="0.25">
      <c r="C31" s="1"/>
      <c r="D31" s="1"/>
      <c r="E31" s="44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2"/>
      <c r="AZ31" s="2"/>
      <c r="BA31" s="2"/>
    </row>
    <row r="32" spans="3:53" x14ac:dyDescent="0.25">
      <c r="C32" s="1"/>
      <c r="D32" s="1"/>
      <c r="E32" s="44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2"/>
      <c r="AZ32" s="2"/>
      <c r="BA32" s="2"/>
    </row>
    <row r="33" spans="3:53" x14ac:dyDescent="0.25">
      <c r="C33" s="1"/>
      <c r="D33" s="1"/>
      <c r="E33" s="44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2"/>
      <c r="AZ33" s="2"/>
      <c r="BA33" s="2"/>
    </row>
    <row r="34" spans="3:53" x14ac:dyDescent="0.25">
      <c r="C34" s="1"/>
      <c r="D34" s="1"/>
      <c r="E34" s="4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2"/>
      <c r="AZ34" s="2"/>
      <c r="BA34" s="2"/>
    </row>
    <row r="35" spans="3:53" x14ac:dyDescent="0.25">
      <c r="C35" s="1"/>
      <c r="D35" s="1"/>
      <c r="E35" s="44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2"/>
      <c r="AZ35" s="2"/>
      <c r="BA35" s="2"/>
    </row>
    <row r="36" spans="3:53" x14ac:dyDescent="0.25">
      <c r="C36" s="1"/>
      <c r="D36" s="1"/>
      <c r="E36" s="44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2"/>
      <c r="AZ36" s="2"/>
      <c r="BA36" s="2"/>
    </row>
    <row r="37" spans="3:53" x14ac:dyDescent="0.25">
      <c r="C37" s="1"/>
      <c r="D37" s="1"/>
      <c r="E37" s="44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2"/>
      <c r="AZ37" s="2"/>
      <c r="BA37" s="2"/>
    </row>
    <row r="38" spans="3:53" x14ac:dyDescent="0.25">
      <c r="C38" s="1"/>
      <c r="D38" s="1"/>
      <c r="E38" s="44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2"/>
      <c r="AZ38" s="2"/>
      <c r="BA38" s="2"/>
    </row>
    <row r="39" spans="3:53" x14ac:dyDescent="0.25">
      <c r="C39" s="1"/>
      <c r="D39" s="1"/>
      <c r="E39" s="44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2"/>
      <c r="AZ39" s="2"/>
      <c r="BA39" s="2"/>
    </row>
    <row r="40" spans="3:53" x14ac:dyDescent="0.25">
      <c r="C40" s="1"/>
      <c r="D40" s="1"/>
      <c r="E40" s="44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2"/>
      <c r="AZ40" s="2"/>
      <c r="BA40" s="2"/>
    </row>
    <row r="41" spans="3:53" x14ac:dyDescent="0.25">
      <c r="C41" s="1"/>
      <c r="D41" s="1"/>
      <c r="E41" s="44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2"/>
      <c r="AZ41" s="2"/>
      <c r="BA41" s="2"/>
    </row>
    <row r="42" spans="3:53" x14ac:dyDescent="0.25">
      <c r="C42" s="1"/>
      <c r="D42" s="1"/>
      <c r="E42" s="44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2"/>
      <c r="AZ42" s="2"/>
      <c r="BA42" s="2"/>
    </row>
    <row r="43" spans="3:53" x14ac:dyDescent="0.25">
      <c r="C43" s="1"/>
      <c r="D43" s="1"/>
      <c r="E43" s="44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2"/>
      <c r="AZ43" s="2"/>
      <c r="BA43" s="2"/>
    </row>
    <row r="44" spans="3:53" x14ac:dyDescent="0.25">
      <c r="C44" s="1"/>
      <c r="D44" s="1"/>
      <c r="E44" s="4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2"/>
      <c r="AZ44" s="2"/>
      <c r="BA44" s="2"/>
    </row>
    <row r="45" spans="3:53" x14ac:dyDescent="0.25">
      <c r="C45" s="1"/>
      <c r="D45" s="1"/>
      <c r="E45" s="4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2"/>
      <c r="AZ45" s="2"/>
      <c r="BA45" s="2"/>
    </row>
    <row r="46" spans="3:53" x14ac:dyDescent="0.25">
      <c r="C46" s="1"/>
      <c r="D46" s="1"/>
      <c r="E46" s="4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2"/>
      <c r="AZ46" s="2"/>
      <c r="BA46" s="2"/>
    </row>
    <row r="47" spans="3:53" x14ac:dyDescent="0.25">
      <c r="C47" s="1"/>
      <c r="D47" s="1"/>
      <c r="E47" s="4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2"/>
      <c r="AZ47" s="2"/>
      <c r="BA47" s="2"/>
    </row>
    <row r="48" spans="3:53" x14ac:dyDescent="0.25">
      <c r="C48" s="1"/>
      <c r="D48" s="1"/>
      <c r="E48" s="4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2"/>
      <c r="AZ48" s="2"/>
      <c r="BA48" s="2"/>
    </row>
    <row r="49" spans="3:53" x14ac:dyDescent="0.25">
      <c r="C49" s="1"/>
      <c r="D49" s="1"/>
      <c r="E49" s="4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2"/>
      <c r="AZ49" s="2"/>
      <c r="BA49" s="2"/>
    </row>
    <row r="50" spans="3:53" x14ac:dyDescent="0.25">
      <c r="C50" s="1"/>
      <c r="D50" s="1"/>
      <c r="E50" s="44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2"/>
      <c r="AZ50" s="2"/>
      <c r="BA50" s="2"/>
    </row>
    <row r="51" spans="3:53" x14ac:dyDescent="0.25">
      <c r="C51" s="1"/>
      <c r="D51" s="1"/>
      <c r="E51" s="44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2"/>
      <c r="AZ51" s="2"/>
      <c r="BA51" s="2"/>
    </row>
    <row r="52" spans="3:53" x14ac:dyDescent="0.25">
      <c r="C52" s="1"/>
      <c r="D52" s="1"/>
      <c r="E52" s="4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2"/>
      <c r="AZ52" s="2"/>
      <c r="BA52" s="2"/>
    </row>
    <row r="53" spans="3:53" x14ac:dyDescent="0.25">
      <c r="C53" s="1"/>
      <c r="D53" s="1"/>
      <c r="E53" s="44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2"/>
      <c r="AZ53" s="2"/>
      <c r="BA53" s="2"/>
    </row>
    <row r="54" spans="3:53" x14ac:dyDescent="0.25">
      <c r="C54" s="1"/>
      <c r="D54" s="1"/>
      <c r="E54" s="44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2"/>
      <c r="AZ54" s="2"/>
      <c r="BA54" s="2"/>
    </row>
    <row r="55" spans="3:53" x14ac:dyDescent="0.25">
      <c r="C55" s="1"/>
      <c r="D55" s="1"/>
      <c r="E55" s="44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2"/>
      <c r="AZ55" s="2"/>
      <c r="BA55" s="2"/>
    </row>
    <row r="56" spans="3:53" x14ac:dyDescent="0.25">
      <c r="C56" s="1"/>
      <c r="D56" s="1"/>
      <c r="E56" s="44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2"/>
      <c r="AZ56" s="2"/>
      <c r="BA56" s="2"/>
    </row>
    <row r="57" spans="3:53" x14ac:dyDescent="0.25">
      <c r="C57" s="1"/>
      <c r="D57" s="1"/>
      <c r="E57" s="44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2"/>
      <c r="AZ57" s="2"/>
      <c r="BA57" s="2"/>
    </row>
    <row r="58" spans="3:53" x14ac:dyDescent="0.25">
      <c r="C58" s="1"/>
      <c r="D58" s="1"/>
      <c r="E58" s="44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2"/>
      <c r="AZ58" s="2"/>
      <c r="BA58" s="2"/>
    </row>
    <row r="59" spans="3:53" x14ac:dyDescent="0.25">
      <c r="C59" s="1"/>
      <c r="D59" s="1"/>
      <c r="E59" s="44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2"/>
      <c r="AZ59" s="2"/>
      <c r="BA59" s="2"/>
    </row>
    <row r="60" spans="3:53" x14ac:dyDescent="0.25">
      <c r="C60" s="1"/>
      <c r="D60" s="1"/>
      <c r="E60" s="44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2"/>
      <c r="AZ60" s="2"/>
      <c r="BA60" s="2"/>
    </row>
    <row r="61" spans="3:53" x14ac:dyDescent="0.25">
      <c r="C61" s="1"/>
      <c r="D61" s="1"/>
      <c r="E61" s="44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2"/>
      <c r="AZ61" s="2"/>
      <c r="BA61" s="2"/>
    </row>
    <row r="62" spans="3:53" x14ac:dyDescent="0.25">
      <c r="C62" s="1"/>
      <c r="D62" s="1"/>
      <c r="E62" s="44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2"/>
      <c r="AZ62" s="2"/>
      <c r="BA62" s="2"/>
    </row>
    <row r="63" spans="3:53" x14ac:dyDescent="0.25">
      <c r="C63" s="1"/>
      <c r="D63" s="1"/>
      <c r="E63" s="44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2"/>
      <c r="AZ63" s="2"/>
      <c r="BA63" s="2"/>
    </row>
    <row r="64" spans="3:53" x14ac:dyDescent="0.25">
      <c r="C64" s="1"/>
      <c r="D64" s="1"/>
      <c r="E64" s="44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2"/>
      <c r="AZ64" s="2"/>
      <c r="BA64" s="2"/>
    </row>
    <row r="65" spans="3:53" x14ac:dyDescent="0.25">
      <c r="C65" s="1"/>
      <c r="D65" s="1"/>
      <c r="E65" s="44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2"/>
      <c r="AZ65" s="2"/>
      <c r="BA65" s="2"/>
    </row>
    <row r="66" spans="3:53" x14ac:dyDescent="0.25">
      <c r="C66" s="1"/>
      <c r="D66" s="1"/>
      <c r="E66" s="44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2"/>
      <c r="AZ66" s="2"/>
      <c r="BA66" s="2"/>
    </row>
    <row r="67" spans="3:53" x14ac:dyDescent="0.25">
      <c r="C67" s="1"/>
      <c r="D67" s="1"/>
      <c r="E67" s="44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2"/>
      <c r="AZ67" s="2"/>
      <c r="BA67" s="2"/>
    </row>
    <row r="68" spans="3:53" x14ac:dyDescent="0.25">
      <c r="C68" s="1"/>
      <c r="D68" s="1"/>
      <c r="E68" s="44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2"/>
      <c r="AZ68" s="2"/>
      <c r="BA68" s="2"/>
    </row>
    <row r="69" spans="3:53" x14ac:dyDescent="0.25">
      <c r="C69" s="1"/>
      <c r="D69" s="1"/>
      <c r="E69" s="44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2"/>
      <c r="AZ69" s="2"/>
      <c r="BA69" s="2"/>
    </row>
    <row r="70" spans="3:53" x14ac:dyDescent="0.25">
      <c r="C70" s="1"/>
      <c r="D70" s="1"/>
      <c r="E70" s="44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2"/>
      <c r="AZ70" s="2"/>
      <c r="BA70" s="2"/>
    </row>
    <row r="71" spans="3:53" x14ac:dyDescent="0.25">
      <c r="C71" s="1"/>
      <c r="D71" s="1"/>
      <c r="E71" s="44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2"/>
      <c r="AZ71" s="2"/>
      <c r="BA71" s="2"/>
    </row>
    <row r="72" spans="3:53" x14ac:dyDescent="0.25">
      <c r="C72" s="1"/>
      <c r="D72" s="1"/>
      <c r="E72" s="44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2"/>
      <c r="AZ72" s="2"/>
      <c r="BA72" s="2"/>
    </row>
    <row r="73" spans="3:53" x14ac:dyDescent="0.25">
      <c r="C73" s="1"/>
      <c r="D73" s="1"/>
      <c r="E73" s="44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2"/>
      <c r="AZ73" s="2"/>
      <c r="BA73" s="2"/>
    </row>
    <row r="74" spans="3:53" x14ac:dyDescent="0.25">
      <c r="C74" s="1"/>
      <c r="D74" s="1"/>
      <c r="E74" s="44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2"/>
      <c r="AZ74" s="2"/>
      <c r="BA74" s="2"/>
    </row>
    <row r="75" spans="3:53" x14ac:dyDescent="0.25">
      <c r="C75" s="1"/>
      <c r="D75" s="1"/>
      <c r="E75" s="44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2"/>
      <c r="AZ75" s="2"/>
      <c r="BA75" s="2"/>
    </row>
    <row r="76" spans="3:53" x14ac:dyDescent="0.25">
      <c r="C76" s="1"/>
      <c r="D76" s="1"/>
      <c r="E76" s="44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2"/>
      <c r="AZ76" s="2"/>
      <c r="BA76" s="2"/>
    </row>
    <row r="77" spans="3:53" x14ac:dyDescent="0.25">
      <c r="C77" s="1"/>
      <c r="D77" s="1"/>
      <c r="E77" s="44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2"/>
      <c r="AZ77" s="2"/>
      <c r="BA77" s="2"/>
    </row>
    <row r="78" spans="3:53" x14ac:dyDescent="0.25">
      <c r="C78" s="1"/>
      <c r="D78" s="1"/>
      <c r="E78" s="44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2"/>
      <c r="AZ78" s="2"/>
      <c r="BA78" s="2"/>
    </row>
    <row r="79" spans="3:53" x14ac:dyDescent="0.25">
      <c r="C79" s="1"/>
      <c r="D79" s="1"/>
      <c r="E79" s="44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2"/>
      <c r="AZ79" s="2"/>
      <c r="BA79" s="2"/>
    </row>
    <row r="80" spans="3:53" x14ac:dyDescent="0.25">
      <c r="C80" s="1"/>
      <c r="D80" s="1"/>
      <c r="E80" s="44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2"/>
      <c r="AZ80" s="2"/>
      <c r="BA80" s="2"/>
    </row>
    <row r="81" spans="3:53" x14ac:dyDescent="0.25">
      <c r="C81" s="1"/>
      <c r="D81" s="1"/>
      <c r="E81" s="44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2"/>
      <c r="AZ81" s="2"/>
      <c r="BA81" s="2"/>
    </row>
    <row r="82" spans="3:53" x14ac:dyDescent="0.25">
      <c r="C82" s="1"/>
      <c r="D82" s="1"/>
      <c r="E82" s="44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2"/>
      <c r="AZ82" s="2"/>
      <c r="BA82" s="2"/>
    </row>
    <row r="83" spans="3:53" x14ac:dyDescent="0.25">
      <c r="C83" s="1"/>
      <c r="D83" s="1"/>
      <c r="E83" s="44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2"/>
      <c r="AZ83" s="2"/>
      <c r="BA83" s="2"/>
    </row>
    <row r="84" spans="3:53" x14ac:dyDescent="0.25">
      <c r="C84" s="1"/>
      <c r="D84" s="1"/>
      <c r="E84" s="44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2"/>
      <c r="AZ84" s="2"/>
      <c r="BA84" s="2"/>
    </row>
    <row r="85" spans="3:53" x14ac:dyDescent="0.25">
      <c r="C85" s="1"/>
      <c r="D85" s="1"/>
      <c r="E85" s="44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2"/>
      <c r="AZ85" s="2"/>
      <c r="BA85" s="2"/>
    </row>
    <row r="86" spans="3:53" x14ac:dyDescent="0.25">
      <c r="C86" s="1"/>
      <c r="D86" s="1"/>
      <c r="E86" s="44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2"/>
      <c r="AZ86" s="2"/>
      <c r="BA86" s="2"/>
    </row>
    <row r="87" spans="3:53" x14ac:dyDescent="0.25">
      <c r="C87" s="1"/>
      <c r="D87" s="1"/>
      <c r="E87" s="44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2"/>
      <c r="AZ87" s="2"/>
      <c r="BA87" s="2"/>
    </row>
    <row r="88" spans="3:53" x14ac:dyDescent="0.25">
      <c r="C88" s="1"/>
      <c r="D88" s="1"/>
      <c r="E88" s="44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2"/>
      <c r="AZ88" s="2"/>
      <c r="BA88" s="2"/>
    </row>
    <row r="89" spans="3:53" x14ac:dyDescent="0.25">
      <c r="C89" s="1"/>
      <c r="D89" s="1"/>
      <c r="E89" s="44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2"/>
      <c r="AZ89" s="2"/>
      <c r="BA89" s="2"/>
    </row>
    <row r="90" spans="3:53" x14ac:dyDescent="0.25">
      <c r="C90" s="1"/>
      <c r="D90" s="1"/>
      <c r="E90" s="44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2"/>
      <c r="AZ90" s="2"/>
      <c r="BA90" s="2"/>
    </row>
    <row r="91" spans="3:53" x14ac:dyDescent="0.25">
      <c r="C91" s="1"/>
      <c r="D91" s="1"/>
      <c r="E91" s="44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2"/>
      <c r="AZ91" s="2"/>
      <c r="BA91" s="2"/>
    </row>
    <row r="92" spans="3:53" x14ac:dyDescent="0.25">
      <c r="C92" s="1"/>
      <c r="D92" s="1"/>
      <c r="E92" s="44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2"/>
      <c r="AZ92" s="2"/>
      <c r="BA92" s="2"/>
    </row>
    <row r="93" spans="3:53" x14ac:dyDescent="0.25">
      <c r="C93" s="1"/>
      <c r="D93" s="1"/>
      <c r="E93" s="44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2"/>
      <c r="AZ93" s="2"/>
      <c r="BA93" s="2"/>
    </row>
    <row r="94" spans="3:53" x14ac:dyDescent="0.25">
      <c r="C94" s="1"/>
      <c r="D94" s="1"/>
      <c r="E94" s="44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2"/>
      <c r="AZ94" s="2"/>
      <c r="BA94" s="2"/>
    </row>
    <row r="95" spans="3:53" x14ac:dyDescent="0.25">
      <c r="C95" s="1"/>
      <c r="D95" s="1"/>
      <c r="E95" s="44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2"/>
      <c r="AZ95" s="2"/>
      <c r="BA95" s="2"/>
    </row>
    <row r="96" spans="3:53" x14ac:dyDescent="0.25">
      <c r="C96" s="1"/>
      <c r="D96" s="1"/>
      <c r="E96" s="44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2"/>
      <c r="AZ96" s="2"/>
      <c r="BA96" s="2"/>
    </row>
    <row r="97" spans="3:53" x14ac:dyDescent="0.25">
      <c r="C97" s="1"/>
      <c r="D97" s="1"/>
      <c r="E97" s="44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2"/>
      <c r="AZ97" s="2"/>
      <c r="BA97" s="2"/>
    </row>
    <row r="98" spans="3:53" x14ac:dyDescent="0.25">
      <c r="C98" s="1"/>
      <c r="D98" s="1"/>
      <c r="E98" s="44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2"/>
      <c r="AZ98" s="2"/>
      <c r="BA98" s="2"/>
    </row>
    <row r="99" spans="3:53" x14ac:dyDescent="0.25">
      <c r="C99" s="1"/>
      <c r="D99" s="1"/>
      <c r="E99" s="44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2"/>
      <c r="AZ99" s="2"/>
      <c r="BA99" s="2"/>
    </row>
    <row r="100" spans="3:53" x14ac:dyDescent="0.25">
      <c r="C100" s="1"/>
      <c r="D100" s="1"/>
      <c r="E100" s="44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2"/>
      <c r="AZ100" s="2"/>
      <c r="BA100" s="2"/>
    </row>
    <row r="101" spans="3:53" x14ac:dyDescent="0.25">
      <c r="C101" s="1"/>
      <c r="D101" s="1"/>
      <c r="E101" s="44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2"/>
      <c r="AZ101" s="2"/>
      <c r="BA101" s="2"/>
    </row>
    <row r="102" spans="3:53" x14ac:dyDescent="0.25">
      <c r="C102" s="1"/>
      <c r="D102" s="1"/>
      <c r="E102" s="44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2"/>
      <c r="AZ102" s="2"/>
      <c r="BA102" s="2"/>
    </row>
    <row r="103" spans="3:53" x14ac:dyDescent="0.25">
      <c r="C103" s="1"/>
      <c r="D103" s="1"/>
      <c r="E103" s="44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2"/>
      <c r="AZ103" s="2"/>
      <c r="BA103" s="2"/>
    </row>
    <row r="104" spans="3:53" x14ac:dyDescent="0.25">
      <c r="C104" s="1"/>
      <c r="D104" s="1"/>
      <c r="E104" s="44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2"/>
      <c r="AZ104" s="2"/>
      <c r="BA104" s="2"/>
    </row>
    <row r="105" spans="3:53" x14ac:dyDescent="0.25">
      <c r="C105" s="1"/>
      <c r="D105" s="1"/>
      <c r="E105" s="44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2"/>
      <c r="AZ105" s="2"/>
      <c r="BA105" s="2"/>
    </row>
    <row r="106" spans="3:53" x14ac:dyDescent="0.25">
      <c r="C106" s="1"/>
      <c r="D106" s="1"/>
      <c r="E106" s="44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2"/>
      <c r="AZ106" s="2"/>
      <c r="BA106" s="2"/>
    </row>
    <row r="107" spans="3:53" x14ac:dyDescent="0.25">
      <c r="C107" s="1"/>
      <c r="D107" s="1"/>
      <c r="E107" s="44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2"/>
      <c r="AZ107" s="2"/>
      <c r="BA107" s="2"/>
    </row>
    <row r="108" spans="3:53" x14ac:dyDescent="0.25">
      <c r="C108" s="1"/>
      <c r="D108" s="1"/>
      <c r="E108" s="44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2"/>
      <c r="AZ108" s="2"/>
      <c r="BA108" s="2"/>
    </row>
    <row r="109" spans="3:53" x14ac:dyDescent="0.25">
      <c r="C109" s="1"/>
      <c r="D109" s="1"/>
      <c r="E109" s="44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2"/>
      <c r="AZ109" s="2"/>
      <c r="BA109" s="2"/>
    </row>
    <row r="110" spans="3:53" x14ac:dyDescent="0.25">
      <c r="C110" s="1"/>
      <c r="D110" s="1"/>
      <c r="E110" s="44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2"/>
      <c r="AZ110" s="2"/>
      <c r="BA110" s="2"/>
    </row>
    <row r="111" spans="3:53" x14ac:dyDescent="0.25">
      <c r="C111" s="1"/>
      <c r="D111" s="1"/>
      <c r="E111" s="44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2"/>
      <c r="AZ111" s="2"/>
      <c r="BA111" s="2"/>
    </row>
    <row r="112" spans="3:53" x14ac:dyDescent="0.25">
      <c r="C112" s="1"/>
      <c r="D112" s="1"/>
      <c r="E112" s="44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2"/>
      <c r="AZ112" s="2"/>
      <c r="BA112" s="2"/>
    </row>
    <row r="113" spans="3:53" x14ac:dyDescent="0.25">
      <c r="C113" s="1"/>
      <c r="D113" s="1"/>
      <c r="E113" s="44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2"/>
      <c r="AZ113" s="2"/>
      <c r="BA113" s="2"/>
    </row>
    <row r="114" spans="3:53" x14ac:dyDescent="0.25">
      <c r="C114" s="1"/>
      <c r="D114" s="1"/>
      <c r="E114" s="44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2"/>
      <c r="AZ114" s="2"/>
      <c r="BA114" s="2"/>
    </row>
    <row r="115" spans="3:53" x14ac:dyDescent="0.25">
      <c r="C115" s="1"/>
      <c r="D115" s="1"/>
      <c r="E115" s="44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2"/>
      <c r="AZ115" s="2"/>
      <c r="BA115" s="2"/>
    </row>
    <row r="116" spans="3:53" x14ac:dyDescent="0.25">
      <c r="C116" s="1"/>
      <c r="D116" s="1"/>
      <c r="E116" s="44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2"/>
      <c r="AZ116" s="2"/>
      <c r="BA116" s="2"/>
    </row>
    <row r="117" spans="3:53" x14ac:dyDescent="0.25">
      <c r="C117" s="1"/>
      <c r="D117" s="1"/>
      <c r="E117" s="44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2"/>
      <c r="AZ117" s="2"/>
      <c r="BA117" s="2"/>
    </row>
    <row r="118" spans="3:53" x14ac:dyDescent="0.25">
      <c r="C118" s="1"/>
      <c r="D118" s="1"/>
      <c r="E118" s="44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2"/>
      <c r="AZ118" s="2"/>
      <c r="BA118" s="2"/>
    </row>
    <row r="119" spans="3:53" x14ac:dyDescent="0.25">
      <c r="C119" s="1"/>
      <c r="D119" s="1"/>
      <c r="E119" s="44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2"/>
      <c r="AZ119" s="2"/>
      <c r="BA119" s="2"/>
    </row>
    <row r="120" spans="3:53" x14ac:dyDescent="0.25">
      <c r="C120" s="1"/>
      <c r="D120" s="1"/>
      <c r="E120" s="44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2"/>
      <c r="AZ120" s="2"/>
      <c r="BA120" s="2"/>
    </row>
    <row r="121" spans="3:53" x14ac:dyDescent="0.25">
      <c r="C121" s="1"/>
      <c r="D121" s="1"/>
      <c r="E121" s="44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2"/>
      <c r="AZ121" s="2"/>
      <c r="BA121" s="2"/>
    </row>
    <row r="122" spans="3:53" x14ac:dyDescent="0.25">
      <c r="C122" s="1"/>
      <c r="D122" s="1"/>
      <c r="E122" s="44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2"/>
      <c r="AZ122" s="2"/>
      <c r="BA122" s="2"/>
    </row>
    <row r="123" spans="3:53" x14ac:dyDescent="0.25">
      <c r="C123" s="1"/>
      <c r="D123" s="1"/>
      <c r="E123" s="44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2"/>
      <c r="AZ123" s="2"/>
      <c r="BA123" s="2"/>
    </row>
    <row r="124" spans="3:53" x14ac:dyDescent="0.25">
      <c r="C124" s="1"/>
      <c r="D124" s="1"/>
      <c r="E124" s="44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2"/>
      <c r="AZ124" s="2"/>
      <c r="BA124" s="2"/>
    </row>
    <row r="125" spans="3:53" x14ac:dyDescent="0.25">
      <c r="C125" s="1"/>
      <c r="D125" s="1"/>
      <c r="E125" s="44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2"/>
      <c r="AZ125" s="2"/>
      <c r="BA125" s="2"/>
    </row>
    <row r="126" spans="3:53" x14ac:dyDescent="0.25">
      <c r="C126" s="1"/>
      <c r="D126" s="1"/>
      <c r="E126" s="44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2"/>
      <c r="AZ126" s="2"/>
      <c r="BA126" s="2"/>
    </row>
    <row r="127" spans="3:53" x14ac:dyDescent="0.25">
      <c r="C127" s="1"/>
      <c r="D127" s="1"/>
      <c r="E127" s="44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2"/>
      <c r="AZ127" s="2"/>
      <c r="BA127" s="2"/>
    </row>
    <row r="128" spans="3:53" x14ac:dyDescent="0.25">
      <c r="C128" s="1"/>
      <c r="D128" s="1"/>
      <c r="E128" s="44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2"/>
      <c r="AZ128" s="2"/>
      <c r="BA128" s="2"/>
    </row>
    <row r="129" spans="3:53" x14ac:dyDescent="0.25">
      <c r="C129" s="1"/>
      <c r="D129" s="1"/>
      <c r="E129" s="44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2"/>
      <c r="AZ129" s="2"/>
      <c r="BA129" s="2"/>
    </row>
    <row r="130" spans="3:53" x14ac:dyDescent="0.25">
      <c r="C130" s="1"/>
      <c r="D130" s="1"/>
      <c r="E130" s="44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2"/>
      <c r="AZ130" s="2"/>
      <c r="BA130" s="2"/>
    </row>
    <row r="131" spans="3:53" x14ac:dyDescent="0.25">
      <c r="C131" s="1"/>
      <c r="D131" s="1"/>
      <c r="E131" s="44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2"/>
      <c r="AZ131" s="2"/>
      <c r="BA131" s="2"/>
    </row>
    <row r="132" spans="3:53" x14ac:dyDescent="0.25">
      <c r="C132" s="1"/>
      <c r="D132" s="1"/>
      <c r="E132" s="44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2"/>
      <c r="AZ132" s="2"/>
      <c r="BA132" s="2"/>
    </row>
    <row r="133" spans="3:53" x14ac:dyDescent="0.25">
      <c r="C133" s="1"/>
      <c r="D133" s="1"/>
      <c r="E133" s="44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2"/>
      <c r="AZ133" s="2"/>
      <c r="BA133" s="2"/>
    </row>
    <row r="134" spans="3:53" x14ac:dyDescent="0.25">
      <c r="C134" s="1"/>
      <c r="D134" s="1"/>
      <c r="E134" s="44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2"/>
      <c r="AZ134" s="2"/>
      <c r="BA134" s="2"/>
    </row>
    <row r="135" spans="3:53" x14ac:dyDescent="0.25">
      <c r="C135" s="1"/>
      <c r="D135" s="1"/>
      <c r="E135" s="44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2"/>
      <c r="AZ135" s="2"/>
      <c r="BA135" s="2"/>
    </row>
    <row r="136" spans="3:53" x14ac:dyDescent="0.25">
      <c r="C136" s="1"/>
      <c r="D136" s="1"/>
      <c r="E136" s="44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2"/>
      <c r="AZ136" s="2"/>
      <c r="BA136" s="2"/>
    </row>
    <row r="137" spans="3:53" x14ac:dyDescent="0.25">
      <c r="C137" s="1"/>
      <c r="D137" s="1"/>
      <c r="E137" s="44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2"/>
      <c r="AZ137" s="2"/>
      <c r="BA137" s="2"/>
    </row>
    <row r="138" spans="3:53" x14ac:dyDescent="0.25">
      <c r="C138" s="1"/>
      <c r="D138" s="1"/>
      <c r="E138" s="44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2"/>
      <c r="AZ138" s="2"/>
      <c r="BA138" s="2"/>
    </row>
    <row r="139" spans="3:53" x14ac:dyDescent="0.25">
      <c r="C139" s="1"/>
      <c r="D139" s="1"/>
      <c r="E139" s="44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2"/>
      <c r="AZ139" s="2"/>
      <c r="BA139" s="2"/>
    </row>
    <row r="140" spans="3:53" x14ac:dyDescent="0.25">
      <c r="C140" s="1"/>
      <c r="D140" s="1"/>
      <c r="E140" s="44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2"/>
      <c r="AZ140" s="2"/>
      <c r="BA140" s="2"/>
    </row>
    <row r="141" spans="3:53" x14ac:dyDescent="0.25">
      <c r="C141" s="1"/>
      <c r="D141" s="1"/>
      <c r="E141" s="44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2"/>
      <c r="AZ141" s="2"/>
      <c r="BA141" s="2"/>
    </row>
    <row r="142" spans="3:53" x14ac:dyDescent="0.25">
      <c r="C142" s="1"/>
      <c r="D142" s="1"/>
      <c r="E142" s="44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2"/>
      <c r="AZ142" s="2"/>
      <c r="BA142" s="2"/>
    </row>
    <row r="143" spans="3:53" x14ac:dyDescent="0.25">
      <c r="C143" s="1"/>
      <c r="D143" s="1"/>
      <c r="E143" s="44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2"/>
      <c r="AZ143" s="2"/>
      <c r="BA143" s="2"/>
    </row>
    <row r="144" spans="3:53" x14ac:dyDescent="0.25">
      <c r="C144" s="1"/>
      <c r="D144" s="1"/>
      <c r="E144" s="44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2"/>
      <c r="AZ144" s="2"/>
      <c r="BA144" s="2"/>
    </row>
    <row r="145" spans="3:53" x14ac:dyDescent="0.25">
      <c r="C145" s="1"/>
      <c r="D145" s="1"/>
      <c r="E145" s="44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2"/>
      <c r="AZ145" s="2"/>
      <c r="BA145" s="2"/>
    </row>
    <row r="146" spans="3:53" x14ac:dyDescent="0.25">
      <c r="C146" s="1"/>
      <c r="D146" s="1"/>
      <c r="E146" s="44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2"/>
      <c r="AZ146" s="2"/>
      <c r="BA146" s="2"/>
    </row>
    <row r="147" spans="3:53" x14ac:dyDescent="0.25">
      <c r="C147" s="1"/>
      <c r="D147" s="1"/>
      <c r="E147" s="44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2"/>
      <c r="AZ147" s="2"/>
      <c r="BA147" s="2"/>
    </row>
    <row r="148" spans="3:53" x14ac:dyDescent="0.25">
      <c r="C148" s="1"/>
      <c r="D148" s="1"/>
      <c r="E148" s="44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2"/>
      <c r="AZ148" s="2"/>
      <c r="BA148" s="2"/>
    </row>
    <row r="149" spans="3:53" x14ac:dyDescent="0.25">
      <c r="C149" s="1"/>
      <c r="D149" s="1"/>
      <c r="E149" s="44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2"/>
      <c r="AZ149" s="2"/>
      <c r="BA149" s="2"/>
    </row>
    <row r="150" spans="3:53" x14ac:dyDescent="0.25">
      <c r="C150" s="1"/>
      <c r="D150" s="1"/>
      <c r="E150" s="44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2"/>
      <c r="AZ150" s="2"/>
      <c r="BA150" s="2"/>
    </row>
    <row r="151" spans="3:53" x14ac:dyDescent="0.25">
      <c r="C151" s="1"/>
      <c r="D151" s="1"/>
      <c r="E151" s="44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2"/>
      <c r="AZ151" s="2"/>
      <c r="BA151" s="2"/>
    </row>
    <row r="152" spans="3:53" x14ac:dyDescent="0.25">
      <c r="C152" s="1"/>
      <c r="D152" s="1"/>
      <c r="E152" s="44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2"/>
      <c r="AZ152" s="2"/>
      <c r="BA152" s="2"/>
    </row>
    <row r="153" spans="3:53" x14ac:dyDescent="0.25">
      <c r="C153" s="1"/>
      <c r="D153" s="1"/>
      <c r="E153" s="44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2"/>
      <c r="AZ153" s="2"/>
      <c r="BA153" s="2"/>
    </row>
    <row r="154" spans="3:53" x14ac:dyDescent="0.25">
      <c r="C154" s="1"/>
      <c r="D154" s="1"/>
      <c r="E154" s="44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2"/>
      <c r="AZ154" s="2"/>
      <c r="BA154" s="2"/>
    </row>
    <row r="155" spans="3:53" x14ac:dyDescent="0.25">
      <c r="C155" s="1"/>
      <c r="D155" s="1"/>
      <c r="E155" s="44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2"/>
      <c r="AZ155" s="2"/>
      <c r="BA155" s="2"/>
    </row>
    <row r="156" spans="3:53" x14ac:dyDescent="0.25">
      <c r="C156" s="1"/>
      <c r="D156" s="1"/>
      <c r="E156" s="44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2"/>
      <c r="AZ156" s="2"/>
      <c r="BA156" s="2"/>
    </row>
    <row r="157" spans="3:53" x14ac:dyDescent="0.25">
      <c r="C157" s="1"/>
      <c r="D157" s="1"/>
      <c r="E157" s="44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2"/>
      <c r="AZ157" s="2"/>
      <c r="BA157" s="2"/>
    </row>
    <row r="158" spans="3:53" x14ac:dyDescent="0.25">
      <c r="C158" s="1"/>
      <c r="D158" s="1"/>
      <c r="E158" s="44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2"/>
      <c r="AZ158" s="2"/>
      <c r="BA158" s="2"/>
    </row>
    <row r="159" spans="3:53" x14ac:dyDescent="0.25">
      <c r="C159" s="1"/>
      <c r="D159" s="1"/>
      <c r="E159" s="44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2"/>
      <c r="AZ159" s="2"/>
      <c r="BA159" s="2"/>
    </row>
    <row r="160" spans="3:53" x14ac:dyDescent="0.25">
      <c r="C160" s="1"/>
      <c r="D160" s="1"/>
      <c r="E160" s="44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2"/>
      <c r="AZ160" s="2"/>
      <c r="BA160" s="2"/>
    </row>
    <row r="161" spans="3:53" x14ac:dyDescent="0.25">
      <c r="C161" s="1"/>
      <c r="D161" s="1"/>
      <c r="E161" s="44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2"/>
      <c r="AZ161" s="2"/>
      <c r="BA161" s="2"/>
    </row>
    <row r="162" spans="3:53" x14ac:dyDescent="0.25">
      <c r="C162" s="1"/>
      <c r="D162" s="1"/>
      <c r="E162" s="44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2"/>
      <c r="AZ162" s="2"/>
      <c r="BA162" s="2"/>
    </row>
    <row r="163" spans="3:53" x14ac:dyDescent="0.25">
      <c r="C163" s="1"/>
      <c r="D163" s="1"/>
      <c r="E163" s="44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2"/>
      <c r="AZ163" s="2"/>
      <c r="BA163" s="2"/>
    </row>
    <row r="164" spans="3:53" x14ac:dyDescent="0.25">
      <c r="C164" s="1"/>
      <c r="D164" s="1"/>
      <c r="E164" s="44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2"/>
      <c r="AZ164" s="2"/>
      <c r="BA164" s="2"/>
    </row>
    <row r="165" spans="3:53" x14ac:dyDescent="0.25">
      <c r="C165" s="1"/>
      <c r="D165" s="1"/>
      <c r="E165" s="44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2"/>
      <c r="AZ165" s="2"/>
      <c r="BA165" s="2"/>
    </row>
    <row r="166" spans="3:53" x14ac:dyDescent="0.25">
      <c r="C166" s="1"/>
      <c r="D166" s="1"/>
      <c r="E166" s="44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2"/>
      <c r="AZ166" s="2"/>
      <c r="BA166" s="2"/>
    </row>
    <row r="167" spans="3:53" x14ac:dyDescent="0.25">
      <c r="C167" s="1"/>
      <c r="D167" s="1"/>
      <c r="E167" s="44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2"/>
      <c r="AZ167" s="2"/>
      <c r="BA167" s="2"/>
    </row>
    <row r="168" spans="3:53" x14ac:dyDescent="0.25">
      <c r="C168" s="1"/>
      <c r="D168" s="1"/>
      <c r="E168" s="44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2"/>
      <c r="AZ168" s="2"/>
      <c r="BA168" s="2"/>
    </row>
    <row r="169" spans="3:53" x14ac:dyDescent="0.25">
      <c r="C169" s="1"/>
      <c r="D169" s="1"/>
      <c r="E169" s="44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2"/>
      <c r="AZ169" s="2"/>
      <c r="BA169" s="2"/>
    </row>
    <row r="170" spans="3:53" x14ac:dyDescent="0.25">
      <c r="C170" s="1"/>
      <c r="D170" s="1"/>
      <c r="E170" s="44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2"/>
      <c r="AZ170" s="2"/>
      <c r="BA170" s="2"/>
    </row>
    <row r="171" spans="3:53" x14ac:dyDescent="0.25">
      <c r="C171" s="1"/>
      <c r="D171" s="1"/>
      <c r="E171" s="44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2"/>
      <c r="AZ171" s="2"/>
      <c r="BA171" s="2"/>
    </row>
    <row r="172" spans="3:53" x14ac:dyDescent="0.25">
      <c r="C172" s="1"/>
      <c r="D172" s="1"/>
      <c r="E172" s="44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2"/>
      <c r="AZ172" s="2"/>
      <c r="BA172" s="2"/>
    </row>
    <row r="173" spans="3:53" x14ac:dyDescent="0.25">
      <c r="C173" s="1"/>
      <c r="D173" s="1"/>
      <c r="E173" s="44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2"/>
      <c r="AZ173" s="2"/>
      <c r="BA173" s="2"/>
    </row>
    <row r="174" spans="3:53" x14ac:dyDescent="0.25">
      <c r="C174" s="1"/>
      <c r="D174" s="1"/>
      <c r="E174" s="44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2"/>
      <c r="AZ174" s="2"/>
      <c r="BA174" s="2"/>
    </row>
    <row r="175" spans="3:53" x14ac:dyDescent="0.25">
      <c r="C175" s="1"/>
      <c r="D175" s="1"/>
      <c r="E175" s="44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2"/>
      <c r="AZ175" s="2"/>
      <c r="BA175" s="2"/>
    </row>
    <row r="176" spans="3:53" x14ac:dyDescent="0.25">
      <c r="C176" s="1"/>
      <c r="D176" s="1"/>
      <c r="E176" s="44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2"/>
      <c r="AZ176" s="2"/>
      <c r="BA176" s="2"/>
    </row>
    <row r="177" spans="3:53" x14ac:dyDescent="0.25">
      <c r="C177" s="1"/>
      <c r="D177" s="1"/>
      <c r="E177" s="44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2"/>
      <c r="AZ177" s="2"/>
      <c r="BA177" s="2"/>
    </row>
    <row r="178" spans="3:53" x14ac:dyDescent="0.25">
      <c r="C178" s="1"/>
      <c r="D178" s="1"/>
      <c r="E178" s="44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2"/>
      <c r="AZ178" s="2"/>
      <c r="BA178" s="2"/>
    </row>
    <row r="179" spans="3:53" x14ac:dyDescent="0.25">
      <c r="C179" s="1"/>
      <c r="D179" s="1"/>
      <c r="E179" s="44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2"/>
      <c r="AZ179" s="2"/>
      <c r="BA179" s="2"/>
    </row>
    <row r="180" spans="3:53" x14ac:dyDescent="0.25">
      <c r="C180" s="1"/>
      <c r="D180" s="1"/>
      <c r="E180" s="44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2"/>
      <c r="AZ180" s="2"/>
      <c r="BA180" s="2"/>
    </row>
    <row r="181" spans="3:53" x14ac:dyDescent="0.25">
      <c r="C181" s="1"/>
      <c r="D181" s="1"/>
      <c r="E181" s="44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2"/>
      <c r="AZ181" s="2"/>
      <c r="BA181" s="2"/>
    </row>
    <row r="182" spans="3:53" x14ac:dyDescent="0.25">
      <c r="C182" s="1"/>
      <c r="D182" s="1"/>
      <c r="E182" s="44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2"/>
      <c r="AZ182" s="2"/>
      <c r="BA182" s="2"/>
    </row>
    <row r="183" spans="3:53" x14ac:dyDescent="0.25">
      <c r="C183" s="1"/>
      <c r="D183" s="1"/>
      <c r="E183" s="44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2"/>
      <c r="AZ183" s="2"/>
      <c r="BA183" s="2"/>
    </row>
    <row r="184" spans="3:53" x14ac:dyDescent="0.25">
      <c r="C184" s="1"/>
      <c r="D184" s="1"/>
      <c r="E184" s="44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2"/>
      <c r="AZ184" s="2"/>
      <c r="BA184" s="2"/>
    </row>
    <row r="185" spans="3:53" x14ac:dyDescent="0.25">
      <c r="C185" s="1"/>
      <c r="D185" s="1"/>
      <c r="E185" s="44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2"/>
      <c r="AZ185" s="2"/>
      <c r="BA185" s="2"/>
    </row>
    <row r="186" spans="3:53" x14ac:dyDescent="0.25">
      <c r="C186" s="1"/>
      <c r="D186" s="1"/>
      <c r="E186" s="44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2"/>
      <c r="AZ186" s="2"/>
      <c r="BA186" s="2"/>
    </row>
    <row r="187" spans="3:53" x14ac:dyDescent="0.25">
      <c r="C187" s="1"/>
      <c r="D187" s="1"/>
      <c r="E187" s="44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2"/>
      <c r="AZ187" s="2"/>
      <c r="BA187" s="2"/>
    </row>
    <row r="188" spans="3:53" x14ac:dyDescent="0.25">
      <c r="C188" s="1"/>
      <c r="D188" s="1"/>
      <c r="E188" s="44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2"/>
      <c r="AZ188" s="2"/>
      <c r="BA188" s="2"/>
    </row>
    <row r="189" spans="3:53" x14ac:dyDescent="0.25">
      <c r="C189" s="1"/>
      <c r="D189" s="1"/>
      <c r="E189" s="44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2"/>
      <c r="AZ189" s="2"/>
      <c r="BA189" s="2"/>
    </row>
    <row r="190" spans="3:53" x14ac:dyDescent="0.25">
      <c r="C190" s="1"/>
      <c r="D190" s="1"/>
      <c r="E190" s="44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2"/>
      <c r="AZ190" s="2"/>
      <c r="BA190" s="2"/>
    </row>
    <row r="191" spans="3:53" x14ac:dyDescent="0.25">
      <c r="C191" s="1"/>
      <c r="D191" s="1"/>
      <c r="E191" s="44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2"/>
      <c r="AZ191" s="2"/>
      <c r="BA191" s="2"/>
    </row>
    <row r="192" spans="3:53" x14ac:dyDescent="0.25">
      <c r="C192" s="1"/>
      <c r="D192" s="1"/>
      <c r="E192" s="44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2"/>
      <c r="AZ192" s="2"/>
      <c r="BA192" s="2"/>
    </row>
    <row r="193" spans="3:53" x14ac:dyDescent="0.25">
      <c r="C193" s="1"/>
      <c r="D193" s="1"/>
      <c r="E193" s="44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2"/>
      <c r="AZ193" s="2"/>
      <c r="BA193" s="2"/>
    </row>
    <row r="194" spans="3:53" x14ac:dyDescent="0.25">
      <c r="C194" s="1"/>
      <c r="D194" s="1"/>
      <c r="E194" s="44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2"/>
      <c r="AZ194" s="2"/>
      <c r="BA194" s="2"/>
    </row>
    <row r="195" spans="3:53" x14ac:dyDescent="0.25">
      <c r="C195" s="1"/>
      <c r="D195" s="1"/>
      <c r="E195" s="44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2"/>
      <c r="AZ195" s="2"/>
      <c r="BA195" s="2"/>
    </row>
    <row r="196" spans="3:53" x14ac:dyDescent="0.25">
      <c r="C196" s="1"/>
      <c r="D196" s="1"/>
      <c r="E196" s="44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2"/>
      <c r="AZ196" s="2"/>
      <c r="BA196" s="2"/>
    </row>
    <row r="197" spans="3:53" x14ac:dyDescent="0.25">
      <c r="C197" s="1"/>
      <c r="D197" s="1"/>
      <c r="E197" s="44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2"/>
      <c r="AZ197" s="2"/>
      <c r="BA197" s="2"/>
    </row>
    <row r="198" spans="3:53" x14ac:dyDescent="0.25">
      <c r="C198" s="1"/>
      <c r="D198" s="1"/>
      <c r="E198" s="44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2"/>
      <c r="AZ198" s="2"/>
      <c r="BA198" s="2"/>
    </row>
    <row r="199" spans="3:53" x14ac:dyDescent="0.25">
      <c r="C199" s="1"/>
      <c r="D199" s="1"/>
      <c r="E199" s="44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2"/>
      <c r="AZ199" s="2"/>
      <c r="BA199" s="2"/>
    </row>
    <row r="200" spans="3:53" x14ac:dyDescent="0.25">
      <c r="C200" s="1"/>
      <c r="D200" s="1"/>
      <c r="E200" s="44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2"/>
      <c r="AZ200" s="2"/>
      <c r="BA200" s="2"/>
    </row>
    <row r="201" spans="3:53" x14ac:dyDescent="0.25">
      <c r="C201" s="1"/>
      <c r="D201" s="1"/>
      <c r="E201" s="44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2"/>
      <c r="AZ201" s="2"/>
      <c r="BA201" s="2"/>
    </row>
    <row r="202" spans="3:53" x14ac:dyDescent="0.25">
      <c r="C202" s="1"/>
      <c r="D202" s="1"/>
      <c r="E202" s="44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2"/>
      <c r="AZ202" s="2"/>
      <c r="BA202" s="2"/>
    </row>
    <row r="203" spans="3:53" x14ac:dyDescent="0.25">
      <c r="C203" s="1"/>
      <c r="D203" s="1"/>
      <c r="E203" s="44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2"/>
      <c r="AZ203" s="2"/>
      <c r="BA203" s="2"/>
    </row>
    <row r="204" spans="3:53" x14ac:dyDescent="0.25">
      <c r="C204" s="1"/>
      <c r="D204" s="1"/>
      <c r="E204" s="44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2"/>
      <c r="AZ204" s="2"/>
      <c r="BA204" s="2"/>
    </row>
    <row r="205" spans="3:53" x14ac:dyDescent="0.25">
      <c r="C205" s="1"/>
      <c r="D205" s="1"/>
      <c r="E205" s="44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2"/>
      <c r="AZ205" s="2"/>
      <c r="BA205" s="2"/>
    </row>
    <row r="206" spans="3:53" x14ac:dyDescent="0.25">
      <c r="C206" s="1"/>
      <c r="D206" s="1"/>
      <c r="E206" s="44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2"/>
      <c r="AZ206" s="2"/>
      <c r="BA206" s="2"/>
    </row>
    <row r="207" spans="3:53" x14ac:dyDescent="0.25">
      <c r="C207" s="1"/>
      <c r="D207" s="1"/>
      <c r="E207" s="44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2"/>
      <c r="AZ207" s="2"/>
      <c r="BA207" s="2"/>
    </row>
    <row r="208" spans="3:53" x14ac:dyDescent="0.25">
      <c r="C208" s="1"/>
      <c r="D208" s="1"/>
      <c r="E208" s="44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2"/>
      <c r="AZ208" s="2"/>
      <c r="BA208" s="2"/>
    </row>
    <row r="209" spans="3:53" x14ac:dyDescent="0.25">
      <c r="C209" s="1"/>
      <c r="D209" s="1"/>
      <c r="E209" s="44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2"/>
      <c r="AZ209" s="2"/>
      <c r="BA209" s="2"/>
    </row>
    <row r="210" spans="3:53" x14ac:dyDescent="0.25">
      <c r="C210" s="1"/>
      <c r="D210" s="1"/>
      <c r="E210" s="44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2"/>
      <c r="AZ210" s="2"/>
      <c r="BA210" s="2"/>
    </row>
    <row r="211" spans="3:53" x14ac:dyDescent="0.25">
      <c r="C211" s="1"/>
      <c r="D211" s="1"/>
      <c r="E211" s="44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2"/>
      <c r="AZ211" s="2"/>
      <c r="BA211" s="2"/>
    </row>
    <row r="212" spans="3:53" x14ac:dyDescent="0.25">
      <c r="C212" s="1"/>
      <c r="D212" s="1"/>
      <c r="E212" s="44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2"/>
      <c r="AZ212" s="2"/>
      <c r="BA212" s="2"/>
    </row>
    <row r="213" spans="3:53" x14ac:dyDescent="0.25">
      <c r="C213" s="1"/>
      <c r="D213" s="1"/>
      <c r="E213" s="44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2"/>
      <c r="AZ213" s="2"/>
      <c r="BA213" s="2"/>
    </row>
    <row r="214" spans="3:53" x14ac:dyDescent="0.25">
      <c r="C214" s="1"/>
      <c r="D214" s="1"/>
      <c r="E214" s="44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2"/>
      <c r="AZ214" s="2"/>
      <c r="BA214" s="2"/>
    </row>
    <row r="215" spans="3:53" x14ac:dyDescent="0.25">
      <c r="C215" s="1"/>
      <c r="D215" s="1"/>
      <c r="E215" s="44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2"/>
      <c r="AZ215" s="2"/>
      <c r="BA215" s="2"/>
    </row>
    <row r="216" spans="3:53" x14ac:dyDescent="0.25">
      <c r="C216" s="1"/>
      <c r="D216" s="1"/>
      <c r="E216" s="44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2"/>
      <c r="AZ216" s="2"/>
      <c r="BA216" s="2"/>
    </row>
    <row r="217" spans="3:53" x14ac:dyDescent="0.25">
      <c r="C217" s="1"/>
      <c r="D217" s="1"/>
      <c r="E217" s="44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2"/>
      <c r="AZ217" s="2"/>
      <c r="BA217" s="2"/>
    </row>
    <row r="218" spans="3:53" x14ac:dyDescent="0.25">
      <c r="C218" s="1"/>
      <c r="D218" s="1"/>
      <c r="E218" s="44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2"/>
      <c r="AZ218" s="2"/>
      <c r="BA218" s="2"/>
    </row>
    <row r="219" spans="3:53" x14ac:dyDescent="0.25">
      <c r="C219" s="1"/>
      <c r="D219" s="1"/>
      <c r="E219" s="44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2"/>
      <c r="AZ219" s="2"/>
      <c r="BA219" s="2"/>
    </row>
    <row r="220" spans="3:53" x14ac:dyDescent="0.25">
      <c r="C220" s="1"/>
      <c r="D220" s="1"/>
      <c r="E220" s="44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2"/>
      <c r="AZ220" s="2"/>
      <c r="BA220" s="2"/>
    </row>
    <row r="221" spans="3:53" x14ac:dyDescent="0.25">
      <c r="C221" s="1"/>
      <c r="D221" s="1"/>
      <c r="E221" s="44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2"/>
      <c r="AZ221" s="2"/>
      <c r="BA221" s="2"/>
    </row>
    <row r="222" spans="3:53" x14ac:dyDescent="0.25">
      <c r="C222" s="1"/>
      <c r="D222" s="1"/>
      <c r="E222" s="44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2"/>
      <c r="AZ222" s="2"/>
      <c r="BA222" s="2"/>
    </row>
    <row r="223" spans="3:53" x14ac:dyDescent="0.25">
      <c r="C223" s="1"/>
      <c r="D223" s="1"/>
      <c r="E223" s="44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2"/>
      <c r="AZ223" s="2"/>
      <c r="BA223" s="2"/>
    </row>
    <row r="224" spans="3:53" x14ac:dyDescent="0.25">
      <c r="C224" s="1"/>
      <c r="D224" s="1"/>
      <c r="E224" s="44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2"/>
      <c r="AZ224" s="2"/>
      <c r="BA224" s="2"/>
    </row>
    <row r="225" spans="1:53" x14ac:dyDescent="0.25">
      <c r="C225" s="1"/>
      <c r="D225" s="1"/>
      <c r="E225" s="44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2"/>
      <c r="AZ225" s="2"/>
      <c r="BA225" s="2"/>
    </row>
    <row r="226" spans="1:53" x14ac:dyDescent="0.25">
      <c r="C226" s="1"/>
      <c r="D226" s="1"/>
      <c r="E226" s="44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2"/>
      <c r="AZ226" s="2"/>
      <c r="BA226" s="2"/>
    </row>
    <row r="227" spans="1:53" x14ac:dyDescent="0.25">
      <c r="C227" s="1"/>
      <c r="D227" s="1"/>
      <c r="E227" s="44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2"/>
      <c r="AZ227" s="2"/>
      <c r="BA227" s="2"/>
    </row>
    <row r="228" spans="1:53" x14ac:dyDescent="0.25">
      <c r="C228" s="1"/>
      <c r="D228" s="1"/>
      <c r="E228" s="44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2"/>
      <c r="AZ228" s="2"/>
      <c r="BA228" s="2"/>
    </row>
    <row r="229" spans="1:53" x14ac:dyDescent="0.25">
      <c r="C229" s="1"/>
      <c r="D229" s="1"/>
      <c r="E229" s="44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2"/>
      <c r="AZ229" s="2"/>
      <c r="BA229" s="2"/>
    </row>
    <row r="230" spans="1:53" x14ac:dyDescent="0.25">
      <c r="C230" s="1"/>
      <c r="D230" s="1"/>
      <c r="E230" s="44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2"/>
      <c r="AZ230" s="2"/>
      <c r="BA230" s="2"/>
    </row>
    <row r="231" spans="1:53" x14ac:dyDescent="0.25">
      <c r="C231" s="1"/>
      <c r="D231" s="1"/>
      <c r="E231" s="44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2"/>
      <c r="AZ231" s="2"/>
      <c r="BA231" s="2"/>
    </row>
    <row r="232" spans="1:53" x14ac:dyDescent="0.25">
      <c r="A232" s="4"/>
      <c r="B232" s="5"/>
      <c r="C232" s="5"/>
      <c r="D232" s="5"/>
      <c r="E232" s="4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2"/>
      <c r="AZ232" s="2"/>
      <c r="BA232" s="2"/>
    </row>
    <row r="233" spans="1:53" x14ac:dyDescent="0.25">
      <c r="C233" s="1"/>
      <c r="D233" s="1"/>
      <c r="E233" s="44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2"/>
      <c r="AZ233" s="2"/>
      <c r="BA233" s="2"/>
    </row>
    <row r="234" spans="1:53" x14ac:dyDescent="0.25">
      <c r="C234" s="1"/>
      <c r="D234" s="1"/>
      <c r="E234" s="44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2"/>
      <c r="AZ234" s="2"/>
      <c r="BA234" s="2"/>
    </row>
    <row r="235" spans="1:53" x14ac:dyDescent="0.25">
      <c r="C235" s="1"/>
      <c r="D235" s="1"/>
      <c r="E235" s="44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2"/>
      <c r="AZ235" s="2"/>
      <c r="BA235" s="2"/>
    </row>
    <row r="236" spans="1:53" x14ac:dyDescent="0.25">
      <c r="C236" s="1"/>
      <c r="D236" s="1"/>
      <c r="E236" s="44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2"/>
      <c r="AZ236" s="2"/>
      <c r="BA236" s="2"/>
    </row>
    <row r="237" spans="1:53" x14ac:dyDescent="0.25">
      <c r="C237" s="1"/>
      <c r="D237" s="1"/>
      <c r="E237" s="44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2"/>
      <c r="AZ237" s="2"/>
      <c r="BA237" s="2"/>
    </row>
    <row r="238" spans="1:53" x14ac:dyDescent="0.25">
      <c r="C238" s="1"/>
      <c r="D238" s="1"/>
      <c r="E238" s="44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2"/>
      <c r="AZ238" s="2"/>
      <c r="BA238" s="2"/>
    </row>
    <row r="239" spans="1:53" x14ac:dyDescent="0.25">
      <c r="C239" s="1"/>
      <c r="D239" s="1"/>
      <c r="E239" s="44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2"/>
      <c r="AZ239" s="2"/>
      <c r="BA239" s="2"/>
    </row>
    <row r="240" spans="1:53" x14ac:dyDescent="0.25">
      <c r="C240" s="1"/>
      <c r="D240" s="1"/>
      <c r="E240" s="44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2"/>
      <c r="AZ240" s="2"/>
      <c r="BA240" s="2"/>
    </row>
    <row r="241" spans="3:53" x14ac:dyDescent="0.25">
      <c r="C241" s="1"/>
      <c r="D241" s="1"/>
      <c r="E241" s="44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2"/>
      <c r="AZ241" s="2"/>
      <c r="BA241" s="2"/>
    </row>
    <row r="242" spans="3:53" x14ac:dyDescent="0.25">
      <c r="C242" s="1"/>
      <c r="D242" s="1"/>
      <c r="E242" s="44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2"/>
      <c r="AZ242" s="2"/>
      <c r="BA242" s="2"/>
    </row>
    <row r="243" spans="3:53" x14ac:dyDescent="0.25">
      <c r="C243" s="1"/>
      <c r="D243" s="1"/>
      <c r="E243" s="44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2"/>
      <c r="AZ243" s="2"/>
      <c r="BA243" s="2"/>
    </row>
    <row r="244" spans="3:53" x14ac:dyDescent="0.25">
      <c r="C244" s="1"/>
      <c r="D244" s="1"/>
      <c r="E244" s="44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2"/>
      <c r="AZ244" s="2"/>
      <c r="BA244" s="2"/>
    </row>
    <row r="245" spans="3:53" x14ac:dyDescent="0.25">
      <c r="C245" s="1"/>
      <c r="D245" s="1"/>
      <c r="E245" s="44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2"/>
      <c r="AZ245" s="2"/>
      <c r="BA245" s="2"/>
    </row>
    <row r="246" spans="3:53" x14ac:dyDescent="0.25">
      <c r="C246" s="1"/>
      <c r="D246" s="1"/>
      <c r="E246" s="44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2"/>
      <c r="AZ246" s="2"/>
      <c r="BA246" s="2"/>
    </row>
    <row r="247" spans="3:53" x14ac:dyDescent="0.25">
      <c r="C247" s="1"/>
      <c r="D247" s="1"/>
      <c r="E247" s="44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2"/>
      <c r="AZ247" s="2"/>
      <c r="BA247" s="2"/>
    </row>
    <row r="248" spans="3:53" x14ac:dyDescent="0.25">
      <c r="C248" s="1"/>
      <c r="D248" s="1"/>
      <c r="E248" s="44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2"/>
      <c r="AZ248" s="2"/>
      <c r="BA248" s="2"/>
    </row>
    <row r="249" spans="3:53" x14ac:dyDescent="0.25">
      <c r="C249" s="1"/>
      <c r="D249" s="1"/>
      <c r="E249" s="44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2"/>
      <c r="AZ249" s="2"/>
      <c r="BA249" s="2"/>
    </row>
    <row r="250" spans="3:53" x14ac:dyDescent="0.25">
      <c r="C250" s="1"/>
      <c r="D250" s="1"/>
      <c r="E250" s="44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2"/>
      <c r="AZ250" s="2"/>
      <c r="BA250" s="2"/>
    </row>
    <row r="251" spans="3:53" x14ac:dyDescent="0.25">
      <c r="C251" s="1"/>
      <c r="D251" s="1"/>
      <c r="E251" s="44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2"/>
      <c r="AZ251" s="2"/>
      <c r="BA251" s="2"/>
    </row>
    <row r="252" spans="3:53" x14ac:dyDescent="0.25">
      <c r="C252" s="1"/>
      <c r="D252" s="1"/>
      <c r="E252" s="44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2"/>
      <c r="AZ252" s="2"/>
      <c r="BA252" s="2"/>
    </row>
    <row r="253" spans="3:53" x14ac:dyDescent="0.25">
      <c r="C253" s="1"/>
      <c r="D253" s="1"/>
      <c r="E253" s="44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2"/>
      <c r="AZ253" s="2"/>
      <c r="BA253" s="2"/>
    </row>
    <row r="254" spans="3:53" x14ac:dyDescent="0.25">
      <c r="C254" s="1"/>
      <c r="D254" s="1"/>
      <c r="E254" s="44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2"/>
      <c r="AZ254" s="2"/>
      <c r="BA254" s="2"/>
    </row>
    <row r="255" spans="3:53" x14ac:dyDescent="0.25">
      <c r="C255" s="1"/>
      <c r="D255" s="1"/>
      <c r="E255" s="44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2"/>
      <c r="AZ255" s="2"/>
      <c r="BA255" s="2"/>
    </row>
    <row r="256" spans="3:53" x14ac:dyDescent="0.25">
      <c r="C256" s="1"/>
      <c r="D256" s="1"/>
      <c r="E256" s="44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2"/>
      <c r="AZ256" s="2"/>
      <c r="BA256" s="2"/>
    </row>
    <row r="257" spans="3:53" x14ac:dyDescent="0.25">
      <c r="C257" s="1"/>
      <c r="D257" s="1"/>
      <c r="E257" s="44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2"/>
      <c r="AZ257" s="2"/>
      <c r="BA257" s="2"/>
    </row>
    <row r="258" spans="3:53" x14ac:dyDescent="0.25">
      <c r="C258" s="1"/>
      <c r="D258" s="1"/>
      <c r="E258" s="44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2"/>
      <c r="AZ258" s="2"/>
      <c r="BA258" s="2"/>
    </row>
    <row r="259" spans="3:53" x14ac:dyDescent="0.25">
      <c r="C259" s="1"/>
      <c r="D259" s="1"/>
      <c r="E259" s="44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2"/>
      <c r="AZ259" s="2"/>
      <c r="BA259" s="2"/>
    </row>
    <row r="260" spans="3:53" x14ac:dyDescent="0.25">
      <c r="C260" s="1"/>
      <c r="D260" s="1"/>
      <c r="E260" s="44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2"/>
      <c r="AZ260" s="2"/>
      <c r="BA260" s="2"/>
    </row>
    <row r="261" spans="3:53" x14ac:dyDescent="0.25">
      <c r="C261" s="1"/>
      <c r="D261" s="1"/>
      <c r="E261" s="44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2"/>
      <c r="AZ261" s="2"/>
      <c r="BA261" s="2"/>
    </row>
    <row r="262" spans="3:53" x14ac:dyDescent="0.25">
      <c r="C262" s="1"/>
      <c r="D262" s="1"/>
      <c r="E262" s="44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2"/>
      <c r="AZ262" s="2"/>
      <c r="BA262" s="2"/>
    </row>
    <row r="263" spans="3:53" x14ac:dyDescent="0.25">
      <c r="C263" s="1"/>
      <c r="D263" s="1"/>
      <c r="E263" s="44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2"/>
      <c r="AZ263" s="2"/>
      <c r="BA263" s="2"/>
    </row>
    <row r="264" spans="3:53" x14ac:dyDescent="0.25">
      <c r="C264" s="1"/>
      <c r="D264" s="1"/>
      <c r="E264" s="44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2"/>
      <c r="AZ264" s="2"/>
      <c r="BA264" s="2"/>
    </row>
    <row r="265" spans="3:53" x14ac:dyDescent="0.25">
      <c r="C265" s="1"/>
      <c r="D265" s="1"/>
      <c r="E265" s="44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2"/>
      <c r="AZ265" s="2"/>
      <c r="BA265" s="2"/>
    </row>
    <row r="266" spans="3:53" x14ac:dyDescent="0.25">
      <c r="C266" s="1"/>
      <c r="D266" s="1"/>
      <c r="E266" s="44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2"/>
      <c r="AZ266" s="2"/>
      <c r="BA266" s="2"/>
    </row>
    <row r="267" spans="3:53" x14ac:dyDescent="0.25">
      <c r="C267" s="1"/>
      <c r="D267" s="1"/>
      <c r="E267" s="44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2"/>
      <c r="AZ267" s="2"/>
      <c r="BA267" s="2"/>
    </row>
    <row r="268" spans="3:53" x14ac:dyDescent="0.25">
      <c r="C268" s="1"/>
      <c r="D268" s="1"/>
      <c r="E268" s="44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2"/>
      <c r="AZ268" s="2"/>
      <c r="BA268" s="2"/>
    </row>
    <row r="269" spans="3:53" x14ac:dyDescent="0.25">
      <c r="C269" s="1"/>
      <c r="D269" s="1"/>
      <c r="E269" s="44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2"/>
      <c r="AZ269" s="2"/>
      <c r="BA269" s="2"/>
    </row>
    <row r="270" spans="3:53" x14ac:dyDescent="0.25">
      <c r="C270" s="1"/>
      <c r="D270" s="1"/>
      <c r="E270" s="44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2"/>
      <c r="AZ270" s="2"/>
      <c r="BA270" s="2"/>
    </row>
    <row r="271" spans="3:53" x14ac:dyDescent="0.25">
      <c r="C271" s="1"/>
      <c r="D271" s="1"/>
      <c r="E271" s="44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2"/>
      <c r="AZ271" s="2"/>
      <c r="BA271" s="2"/>
    </row>
    <row r="272" spans="3:53" x14ac:dyDescent="0.25">
      <c r="C272" s="1"/>
      <c r="D272" s="1"/>
      <c r="E272" s="44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2"/>
      <c r="AZ272" s="2"/>
      <c r="BA272" s="2"/>
    </row>
    <row r="273" spans="3:53" x14ac:dyDescent="0.25">
      <c r="C273" s="1"/>
      <c r="D273" s="1"/>
      <c r="E273" s="44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2"/>
      <c r="AZ273" s="2"/>
      <c r="BA273" s="2"/>
    </row>
    <row r="274" spans="3:53" x14ac:dyDescent="0.25">
      <c r="C274" s="1"/>
      <c r="D274" s="1"/>
      <c r="E274" s="44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2"/>
      <c r="AZ274" s="2"/>
      <c r="BA274" s="2"/>
    </row>
    <row r="275" spans="3:53" x14ac:dyDescent="0.25">
      <c r="C275" s="1"/>
      <c r="D275" s="1"/>
      <c r="E275" s="44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2"/>
      <c r="AZ275" s="2"/>
      <c r="BA275" s="2"/>
    </row>
    <row r="276" spans="3:53" x14ac:dyDescent="0.25">
      <c r="C276" s="1"/>
      <c r="D276" s="1"/>
      <c r="E276" s="44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2"/>
      <c r="AZ276" s="2"/>
      <c r="BA276" s="2"/>
    </row>
    <row r="277" spans="3:53" x14ac:dyDescent="0.25">
      <c r="C277" s="1"/>
      <c r="D277" s="1"/>
      <c r="E277" s="44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2"/>
      <c r="AZ277" s="2"/>
      <c r="BA277" s="2"/>
    </row>
    <row r="278" spans="3:53" x14ac:dyDescent="0.25">
      <c r="C278" s="1"/>
      <c r="D278" s="1"/>
      <c r="E278" s="44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2"/>
      <c r="AZ278" s="2"/>
      <c r="BA278" s="2"/>
    </row>
    <row r="279" spans="3:53" x14ac:dyDescent="0.25">
      <c r="C279" s="1"/>
      <c r="D279" s="1"/>
      <c r="E279" s="44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2"/>
      <c r="AZ279" s="2"/>
      <c r="BA279" s="2"/>
    </row>
    <row r="280" spans="3:53" x14ac:dyDescent="0.25">
      <c r="C280" s="1"/>
      <c r="D280" s="1"/>
      <c r="E280" s="44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2"/>
      <c r="AZ280" s="2"/>
      <c r="BA280" s="2"/>
    </row>
    <row r="281" spans="3:53" x14ac:dyDescent="0.25">
      <c r="C281" s="1"/>
      <c r="D281" s="1"/>
      <c r="E281" s="44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2"/>
      <c r="AZ281" s="2"/>
      <c r="BA281" s="2"/>
    </row>
    <row r="282" spans="3:53" x14ac:dyDescent="0.25">
      <c r="C282" s="1"/>
      <c r="D282" s="1"/>
      <c r="E282" s="44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2"/>
      <c r="AZ282" s="2"/>
      <c r="BA282" s="2"/>
    </row>
    <row r="283" spans="3:53" x14ac:dyDescent="0.25">
      <c r="C283" s="1"/>
      <c r="D283" s="1"/>
      <c r="E283" s="44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2"/>
      <c r="AZ283" s="2"/>
      <c r="BA283" s="2"/>
    </row>
    <row r="284" spans="3:53" x14ac:dyDescent="0.25">
      <c r="C284" s="1"/>
      <c r="D284" s="1"/>
      <c r="E284" s="44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2"/>
      <c r="AZ284" s="2"/>
      <c r="BA284" s="2"/>
    </row>
    <row r="285" spans="3:53" x14ac:dyDescent="0.25">
      <c r="C285" s="1"/>
      <c r="D285" s="1"/>
      <c r="E285" s="44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2"/>
      <c r="AZ285" s="2"/>
      <c r="BA285" s="2"/>
    </row>
    <row r="286" spans="3:53" x14ac:dyDescent="0.25">
      <c r="C286" s="1"/>
      <c r="D286" s="1"/>
      <c r="E286" s="44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2"/>
      <c r="AZ286" s="2"/>
      <c r="BA286" s="2"/>
    </row>
    <row r="287" spans="3:53" x14ac:dyDescent="0.25">
      <c r="C287" s="1"/>
      <c r="D287" s="1"/>
      <c r="E287" s="44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2"/>
      <c r="AZ287" s="2"/>
      <c r="BA287" s="2"/>
    </row>
    <row r="288" spans="3:53" x14ac:dyDescent="0.25">
      <c r="C288" s="1"/>
      <c r="D288" s="1"/>
      <c r="E288" s="44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2"/>
      <c r="AZ288" s="2"/>
      <c r="BA288" s="2"/>
    </row>
    <row r="289" spans="3:53" x14ac:dyDescent="0.25">
      <c r="C289" s="1"/>
      <c r="D289" s="1"/>
      <c r="E289" s="44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2"/>
      <c r="AZ289" s="2"/>
      <c r="BA289" s="2"/>
    </row>
    <row r="290" spans="3:53" x14ac:dyDescent="0.25">
      <c r="C290" s="1"/>
      <c r="D290" s="1"/>
      <c r="E290" s="44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2"/>
      <c r="AZ290" s="2"/>
      <c r="BA290" s="2"/>
    </row>
    <row r="291" spans="3:53" x14ac:dyDescent="0.25">
      <c r="C291" s="1"/>
      <c r="D291" s="1"/>
      <c r="E291" s="44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2"/>
      <c r="AZ291" s="2"/>
      <c r="BA291" s="2"/>
    </row>
    <row r="292" spans="3:53" x14ac:dyDescent="0.25">
      <c r="C292" s="1"/>
      <c r="D292" s="1"/>
      <c r="E292" s="44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2"/>
      <c r="AZ292" s="2"/>
      <c r="BA292" s="2"/>
    </row>
    <row r="293" spans="3:53" x14ac:dyDescent="0.25">
      <c r="C293" s="1"/>
      <c r="D293" s="1"/>
      <c r="E293" s="44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2"/>
      <c r="AZ293" s="2"/>
      <c r="BA293" s="2"/>
    </row>
    <row r="294" spans="3:53" x14ac:dyDescent="0.25">
      <c r="C294" s="1"/>
      <c r="D294" s="1"/>
      <c r="E294" s="44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2"/>
      <c r="AZ294" s="2"/>
      <c r="BA294" s="2"/>
    </row>
    <row r="295" spans="3:53" x14ac:dyDescent="0.25">
      <c r="C295" s="1"/>
      <c r="D295" s="1"/>
      <c r="E295" s="44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2"/>
      <c r="AZ295" s="2"/>
      <c r="BA295" s="2"/>
    </row>
    <row r="296" spans="3:53" x14ac:dyDescent="0.25">
      <c r="C296" s="1"/>
      <c r="D296" s="1"/>
      <c r="E296" s="44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2"/>
      <c r="AZ296" s="2"/>
      <c r="BA296" s="2"/>
    </row>
    <row r="297" spans="3:53" x14ac:dyDescent="0.25">
      <c r="C297" s="1"/>
      <c r="D297" s="1"/>
      <c r="E297" s="44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2"/>
      <c r="AZ297" s="2"/>
      <c r="BA297" s="2"/>
    </row>
    <row r="298" spans="3:53" x14ac:dyDescent="0.25">
      <c r="C298" s="1"/>
      <c r="D298" s="1"/>
      <c r="E298" s="44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2"/>
      <c r="AZ298" s="2"/>
      <c r="BA298" s="2"/>
    </row>
    <row r="299" spans="3:53" x14ac:dyDescent="0.25">
      <c r="C299" s="1"/>
      <c r="D299" s="1"/>
      <c r="E299" s="44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2"/>
      <c r="AZ299" s="2"/>
      <c r="BA299" s="2"/>
    </row>
    <row r="300" spans="3:53" x14ac:dyDescent="0.25">
      <c r="C300" s="1"/>
      <c r="D300" s="1"/>
      <c r="E300" s="44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2"/>
      <c r="AZ300" s="2"/>
      <c r="BA300" s="2"/>
    </row>
    <row r="301" spans="3:53" x14ac:dyDescent="0.25">
      <c r="C301" s="1"/>
      <c r="D301" s="1"/>
      <c r="E301" s="44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2"/>
      <c r="AZ301" s="2"/>
      <c r="BA301" s="2"/>
    </row>
    <row r="302" spans="3:53" x14ac:dyDescent="0.25">
      <c r="C302" s="1"/>
      <c r="D302" s="1"/>
      <c r="E302" s="44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2"/>
      <c r="AZ302" s="2"/>
      <c r="BA302" s="2"/>
    </row>
    <row r="303" spans="3:53" x14ac:dyDescent="0.25">
      <c r="C303" s="1"/>
      <c r="D303" s="1"/>
      <c r="E303" s="44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2"/>
      <c r="AZ303" s="2"/>
      <c r="BA303" s="2"/>
    </row>
    <row r="304" spans="3:53" x14ac:dyDescent="0.25">
      <c r="C304" s="1"/>
      <c r="D304" s="1"/>
      <c r="E304" s="44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2"/>
      <c r="AZ304" s="2"/>
      <c r="BA304" s="2"/>
    </row>
    <row r="305" spans="3:53" x14ac:dyDescent="0.25">
      <c r="C305" s="1"/>
      <c r="D305" s="1"/>
      <c r="E305" s="44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2"/>
      <c r="AZ305" s="2"/>
      <c r="BA305" s="2"/>
    </row>
    <row r="306" spans="3:53" x14ac:dyDescent="0.25">
      <c r="C306" s="1"/>
      <c r="D306" s="1"/>
      <c r="E306" s="44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2"/>
      <c r="AZ306" s="2"/>
      <c r="BA306" s="2"/>
    </row>
    <row r="307" spans="3:53" x14ac:dyDescent="0.25">
      <c r="C307" s="1"/>
      <c r="D307" s="1"/>
      <c r="E307" s="44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2"/>
      <c r="AZ307" s="2"/>
      <c r="BA307" s="2"/>
    </row>
    <row r="308" spans="3:53" x14ac:dyDescent="0.25">
      <c r="C308" s="1"/>
      <c r="D308" s="1"/>
      <c r="E308" s="44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2"/>
      <c r="AZ308" s="2"/>
      <c r="BA308" s="2"/>
    </row>
    <row r="309" spans="3:53" x14ac:dyDescent="0.25">
      <c r="C309" s="1"/>
      <c r="D309" s="1"/>
      <c r="E309" s="44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2"/>
      <c r="AZ309" s="2"/>
      <c r="BA309" s="2"/>
    </row>
    <row r="310" spans="3:53" x14ac:dyDescent="0.25">
      <c r="C310" s="1"/>
      <c r="D310" s="1"/>
      <c r="E310" s="44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2"/>
      <c r="AZ310" s="2"/>
      <c r="BA310" s="2"/>
    </row>
    <row r="311" spans="3:53" x14ac:dyDescent="0.25">
      <c r="C311" s="1"/>
      <c r="D311" s="1"/>
      <c r="E311" s="44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2"/>
      <c r="AZ311" s="2"/>
      <c r="BA311" s="2"/>
    </row>
    <row r="312" spans="3:53" x14ac:dyDescent="0.25">
      <c r="C312" s="1"/>
      <c r="D312" s="1"/>
      <c r="E312" s="44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2"/>
      <c r="AZ312" s="2"/>
      <c r="BA312" s="2"/>
    </row>
    <row r="313" spans="3:53" x14ac:dyDescent="0.25">
      <c r="C313" s="1"/>
      <c r="D313" s="1"/>
      <c r="E313" s="44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2"/>
      <c r="AZ313" s="2"/>
      <c r="BA313" s="2"/>
    </row>
    <row r="314" spans="3:53" x14ac:dyDescent="0.25">
      <c r="C314" s="1"/>
      <c r="D314" s="1"/>
      <c r="E314" s="44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2"/>
      <c r="AZ314" s="2"/>
      <c r="BA314" s="2"/>
    </row>
    <row r="315" spans="3:53" x14ac:dyDescent="0.25">
      <c r="C315" s="1"/>
      <c r="D315" s="1"/>
      <c r="E315" s="44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2"/>
      <c r="AZ315" s="2"/>
      <c r="BA315" s="2"/>
    </row>
    <row r="316" spans="3:53" x14ac:dyDescent="0.25">
      <c r="C316" s="1"/>
      <c r="D316" s="1"/>
      <c r="E316" s="44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2"/>
      <c r="AZ316" s="2"/>
      <c r="BA316" s="2"/>
    </row>
    <row r="317" spans="3:53" x14ac:dyDescent="0.25">
      <c r="C317" s="1"/>
      <c r="D317" s="1"/>
      <c r="E317" s="44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2"/>
      <c r="AZ317" s="2"/>
      <c r="BA317" s="2"/>
    </row>
    <row r="318" spans="3:53" x14ac:dyDescent="0.25">
      <c r="C318" s="1"/>
      <c r="D318" s="1"/>
      <c r="E318" s="44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2"/>
      <c r="AZ318" s="2"/>
      <c r="BA318" s="2"/>
    </row>
    <row r="319" spans="3:53" x14ac:dyDescent="0.25">
      <c r="C319" s="1"/>
      <c r="D319" s="1"/>
      <c r="E319" s="44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2"/>
      <c r="AZ319" s="2"/>
      <c r="BA319" s="2"/>
    </row>
    <row r="320" spans="3:53" x14ac:dyDescent="0.25">
      <c r="C320" s="1"/>
      <c r="D320" s="1"/>
      <c r="E320" s="44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2"/>
      <c r="AZ320" s="2"/>
      <c r="BA320" s="2"/>
    </row>
    <row r="321" spans="3:53" x14ac:dyDescent="0.25">
      <c r="C321" s="1"/>
      <c r="D321" s="1"/>
      <c r="E321" s="44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2"/>
      <c r="AZ321" s="2"/>
      <c r="BA321" s="2"/>
    </row>
    <row r="322" spans="3:53" x14ac:dyDescent="0.25">
      <c r="C322" s="1"/>
      <c r="D322" s="1"/>
      <c r="E322" s="44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2"/>
      <c r="AZ322" s="2"/>
      <c r="BA322" s="2"/>
    </row>
    <row r="323" spans="3:53" x14ac:dyDescent="0.25">
      <c r="C323" s="1"/>
      <c r="D323" s="1"/>
      <c r="E323" s="44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2"/>
      <c r="AZ323" s="2"/>
      <c r="BA323" s="2"/>
    </row>
    <row r="324" spans="3:53" x14ac:dyDescent="0.25">
      <c r="C324" s="1"/>
      <c r="D324" s="1"/>
      <c r="E324" s="44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2"/>
      <c r="AZ324" s="2"/>
      <c r="BA324" s="2"/>
    </row>
    <row r="325" spans="3:53" x14ac:dyDescent="0.25">
      <c r="C325" s="1"/>
      <c r="D325" s="1"/>
      <c r="E325" s="44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2"/>
      <c r="AZ325" s="2"/>
      <c r="BA325" s="2"/>
    </row>
    <row r="326" spans="3:53" x14ac:dyDescent="0.25">
      <c r="C326" s="1"/>
      <c r="D326" s="1"/>
      <c r="E326" s="44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2"/>
      <c r="AZ326" s="2"/>
      <c r="BA326" s="2"/>
    </row>
    <row r="327" spans="3:53" x14ac:dyDescent="0.25">
      <c r="C327" s="1"/>
      <c r="D327" s="1"/>
      <c r="E327" s="44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2"/>
      <c r="AZ327" s="2"/>
      <c r="BA327" s="2"/>
    </row>
    <row r="328" spans="3:53" x14ac:dyDescent="0.25">
      <c r="C328" s="1"/>
      <c r="D328" s="1"/>
      <c r="E328" s="44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2"/>
      <c r="AZ328" s="2"/>
      <c r="BA328" s="2"/>
    </row>
    <row r="329" spans="3:53" x14ac:dyDescent="0.25">
      <c r="C329" s="1"/>
      <c r="D329" s="1"/>
      <c r="E329" s="44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2"/>
      <c r="AZ329" s="2"/>
      <c r="BA329" s="2"/>
    </row>
    <row r="330" spans="3:53" x14ac:dyDescent="0.25">
      <c r="C330" s="1"/>
      <c r="D330" s="1"/>
      <c r="E330" s="44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2"/>
      <c r="AZ330" s="2"/>
      <c r="BA330" s="2"/>
    </row>
    <row r="331" spans="3:53" x14ac:dyDescent="0.25">
      <c r="C331" s="1"/>
      <c r="D331" s="1"/>
      <c r="E331" s="44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2"/>
      <c r="AZ331" s="2"/>
      <c r="BA331" s="2"/>
    </row>
    <row r="332" spans="3:53" x14ac:dyDescent="0.25">
      <c r="C332" s="1"/>
      <c r="D332" s="1"/>
      <c r="E332" s="44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2"/>
      <c r="AZ332" s="2"/>
      <c r="BA332" s="2"/>
    </row>
    <row r="333" spans="3:53" x14ac:dyDescent="0.25">
      <c r="C333" s="1"/>
      <c r="D333" s="1"/>
      <c r="E333" s="44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2"/>
      <c r="AZ333" s="2"/>
      <c r="BA333" s="2"/>
    </row>
    <row r="334" spans="3:53" x14ac:dyDescent="0.25">
      <c r="C334" s="1"/>
      <c r="D334" s="1"/>
      <c r="E334" s="44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2"/>
      <c r="AZ334" s="2"/>
      <c r="BA334" s="2"/>
    </row>
    <row r="335" spans="3:53" x14ac:dyDescent="0.25">
      <c r="C335" s="1"/>
      <c r="D335" s="1"/>
      <c r="E335" s="44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2"/>
      <c r="AZ335" s="2"/>
      <c r="BA335" s="2"/>
    </row>
    <row r="336" spans="3:53" x14ac:dyDescent="0.25">
      <c r="C336" s="1"/>
      <c r="D336" s="1"/>
      <c r="E336" s="44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2"/>
      <c r="AZ336" s="2"/>
      <c r="BA336" s="2"/>
    </row>
    <row r="337" spans="3:53" x14ac:dyDescent="0.25">
      <c r="C337" s="1"/>
      <c r="D337" s="1"/>
      <c r="E337" s="44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2"/>
      <c r="AZ337" s="2"/>
      <c r="BA337" s="2"/>
    </row>
    <row r="338" spans="3:53" x14ac:dyDescent="0.25">
      <c r="C338" s="1"/>
      <c r="D338" s="1"/>
      <c r="E338" s="44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2"/>
      <c r="AZ338" s="2"/>
      <c r="BA338" s="2"/>
    </row>
    <row r="339" spans="3:53" x14ac:dyDescent="0.25">
      <c r="C339" s="1"/>
      <c r="D339" s="1"/>
      <c r="E339" s="44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2"/>
      <c r="AZ339" s="2"/>
      <c r="BA339" s="2"/>
    </row>
    <row r="340" spans="3:53" x14ac:dyDescent="0.25">
      <c r="C340" s="1"/>
      <c r="D340" s="1"/>
      <c r="E340" s="44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2"/>
      <c r="AZ340" s="2"/>
      <c r="BA340" s="2"/>
    </row>
    <row r="341" spans="3:53" x14ac:dyDescent="0.25">
      <c r="C341" s="1"/>
      <c r="D341" s="1"/>
      <c r="E341" s="44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2"/>
      <c r="AZ341" s="2"/>
      <c r="BA341" s="2"/>
    </row>
    <row r="342" spans="3:53" x14ac:dyDescent="0.25">
      <c r="C342" s="1"/>
      <c r="D342" s="1"/>
      <c r="E342" s="44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2"/>
      <c r="AZ342" s="2"/>
    </row>
    <row r="343" spans="3:53" x14ac:dyDescent="0.25">
      <c r="C343" s="1"/>
      <c r="D343" s="1"/>
      <c r="E343" s="44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2"/>
      <c r="AZ343" s="2"/>
    </row>
    <row r="344" spans="3:53" x14ac:dyDescent="0.25">
      <c r="C344" s="1"/>
      <c r="D344" s="1"/>
      <c r="E344" s="44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2"/>
      <c r="AZ344" s="2"/>
    </row>
    <row r="345" spans="3:53" x14ac:dyDescent="0.25">
      <c r="C345" s="1"/>
      <c r="D345" s="1"/>
      <c r="E345" s="44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2"/>
      <c r="AZ345" s="2"/>
    </row>
    <row r="346" spans="3:53" x14ac:dyDescent="0.25">
      <c r="C346" s="1"/>
      <c r="D346" s="1"/>
      <c r="E346" s="44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2"/>
      <c r="AZ346" s="2"/>
    </row>
    <row r="347" spans="3:53" x14ac:dyDescent="0.25">
      <c r="C347" s="1"/>
      <c r="D347" s="1"/>
      <c r="E347" s="44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2"/>
      <c r="AZ347" s="2"/>
    </row>
    <row r="348" spans="3:53" x14ac:dyDescent="0.25">
      <c r="C348" s="1"/>
      <c r="D348" s="1"/>
      <c r="E348" s="44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2"/>
      <c r="AZ348" s="2"/>
    </row>
    <row r="349" spans="3:53" x14ac:dyDescent="0.25">
      <c r="C349" s="1"/>
      <c r="D349" s="1"/>
      <c r="E349" s="44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2"/>
      <c r="AZ349" s="2"/>
    </row>
    <row r="350" spans="3:53" x14ac:dyDescent="0.25">
      <c r="C350" s="1"/>
      <c r="D350" s="1"/>
      <c r="E350" s="44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2"/>
      <c r="AZ350" s="2"/>
    </row>
    <row r="351" spans="3:53" x14ac:dyDescent="0.25">
      <c r="C351" s="1"/>
      <c r="D351" s="1"/>
      <c r="E351" s="44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2"/>
      <c r="AZ351" s="2"/>
    </row>
    <row r="352" spans="3:53" x14ac:dyDescent="0.25">
      <c r="C352" s="1"/>
      <c r="D352" s="1"/>
      <c r="E352" s="44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2"/>
      <c r="AZ352" s="2"/>
    </row>
    <row r="353" spans="3:52" x14ac:dyDescent="0.25">
      <c r="C353" s="1"/>
      <c r="D353" s="1"/>
      <c r="E353" s="44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2"/>
      <c r="AZ353" s="2"/>
    </row>
    <row r="354" spans="3:52" x14ac:dyDescent="0.25">
      <c r="C354" s="1"/>
      <c r="D354" s="1"/>
      <c r="E354" s="44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2"/>
      <c r="AZ354" s="2"/>
    </row>
    <row r="355" spans="3:52" x14ac:dyDescent="0.25">
      <c r="C355" s="1"/>
      <c r="D355" s="1"/>
      <c r="E355" s="44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2"/>
      <c r="AZ355" s="2"/>
    </row>
    <row r="356" spans="3:52" x14ac:dyDescent="0.25">
      <c r="C356" s="1"/>
      <c r="D356" s="1"/>
      <c r="E356" s="44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2"/>
      <c r="AZ356" s="2"/>
    </row>
    <row r="357" spans="3:52" x14ac:dyDescent="0.25">
      <c r="C357" s="1"/>
      <c r="D357" s="1"/>
      <c r="E357" s="44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2"/>
      <c r="AZ357" s="2"/>
    </row>
    <row r="358" spans="3:52" x14ac:dyDescent="0.25">
      <c r="C358" s="1"/>
      <c r="D358" s="1"/>
      <c r="E358" s="44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2"/>
      <c r="AZ358" s="2"/>
    </row>
    <row r="359" spans="3:52" x14ac:dyDescent="0.25">
      <c r="C359" s="1"/>
      <c r="D359" s="1"/>
      <c r="E359" s="44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2"/>
      <c r="AZ359" s="2"/>
    </row>
    <row r="360" spans="3:52" x14ac:dyDescent="0.25">
      <c r="C360" s="1"/>
      <c r="D360" s="1"/>
      <c r="E360" s="44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2"/>
      <c r="AZ360" s="2"/>
    </row>
    <row r="361" spans="3:52" x14ac:dyDescent="0.25">
      <c r="C361" s="1"/>
      <c r="D361" s="1"/>
      <c r="E361" s="44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2"/>
      <c r="AZ361" s="2"/>
    </row>
    <row r="362" spans="3:52" x14ac:dyDescent="0.25">
      <c r="C362" s="1"/>
      <c r="D362" s="1"/>
      <c r="E362" s="44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2"/>
      <c r="AZ362" s="2"/>
    </row>
    <row r="363" spans="3:52" x14ac:dyDescent="0.25">
      <c r="C363" s="1"/>
      <c r="D363" s="1"/>
      <c r="E363" s="44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2"/>
      <c r="AZ363" s="2"/>
    </row>
    <row r="364" spans="3:52" x14ac:dyDescent="0.25">
      <c r="C364" s="1"/>
      <c r="D364" s="1"/>
      <c r="E364" s="44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2"/>
      <c r="AZ364" s="2"/>
    </row>
    <row r="365" spans="3:52" x14ac:dyDescent="0.25">
      <c r="C365" s="1"/>
      <c r="D365" s="1"/>
      <c r="E365" s="44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2"/>
      <c r="AZ365" s="2"/>
    </row>
    <row r="366" spans="3:52" x14ac:dyDescent="0.25">
      <c r="C366" s="1"/>
      <c r="D366" s="1"/>
      <c r="E366" s="44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2"/>
      <c r="AZ366" s="2"/>
    </row>
    <row r="367" spans="3:52" x14ac:dyDescent="0.25">
      <c r="C367" s="1"/>
      <c r="D367" s="1"/>
      <c r="E367" s="44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2"/>
      <c r="AZ367" s="2"/>
    </row>
    <row r="368" spans="3:52" x14ac:dyDescent="0.25">
      <c r="C368" s="1"/>
      <c r="D368" s="1"/>
      <c r="E368" s="44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2"/>
      <c r="AZ368" s="2"/>
    </row>
    <row r="369" spans="3:52" x14ac:dyDescent="0.25">
      <c r="C369" s="1"/>
      <c r="D369" s="1"/>
      <c r="E369" s="44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2"/>
      <c r="AZ369" s="2"/>
    </row>
    <row r="370" spans="3:52" x14ac:dyDescent="0.25">
      <c r="C370" s="1"/>
      <c r="D370" s="1"/>
      <c r="E370" s="44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2"/>
      <c r="AZ370" s="2"/>
    </row>
    <row r="371" spans="3:52" x14ac:dyDescent="0.25">
      <c r="C371" s="1"/>
      <c r="D371" s="1"/>
      <c r="E371" s="44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2"/>
      <c r="AZ371" s="2"/>
    </row>
    <row r="372" spans="3:52" x14ac:dyDescent="0.25">
      <c r="C372" s="1"/>
      <c r="D372" s="1"/>
      <c r="E372" s="44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2"/>
      <c r="AZ372" s="2"/>
    </row>
    <row r="373" spans="3:52" x14ac:dyDescent="0.25">
      <c r="C373" s="1"/>
      <c r="D373" s="1"/>
      <c r="E373" s="44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2"/>
      <c r="AZ373" s="2"/>
    </row>
    <row r="374" spans="3:52" x14ac:dyDescent="0.25">
      <c r="C374" s="1"/>
      <c r="D374" s="1"/>
      <c r="E374" s="44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2"/>
      <c r="AZ374" s="2"/>
    </row>
    <row r="375" spans="3:52" x14ac:dyDescent="0.25">
      <c r="C375" s="1"/>
      <c r="D375" s="1"/>
      <c r="E375" s="44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2"/>
      <c r="AZ375" s="2"/>
    </row>
    <row r="376" spans="3:52" x14ac:dyDescent="0.25">
      <c r="C376" s="1"/>
      <c r="D376" s="1"/>
      <c r="E376" s="44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2"/>
      <c r="AZ376" s="2"/>
    </row>
    <row r="377" spans="3:52" x14ac:dyDescent="0.25">
      <c r="C377" s="1"/>
      <c r="D377" s="1"/>
      <c r="E377" s="44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2"/>
      <c r="AZ377" s="2"/>
    </row>
    <row r="378" spans="3:52" x14ac:dyDescent="0.25">
      <c r="C378" s="1"/>
      <c r="D378" s="1"/>
      <c r="E378" s="44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2"/>
      <c r="AZ378" s="2"/>
    </row>
    <row r="379" spans="3:52" x14ac:dyDescent="0.25">
      <c r="C379" s="1"/>
      <c r="D379" s="1"/>
      <c r="E379" s="44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2"/>
      <c r="AZ379" s="2"/>
    </row>
    <row r="380" spans="3:52" x14ac:dyDescent="0.25">
      <c r="C380" s="1"/>
      <c r="D380" s="1"/>
      <c r="E380" s="44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2"/>
      <c r="AZ380" s="2"/>
    </row>
    <row r="381" spans="3:52" x14ac:dyDescent="0.25">
      <c r="C381" s="1"/>
      <c r="D381" s="1"/>
      <c r="E381" s="44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2"/>
      <c r="AZ381" s="2"/>
    </row>
    <row r="382" spans="3:52" x14ac:dyDescent="0.25">
      <c r="C382" s="1"/>
      <c r="D382" s="1"/>
      <c r="E382" s="44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2"/>
      <c r="AZ382" s="2"/>
    </row>
    <row r="383" spans="3:52" x14ac:dyDescent="0.25">
      <c r="C383" s="1"/>
      <c r="D383" s="1"/>
      <c r="E383" s="44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2"/>
      <c r="AZ383" s="2"/>
    </row>
    <row r="384" spans="3:52" x14ac:dyDescent="0.25">
      <c r="C384" s="1"/>
      <c r="D384" s="1"/>
      <c r="E384" s="44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2"/>
      <c r="AZ384" s="2"/>
    </row>
    <row r="385" spans="3:52" x14ac:dyDescent="0.25">
      <c r="C385" s="1"/>
      <c r="D385" s="1"/>
      <c r="E385" s="44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2"/>
      <c r="AZ385" s="2"/>
    </row>
    <row r="386" spans="3:52" x14ac:dyDescent="0.25">
      <c r="C386" s="1"/>
      <c r="D386" s="1"/>
      <c r="E386" s="44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2"/>
      <c r="AZ386" s="2"/>
    </row>
    <row r="387" spans="3:52" x14ac:dyDescent="0.25">
      <c r="C387" s="1"/>
      <c r="D387" s="1"/>
      <c r="E387" s="44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2"/>
      <c r="AZ387" s="2"/>
    </row>
    <row r="388" spans="3:52" x14ac:dyDescent="0.25">
      <c r="C388" s="1"/>
      <c r="D388" s="1"/>
      <c r="E388" s="44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2"/>
      <c r="AZ388" s="2"/>
    </row>
    <row r="389" spans="3:52" x14ac:dyDescent="0.25">
      <c r="C389" s="1"/>
      <c r="D389" s="1"/>
      <c r="E389" s="44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2"/>
      <c r="AZ389" s="2"/>
    </row>
    <row r="390" spans="3:52" x14ac:dyDescent="0.25">
      <c r="C390" s="1"/>
      <c r="D390" s="1"/>
      <c r="E390" s="44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2"/>
      <c r="AZ390" s="2"/>
    </row>
    <row r="391" spans="3:52" x14ac:dyDescent="0.25">
      <c r="C391" s="1"/>
      <c r="D391" s="1"/>
      <c r="E391" s="44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2"/>
      <c r="AZ391" s="2"/>
    </row>
    <row r="392" spans="3:52" x14ac:dyDescent="0.25">
      <c r="C392" s="1"/>
      <c r="D392" s="1"/>
      <c r="E392" s="44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2"/>
      <c r="AZ392" s="2"/>
    </row>
    <row r="393" spans="3:52" x14ac:dyDescent="0.25">
      <c r="C393" s="1"/>
      <c r="D393" s="1"/>
      <c r="E393" s="44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2"/>
      <c r="AZ393" s="2"/>
    </row>
    <row r="394" spans="3:52" x14ac:dyDescent="0.25">
      <c r="C394" s="1"/>
      <c r="D394" s="1"/>
      <c r="E394" s="44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2"/>
      <c r="AZ394" s="2"/>
    </row>
    <row r="395" spans="3:52" x14ac:dyDescent="0.25">
      <c r="C395" s="1"/>
      <c r="D395" s="1"/>
      <c r="E395" s="44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2"/>
      <c r="AZ395" s="2"/>
    </row>
    <row r="396" spans="3:52" x14ac:dyDescent="0.25">
      <c r="C396" s="1"/>
      <c r="D396" s="1"/>
      <c r="E396" s="44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2"/>
      <c r="AZ396" s="2"/>
    </row>
    <row r="397" spans="3:52" x14ac:dyDescent="0.25">
      <c r="C397" s="1"/>
      <c r="D397" s="1"/>
      <c r="E397" s="44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2"/>
      <c r="AZ397" s="2"/>
    </row>
    <row r="398" spans="3:52" x14ac:dyDescent="0.25">
      <c r="C398" s="1"/>
      <c r="D398" s="1"/>
      <c r="E398" s="44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2"/>
      <c r="AZ398" s="2"/>
    </row>
    <row r="399" spans="3:52" x14ac:dyDescent="0.25">
      <c r="C399" s="1"/>
      <c r="D399" s="1"/>
      <c r="E399" s="44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2"/>
      <c r="AZ399" s="2"/>
    </row>
    <row r="400" spans="3:52" x14ac:dyDescent="0.25">
      <c r="C400" s="1"/>
      <c r="D400" s="1"/>
      <c r="E400" s="44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2"/>
      <c r="AZ400" s="2"/>
    </row>
    <row r="401" spans="3:52" x14ac:dyDescent="0.25">
      <c r="C401" s="1"/>
      <c r="D401" s="1"/>
      <c r="E401" s="44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2"/>
      <c r="AZ401" s="2"/>
    </row>
    <row r="402" spans="3:52" x14ac:dyDescent="0.25">
      <c r="C402" s="1"/>
      <c r="D402" s="1"/>
      <c r="E402" s="44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2"/>
      <c r="AZ402" s="2"/>
    </row>
    <row r="403" spans="3:52" x14ac:dyDescent="0.25">
      <c r="C403" s="1"/>
      <c r="D403" s="1"/>
      <c r="E403" s="44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2"/>
      <c r="AZ403" s="2"/>
    </row>
    <row r="404" spans="3:52" x14ac:dyDescent="0.25">
      <c r="C404" s="1"/>
      <c r="D404" s="1"/>
      <c r="E404" s="44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2"/>
      <c r="AZ404" s="2"/>
    </row>
    <row r="405" spans="3:52" x14ac:dyDescent="0.25">
      <c r="C405" s="1"/>
      <c r="D405" s="1"/>
      <c r="E405" s="44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2"/>
      <c r="AZ405" s="2"/>
    </row>
    <row r="406" spans="3:52" x14ac:dyDescent="0.25">
      <c r="C406" s="1"/>
      <c r="D406" s="1"/>
      <c r="E406" s="44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2"/>
      <c r="AZ406" s="2"/>
    </row>
    <row r="407" spans="3:52" x14ac:dyDescent="0.25">
      <c r="C407" s="1"/>
      <c r="D407" s="1"/>
      <c r="E407" s="44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2"/>
      <c r="AZ407" s="2"/>
    </row>
    <row r="408" spans="3:52" x14ac:dyDescent="0.25">
      <c r="C408" s="1"/>
      <c r="D408" s="1"/>
      <c r="E408" s="44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2"/>
      <c r="AZ408" s="2"/>
    </row>
    <row r="409" spans="3:52" x14ac:dyDescent="0.25">
      <c r="C409" s="1"/>
      <c r="D409" s="1"/>
      <c r="E409" s="44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2"/>
      <c r="AZ409" s="2"/>
    </row>
    <row r="410" spans="3:52" x14ac:dyDescent="0.25">
      <c r="C410" s="1"/>
      <c r="D410" s="1"/>
      <c r="E410" s="44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2"/>
      <c r="AZ410" s="2"/>
    </row>
    <row r="411" spans="3:52" x14ac:dyDescent="0.25">
      <c r="C411" s="1"/>
      <c r="D411" s="1"/>
      <c r="E411" s="44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2"/>
      <c r="AZ411" s="2"/>
    </row>
    <row r="412" spans="3:52" x14ac:dyDescent="0.25">
      <c r="C412" s="1"/>
      <c r="D412" s="1"/>
      <c r="E412" s="44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2"/>
      <c r="AZ412" s="2"/>
    </row>
    <row r="413" spans="3:52" x14ac:dyDescent="0.25">
      <c r="C413" s="1"/>
      <c r="D413" s="1"/>
      <c r="E413" s="44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2"/>
      <c r="AZ413" s="2"/>
    </row>
    <row r="414" spans="3:52" x14ac:dyDescent="0.25">
      <c r="C414" s="1"/>
      <c r="D414" s="1"/>
      <c r="E414" s="44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2"/>
      <c r="AZ414" s="2"/>
    </row>
    <row r="415" spans="3:52" x14ac:dyDescent="0.25">
      <c r="C415" s="1"/>
      <c r="D415" s="1"/>
      <c r="E415" s="44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2"/>
      <c r="AZ415" s="2"/>
    </row>
    <row r="416" spans="3:52" x14ac:dyDescent="0.25">
      <c r="C416" s="1"/>
      <c r="D416" s="1"/>
      <c r="E416" s="44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2"/>
      <c r="AZ416" s="2"/>
    </row>
    <row r="417" spans="3:52" x14ac:dyDescent="0.25">
      <c r="C417" s="1"/>
      <c r="D417" s="1"/>
      <c r="E417" s="44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2"/>
      <c r="AZ417" s="2"/>
    </row>
    <row r="418" spans="3:52" x14ac:dyDescent="0.25">
      <c r="C418" s="1"/>
      <c r="D418" s="1"/>
      <c r="E418" s="44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2"/>
      <c r="AZ418" s="2"/>
    </row>
    <row r="419" spans="3:52" x14ac:dyDescent="0.25">
      <c r="C419" s="1"/>
      <c r="D419" s="1"/>
      <c r="E419" s="44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2"/>
      <c r="AZ419" s="2"/>
    </row>
    <row r="420" spans="3:52" x14ac:dyDescent="0.25">
      <c r="C420" s="1"/>
      <c r="D420" s="1"/>
      <c r="E420" s="44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2"/>
      <c r="AZ420" s="2"/>
    </row>
    <row r="421" spans="3:52" x14ac:dyDescent="0.25">
      <c r="C421" s="1"/>
      <c r="D421" s="1"/>
      <c r="E421" s="44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2"/>
      <c r="AZ421" s="2"/>
    </row>
    <row r="422" spans="3:52" x14ac:dyDescent="0.25">
      <c r="C422" s="1"/>
      <c r="D422" s="1"/>
      <c r="E422" s="44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2"/>
      <c r="AZ422" s="2"/>
    </row>
    <row r="423" spans="3:52" x14ac:dyDescent="0.25">
      <c r="C423" s="1"/>
      <c r="D423" s="1"/>
      <c r="E423" s="44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2"/>
      <c r="AZ423" s="2"/>
    </row>
    <row r="424" spans="3:52" x14ac:dyDescent="0.25">
      <c r="C424" s="1"/>
      <c r="D424" s="1"/>
      <c r="E424" s="44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2"/>
      <c r="AZ424" s="2"/>
    </row>
    <row r="425" spans="3:52" x14ac:dyDescent="0.25">
      <c r="C425" s="1"/>
      <c r="D425" s="1"/>
      <c r="E425" s="44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2"/>
      <c r="AZ425" s="2"/>
    </row>
    <row r="426" spans="3:52" x14ac:dyDescent="0.25">
      <c r="C426" s="1"/>
      <c r="D426" s="1"/>
      <c r="E426" s="44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2"/>
      <c r="AZ426" s="2"/>
    </row>
    <row r="427" spans="3:52" x14ac:dyDescent="0.25">
      <c r="C427" s="1"/>
      <c r="D427" s="1"/>
      <c r="E427" s="44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2"/>
      <c r="AZ427" s="2"/>
    </row>
    <row r="428" spans="3:52" x14ac:dyDescent="0.25">
      <c r="C428" s="1"/>
      <c r="D428" s="1"/>
      <c r="E428" s="44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2"/>
      <c r="AZ428" s="2"/>
    </row>
    <row r="429" spans="3:52" x14ac:dyDescent="0.25">
      <c r="C429" s="1"/>
      <c r="D429" s="1"/>
      <c r="E429" s="44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2"/>
      <c r="AZ429" s="2"/>
    </row>
    <row r="430" spans="3:52" x14ac:dyDescent="0.25">
      <c r="C430" s="1"/>
      <c r="D430" s="1"/>
      <c r="E430" s="44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2"/>
      <c r="AZ430" s="2"/>
    </row>
    <row r="431" spans="3:52" x14ac:dyDescent="0.25">
      <c r="C431" s="1"/>
      <c r="D431" s="1"/>
      <c r="E431" s="44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2"/>
      <c r="AZ431" s="2"/>
    </row>
    <row r="432" spans="3:52" x14ac:dyDescent="0.25">
      <c r="C432" s="1"/>
      <c r="D432" s="1"/>
      <c r="E432" s="44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2"/>
      <c r="AZ432" s="2"/>
    </row>
    <row r="433" spans="3:52" x14ac:dyDescent="0.25">
      <c r="C433" s="1"/>
      <c r="D433" s="1"/>
      <c r="E433" s="44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2"/>
      <c r="AZ433" s="2"/>
    </row>
    <row r="434" spans="3:52" x14ac:dyDescent="0.25">
      <c r="C434" s="1"/>
      <c r="D434" s="1"/>
      <c r="E434" s="44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2"/>
      <c r="AZ434" s="2"/>
    </row>
    <row r="435" spans="3:52" x14ac:dyDescent="0.25">
      <c r="C435" s="1"/>
      <c r="D435" s="1"/>
      <c r="E435" s="44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2"/>
      <c r="AZ435" s="2"/>
    </row>
    <row r="436" spans="3:52" x14ac:dyDescent="0.25">
      <c r="C436" s="1"/>
      <c r="D436" s="1"/>
      <c r="E436" s="44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2"/>
      <c r="AZ436" s="2"/>
    </row>
    <row r="437" spans="3:52" x14ac:dyDescent="0.25">
      <c r="C437" s="1"/>
      <c r="D437" s="1"/>
      <c r="E437" s="44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2"/>
      <c r="AZ437" s="2"/>
    </row>
    <row r="438" spans="3:52" x14ac:dyDescent="0.25">
      <c r="C438" s="1"/>
      <c r="D438" s="1"/>
      <c r="E438" s="44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2"/>
      <c r="AZ438" s="2"/>
    </row>
    <row r="439" spans="3:52" x14ac:dyDescent="0.25">
      <c r="C439" s="1"/>
      <c r="D439" s="1"/>
      <c r="E439" s="44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2"/>
      <c r="AZ439" s="2"/>
    </row>
    <row r="440" spans="3:52" x14ac:dyDescent="0.25">
      <c r="C440" s="1"/>
      <c r="D440" s="1"/>
      <c r="E440" s="44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2"/>
      <c r="AZ440" s="2"/>
    </row>
    <row r="441" spans="3:52" x14ac:dyDescent="0.25">
      <c r="C441" s="1"/>
      <c r="D441" s="1"/>
      <c r="E441" s="44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2"/>
      <c r="AZ441" s="2"/>
    </row>
    <row r="442" spans="3:52" x14ac:dyDescent="0.25">
      <c r="C442" s="1"/>
      <c r="D442" s="1"/>
      <c r="E442" s="44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2"/>
      <c r="AZ442" s="2"/>
    </row>
    <row r="443" spans="3:52" x14ac:dyDescent="0.25">
      <c r="C443" s="1"/>
      <c r="D443" s="1"/>
      <c r="E443" s="44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2"/>
      <c r="AZ443" s="2"/>
    </row>
    <row r="444" spans="3:52" x14ac:dyDescent="0.25">
      <c r="C444" s="1"/>
      <c r="D444" s="1"/>
      <c r="E444" s="44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2"/>
      <c r="AZ444" s="2"/>
    </row>
    <row r="445" spans="3:52" x14ac:dyDescent="0.25">
      <c r="C445" s="1"/>
      <c r="D445" s="1"/>
      <c r="E445" s="44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2"/>
      <c r="AZ445" s="2"/>
    </row>
    <row r="446" spans="3:52" x14ac:dyDescent="0.25">
      <c r="C446" s="1"/>
      <c r="D446" s="1"/>
      <c r="E446" s="44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2"/>
      <c r="AZ446" s="2"/>
    </row>
    <row r="447" spans="3:52" x14ac:dyDescent="0.25">
      <c r="C447" s="1"/>
      <c r="D447" s="1"/>
      <c r="E447" s="44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2"/>
      <c r="AZ447" s="2"/>
    </row>
    <row r="448" spans="3:52" x14ac:dyDescent="0.25">
      <c r="C448" s="1"/>
      <c r="D448" s="1"/>
      <c r="E448" s="44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2"/>
      <c r="AZ448" s="2"/>
    </row>
    <row r="449" spans="1:52" x14ac:dyDescent="0.25">
      <c r="C449" s="1"/>
      <c r="D449" s="1"/>
      <c r="E449" s="44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2"/>
      <c r="AZ449" s="2"/>
    </row>
    <row r="450" spans="1:52" x14ac:dyDescent="0.25">
      <c r="A450" s="4"/>
      <c r="B450" s="5"/>
      <c r="C450" s="5"/>
      <c r="D450" s="5"/>
      <c r="E450" s="4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2"/>
      <c r="AZ450" s="2"/>
    </row>
    <row r="451" spans="1:52" x14ac:dyDescent="0.25">
      <c r="C451" s="1"/>
      <c r="D451" s="1"/>
      <c r="E451" s="44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2"/>
      <c r="AZ451" s="2"/>
    </row>
    <row r="452" spans="1:52" x14ac:dyDescent="0.25">
      <c r="C452" s="1"/>
      <c r="D452" s="1"/>
      <c r="E452" s="44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2"/>
      <c r="AZ452" s="2"/>
    </row>
    <row r="453" spans="1:52" x14ac:dyDescent="0.25">
      <c r="C453" s="1"/>
      <c r="D453" s="1"/>
      <c r="E453" s="44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2"/>
      <c r="AZ453" s="2"/>
    </row>
    <row r="454" spans="1:52" x14ac:dyDescent="0.25">
      <c r="C454" s="1"/>
      <c r="D454" s="1"/>
      <c r="E454" s="44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2"/>
      <c r="AZ454" s="2"/>
    </row>
    <row r="455" spans="1:52" x14ac:dyDescent="0.25">
      <c r="C455" s="1"/>
      <c r="D455" s="1"/>
      <c r="E455" s="44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2"/>
      <c r="AZ455" s="2"/>
    </row>
    <row r="456" spans="1:52" x14ac:dyDescent="0.25">
      <c r="C456" s="1"/>
      <c r="D456" s="1"/>
      <c r="E456" s="44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2"/>
      <c r="AZ456" s="2"/>
    </row>
    <row r="457" spans="1:52" x14ac:dyDescent="0.25">
      <c r="C457" s="1"/>
      <c r="D457" s="1"/>
      <c r="E457" s="44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2"/>
      <c r="AZ457" s="2"/>
    </row>
    <row r="458" spans="1:52" x14ac:dyDescent="0.25">
      <c r="C458" s="1"/>
      <c r="D458" s="1"/>
      <c r="E458" s="44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2"/>
      <c r="AZ458" s="2"/>
    </row>
    <row r="459" spans="1:52" x14ac:dyDescent="0.25">
      <c r="C459" s="1"/>
      <c r="D459" s="1"/>
      <c r="E459" s="44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2"/>
      <c r="AZ459" s="2"/>
    </row>
    <row r="460" spans="1:52" x14ac:dyDescent="0.25">
      <c r="C460" s="1"/>
      <c r="D460" s="1"/>
      <c r="E460" s="44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2"/>
      <c r="AZ460" s="2"/>
    </row>
    <row r="461" spans="1:52" x14ac:dyDescent="0.25">
      <c r="C461" s="1"/>
      <c r="D461" s="1"/>
      <c r="E461" s="44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2"/>
      <c r="AZ461" s="2"/>
    </row>
    <row r="462" spans="1:52" x14ac:dyDescent="0.25">
      <c r="C462" s="1"/>
      <c r="D462" s="1"/>
      <c r="E462" s="44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2"/>
      <c r="AZ462" s="2"/>
    </row>
    <row r="463" spans="1:52" x14ac:dyDescent="0.25">
      <c r="C463" s="1"/>
      <c r="D463" s="1"/>
      <c r="E463" s="44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2"/>
      <c r="AZ463" s="2"/>
    </row>
    <row r="464" spans="1:52" x14ac:dyDescent="0.25">
      <c r="C464" s="1"/>
      <c r="D464" s="1"/>
      <c r="E464" s="44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2"/>
      <c r="AZ464" s="2"/>
    </row>
    <row r="465" spans="3:52" x14ac:dyDescent="0.25">
      <c r="C465" s="1"/>
      <c r="D465" s="1"/>
      <c r="E465" s="44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2"/>
      <c r="AZ465" s="2"/>
    </row>
    <row r="466" spans="3:52" x14ac:dyDescent="0.25">
      <c r="C466" s="1"/>
      <c r="D466" s="1"/>
      <c r="E466" s="44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2"/>
      <c r="AZ466" s="2"/>
    </row>
    <row r="467" spans="3:52" x14ac:dyDescent="0.25">
      <c r="C467" s="1"/>
      <c r="D467" s="1"/>
      <c r="E467" s="44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2"/>
      <c r="AZ467" s="2"/>
    </row>
    <row r="468" spans="3:52" x14ac:dyDescent="0.25">
      <c r="C468" s="1"/>
      <c r="D468" s="1"/>
      <c r="E468" s="44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2"/>
      <c r="AZ468" s="2"/>
    </row>
    <row r="469" spans="3:52" x14ac:dyDescent="0.25">
      <c r="C469" s="1"/>
      <c r="D469" s="1"/>
      <c r="E469" s="44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2"/>
      <c r="AZ469" s="2"/>
    </row>
    <row r="470" spans="3:52" x14ac:dyDescent="0.25">
      <c r="C470" s="1"/>
      <c r="D470" s="1"/>
      <c r="E470" s="44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2"/>
      <c r="AZ470" s="2"/>
    </row>
    <row r="471" spans="3:52" x14ac:dyDescent="0.25">
      <c r="C471" s="1"/>
      <c r="D471" s="1"/>
      <c r="E471" s="44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2"/>
      <c r="AZ471" s="2"/>
    </row>
    <row r="472" spans="3:52" x14ac:dyDescent="0.25">
      <c r="C472" s="1"/>
      <c r="D472" s="1"/>
      <c r="E472" s="44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2"/>
      <c r="AZ472" s="2"/>
    </row>
    <row r="473" spans="3:52" x14ac:dyDescent="0.25">
      <c r="C473" s="1"/>
      <c r="D473" s="1"/>
      <c r="E473" s="44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2"/>
      <c r="AZ473" s="2"/>
    </row>
    <row r="474" spans="3:52" x14ac:dyDescent="0.25">
      <c r="C474" s="1"/>
      <c r="D474" s="1"/>
      <c r="E474" s="44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2"/>
      <c r="AZ474" s="2"/>
    </row>
    <row r="475" spans="3:52" x14ac:dyDescent="0.25">
      <c r="C475" s="1"/>
      <c r="D475" s="1"/>
      <c r="E475" s="44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2"/>
      <c r="AZ475" s="2"/>
    </row>
    <row r="476" spans="3:52" x14ac:dyDescent="0.25">
      <c r="C476" s="1"/>
      <c r="D476" s="1"/>
      <c r="E476" s="44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2"/>
      <c r="AZ476" s="2"/>
    </row>
    <row r="477" spans="3:52" x14ac:dyDescent="0.25">
      <c r="C477" s="1"/>
      <c r="D477" s="1"/>
      <c r="E477" s="44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2"/>
      <c r="AZ477" s="2"/>
    </row>
    <row r="478" spans="3:52" x14ac:dyDescent="0.25">
      <c r="C478" s="1"/>
      <c r="D478" s="1"/>
      <c r="E478" s="44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2"/>
      <c r="AZ478" s="2"/>
    </row>
    <row r="479" spans="3:52" x14ac:dyDescent="0.25">
      <c r="C479" s="1"/>
      <c r="D479" s="1"/>
      <c r="E479" s="44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2"/>
      <c r="AZ479" s="2"/>
    </row>
    <row r="480" spans="3:52" x14ac:dyDescent="0.25">
      <c r="C480" s="1"/>
      <c r="D480" s="1"/>
      <c r="E480" s="44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2"/>
      <c r="AZ480" s="2"/>
    </row>
    <row r="481" spans="3:52" x14ac:dyDescent="0.25">
      <c r="C481" s="1"/>
      <c r="D481" s="1"/>
      <c r="E481" s="44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2"/>
      <c r="AZ481" s="2"/>
    </row>
    <row r="482" spans="3:52" x14ac:dyDescent="0.25">
      <c r="C482" s="1"/>
      <c r="D482" s="1"/>
      <c r="E482" s="44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2"/>
      <c r="AZ482" s="2"/>
    </row>
    <row r="483" spans="3:52" x14ac:dyDescent="0.25">
      <c r="C483" s="1"/>
      <c r="D483" s="1"/>
      <c r="E483" s="44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2"/>
      <c r="AZ483" s="2"/>
    </row>
    <row r="484" spans="3:52" x14ac:dyDescent="0.25">
      <c r="C484" s="1"/>
      <c r="D484" s="1"/>
      <c r="E484" s="44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2"/>
      <c r="AZ484" s="2"/>
    </row>
    <row r="485" spans="3:52" x14ac:dyDescent="0.25">
      <c r="C485" s="1"/>
      <c r="D485" s="1"/>
      <c r="E485" s="44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2"/>
      <c r="AZ485" s="2"/>
    </row>
    <row r="486" spans="3:52" x14ac:dyDescent="0.25">
      <c r="C486" s="1"/>
      <c r="D486" s="1"/>
      <c r="E486" s="44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2"/>
      <c r="AZ486" s="2"/>
    </row>
    <row r="487" spans="3:52" x14ac:dyDescent="0.25">
      <c r="C487" s="1"/>
      <c r="D487" s="1"/>
      <c r="E487" s="44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2"/>
      <c r="AZ487" s="2"/>
    </row>
    <row r="488" spans="3:52" x14ac:dyDescent="0.25">
      <c r="C488" s="1"/>
      <c r="D488" s="1"/>
      <c r="E488" s="44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2"/>
      <c r="AZ488" s="2"/>
    </row>
    <row r="489" spans="3:52" x14ac:dyDescent="0.25">
      <c r="C489" s="1"/>
      <c r="D489" s="1"/>
      <c r="E489" s="44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2"/>
      <c r="AZ489" s="2"/>
    </row>
    <row r="490" spans="3:52" x14ac:dyDescent="0.25">
      <c r="C490" s="1"/>
      <c r="D490" s="1"/>
      <c r="E490" s="44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2"/>
      <c r="AZ490" s="2"/>
    </row>
    <row r="491" spans="3:52" x14ac:dyDescent="0.25">
      <c r="C491" s="1"/>
      <c r="D491" s="1"/>
      <c r="E491" s="44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2"/>
      <c r="AZ491" s="2"/>
    </row>
    <row r="492" spans="3:52" x14ac:dyDescent="0.25">
      <c r="C492" s="1"/>
      <c r="D492" s="1"/>
      <c r="E492" s="44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2"/>
      <c r="AZ492" s="2"/>
    </row>
    <row r="493" spans="3:52" x14ac:dyDescent="0.25">
      <c r="C493" s="1"/>
      <c r="D493" s="1"/>
      <c r="E493" s="44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2"/>
      <c r="AZ493" s="2"/>
    </row>
    <row r="494" spans="3:52" x14ac:dyDescent="0.25">
      <c r="C494" s="1"/>
      <c r="D494" s="1"/>
      <c r="E494" s="44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2"/>
      <c r="AZ494" s="2"/>
    </row>
    <row r="495" spans="3:52" x14ac:dyDescent="0.25">
      <c r="C495" s="1"/>
      <c r="D495" s="1"/>
      <c r="E495" s="44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2"/>
      <c r="AZ495" s="2"/>
    </row>
    <row r="496" spans="3:52" x14ac:dyDescent="0.25">
      <c r="C496" s="1"/>
      <c r="D496" s="1"/>
      <c r="E496" s="44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2"/>
      <c r="AZ496" s="2"/>
    </row>
    <row r="497" spans="3:52" x14ac:dyDescent="0.25">
      <c r="C497" s="1"/>
      <c r="D497" s="1"/>
      <c r="E497" s="44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2"/>
      <c r="AZ497" s="2"/>
    </row>
    <row r="498" spans="3:52" x14ac:dyDescent="0.25">
      <c r="C498" s="1"/>
      <c r="D498" s="1"/>
      <c r="E498" s="44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2"/>
      <c r="AZ498" s="2"/>
    </row>
    <row r="499" spans="3:52" x14ac:dyDescent="0.25">
      <c r="C499" s="1"/>
      <c r="D499" s="1"/>
      <c r="E499" s="44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2"/>
      <c r="AZ499" s="2"/>
    </row>
    <row r="500" spans="3:52" x14ac:dyDescent="0.25">
      <c r="C500" s="1"/>
      <c r="D500" s="1"/>
      <c r="E500" s="44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2"/>
      <c r="AZ500" s="2"/>
    </row>
    <row r="501" spans="3:52" x14ac:dyDescent="0.25">
      <c r="C501" s="1"/>
      <c r="D501" s="1"/>
      <c r="E501" s="44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2"/>
      <c r="AZ501" s="2"/>
    </row>
    <row r="502" spans="3:52" x14ac:dyDescent="0.25">
      <c r="C502" s="1"/>
      <c r="D502" s="1"/>
      <c r="E502" s="44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2"/>
      <c r="AZ502" s="2"/>
    </row>
    <row r="503" spans="3:52" x14ac:dyDescent="0.25">
      <c r="C503" s="1"/>
      <c r="D503" s="1"/>
      <c r="E503" s="44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2"/>
      <c r="AZ503" s="2"/>
    </row>
    <row r="504" spans="3:52" x14ac:dyDescent="0.25">
      <c r="C504" s="1"/>
      <c r="D504" s="1"/>
      <c r="E504" s="44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2"/>
      <c r="AZ504" s="2"/>
    </row>
    <row r="505" spans="3:52" x14ac:dyDescent="0.25">
      <c r="C505" s="1"/>
      <c r="D505" s="1"/>
      <c r="E505" s="44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2"/>
      <c r="AZ505" s="2"/>
    </row>
    <row r="506" spans="3:52" x14ac:dyDescent="0.25">
      <c r="C506" s="1"/>
      <c r="D506" s="1"/>
      <c r="E506" s="44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2"/>
      <c r="AZ506" s="2"/>
    </row>
    <row r="507" spans="3:52" x14ac:dyDescent="0.25">
      <c r="C507" s="1"/>
      <c r="D507" s="1"/>
      <c r="E507" s="44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2"/>
      <c r="AZ507" s="2"/>
    </row>
    <row r="508" spans="3:52" x14ac:dyDescent="0.25">
      <c r="C508" s="1"/>
      <c r="D508" s="1"/>
      <c r="E508" s="44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2"/>
      <c r="AZ508" s="2"/>
    </row>
    <row r="509" spans="3:52" x14ac:dyDescent="0.25">
      <c r="C509" s="1"/>
      <c r="D509" s="1"/>
      <c r="E509" s="44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2"/>
      <c r="AZ509" s="2"/>
    </row>
    <row r="510" spans="3:52" x14ac:dyDescent="0.25">
      <c r="C510" s="1"/>
      <c r="D510" s="1"/>
      <c r="E510" s="44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2"/>
      <c r="AZ510" s="2"/>
    </row>
    <row r="511" spans="3:52" x14ac:dyDescent="0.25">
      <c r="C511" s="1"/>
      <c r="D511" s="1"/>
      <c r="E511" s="44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2"/>
      <c r="AZ511" s="2"/>
    </row>
    <row r="512" spans="3:52" x14ac:dyDescent="0.25">
      <c r="C512" s="1"/>
      <c r="D512" s="1"/>
      <c r="E512" s="44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2"/>
      <c r="AZ512" s="2"/>
    </row>
    <row r="513" spans="3:52" x14ac:dyDescent="0.25">
      <c r="C513" s="1"/>
      <c r="D513" s="1"/>
      <c r="E513" s="44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2"/>
      <c r="AZ513" s="2"/>
    </row>
    <row r="514" spans="3:52" x14ac:dyDescent="0.25">
      <c r="C514" s="1"/>
      <c r="D514" s="1"/>
      <c r="E514" s="44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2"/>
      <c r="AZ514" s="2"/>
    </row>
    <row r="515" spans="3:52" x14ac:dyDescent="0.25">
      <c r="C515" s="1"/>
      <c r="D515" s="1"/>
      <c r="E515" s="44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2"/>
      <c r="AZ515" s="2"/>
    </row>
    <row r="516" spans="3:52" x14ac:dyDescent="0.25">
      <c r="C516" s="1"/>
      <c r="D516" s="1"/>
      <c r="E516" s="44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2"/>
      <c r="AZ516" s="2"/>
    </row>
    <row r="517" spans="3:52" x14ac:dyDescent="0.25">
      <c r="C517" s="1"/>
      <c r="D517" s="1"/>
      <c r="E517" s="44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2"/>
      <c r="AZ517" s="2"/>
    </row>
    <row r="518" spans="3:52" x14ac:dyDescent="0.25">
      <c r="C518" s="1"/>
      <c r="D518" s="1"/>
      <c r="E518" s="44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2"/>
      <c r="AZ518" s="2"/>
    </row>
    <row r="519" spans="3:52" x14ac:dyDescent="0.25">
      <c r="C519" s="1"/>
      <c r="D519" s="1"/>
      <c r="E519" s="44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2"/>
      <c r="AZ519" s="2"/>
    </row>
    <row r="520" spans="3:52" x14ac:dyDescent="0.25">
      <c r="C520" s="1"/>
      <c r="D520" s="1"/>
      <c r="E520" s="44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2"/>
      <c r="AZ520" s="2"/>
    </row>
    <row r="521" spans="3:52" x14ac:dyDescent="0.25">
      <c r="C521" s="1"/>
      <c r="D521" s="1"/>
      <c r="E521" s="44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2"/>
      <c r="AZ521" s="2"/>
    </row>
    <row r="522" spans="3:52" x14ac:dyDescent="0.25">
      <c r="C522" s="1"/>
      <c r="D522" s="1"/>
      <c r="E522" s="44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2"/>
      <c r="AZ522" s="2"/>
    </row>
    <row r="523" spans="3:52" x14ac:dyDescent="0.25">
      <c r="C523" s="1"/>
      <c r="D523" s="1"/>
      <c r="E523" s="44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2"/>
      <c r="AZ523" s="2"/>
    </row>
    <row r="524" spans="3:52" x14ac:dyDescent="0.25">
      <c r="C524" s="1"/>
      <c r="D524" s="1"/>
      <c r="E524" s="44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2"/>
      <c r="AZ524" s="2"/>
    </row>
    <row r="525" spans="3:52" x14ac:dyDescent="0.25">
      <c r="C525" s="1"/>
      <c r="D525" s="1"/>
      <c r="E525" s="44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2"/>
      <c r="AZ525" s="2"/>
    </row>
    <row r="526" spans="3:52" x14ac:dyDescent="0.25">
      <c r="C526" s="1"/>
      <c r="D526" s="1"/>
      <c r="E526" s="44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2"/>
      <c r="AZ526" s="2"/>
    </row>
    <row r="527" spans="3:52" x14ac:dyDescent="0.25">
      <c r="C527" s="1"/>
      <c r="D527" s="1"/>
      <c r="E527" s="44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2"/>
      <c r="AZ527" s="2"/>
    </row>
    <row r="528" spans="3:52" x14ac:dyDescent="0.25">
      <c r="C528" s="1"/>
      <c r="D528" s="1"/>
      <c r="E528" s="44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2"/>
      <c r="AZ528" s="2"/>
    </row>
    <row r="529" spans="3:52" x14ac:dyDescent="0.25">
      <c r="C529" s="1"/>
      <c r="D529" s="1"/>
      <c r="E529" s="44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2"/>
      <c r="AZ529" s="2"/>
    </row>
    <row r="530" spans="3:52" x14ac:dyDescent="0.25">
      <c r="C530" s="1"/>
      <c r="D530" s="1"/>
      <c r="E530" s="44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2"/>
      <c r="AZ530" s="2"/>
    </row>
    <row r="531" spans="3:52" x14ac:dyDescent="0.25">
      <c r="C531" s="1"/>
      <c r="D531" s="1"/>
      <c r="E531" s="44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2"/>
      <c r="AZ531" s="2"/>
    </row>
    <row r="532" spans="3:52" x14ac:dyDescent="0.25">
      <c r="C532" s="1"/>
      <c r="D532" s="1"/>
      <c r="E532" s="44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2"/>
      <c r="AZ532" s="2"/>
    </row>
    <row r="533" spans="3:52" x14ac:dyDescent="0.25">
      <c r="C533" s="1"/>
      <c r="D533" s="1"/>
      <c r="E533" s="44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2"/>
      <c r="AZ533" s="2"/>
    </row>
    <row r="534" spans="3:52" x14ac:dyDescent="0.25">
      <c r="C534" s="1"/>
      <c r="D534" s="1"/>
      <c r="E534" s="44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2"/>
      <c r="AZ534" s="2"/>
    </row>
    <row r="535" spans="3:52" x14ac:dyDescent="0.25">
      <c r="C535" s="1"/>
      <c r="D535" s="1"/>
      <c r="E535" s="44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2"/>
      <c r="AZ535" s="2"/>
    </row>
    <row r="536" spans="3:52" x14ac:dyDescent="0.25">
      <c r="C536" s="1"/>
      <c r="D536" s="1"/>
      <c r="E536" s="44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2"/>
      <c r="AZ536" s="2"/>
    </row>
    <row r="537" spans="3:52" x14ac:dyDescent="0.25">
      <c r="C537" s="1"/>
      <c r="D537" s="1"/>
      <c r="E537" s="44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2"/>
      <c r="AZ537" s="2"/>
    </row>
    <row r="538" spans="3:52" x14ac:dyDescent="0.25">
      <c r="C538" s="1"/>
      <c r="D538" s="1"/>
      <c r="E538" s="44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2"/>
      <c r="AZ538" s="2"/>
    </row>
    <row r="539" spans="3:52" x14ac:dyDescent="0.25">
      <c r="C539" s="1"/>
      <c r="D539" s="1"/>
      <c r="E539" s="44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2"/>
      <c r="AZ539" s="2"/>
    </row>
    <row r="540" spans="3:52" x14ac:dyDescent="0.25">
      <c r="C540" s="1"/>
      <c r="D540" s="1"/>
      <c r="E540" s="44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2"/>
      <c r="AZ540" s="2"/>
    </row>
    <row r="541" spans="3:52" x14ac:dyDescent="0.25">
      <c r="C541" s="1"/>
      <c r="D541" s="1"/>
      <c r="E541" s="44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2"/>
      <c r="AZ541" s="2"/>
    </row>
    <row r="542" spans="3:52" x14ac:dyDescent="0.25">
      <c r="C542" s="1"/>
      <c r="D542" s="1"/>
      <c r="E542" s="44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2"/>
      <c r="AZ542" s="2"/>
    </row>
    <row r="543" spans="3:52" x14ac:dyDescent="0.25">
      <c r="C543" s="1"/>
      <c r="D543" s="1"/>
      <c r="E543" s="44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2"/>
      <c r="AZ543" s="2"/>
    </row>
    <row r="544" spans="3:52" x14ac:dyDescent="0.25">
      <c r="C544" s="1"/>
      <c r="D544" s="1"/>
      <c r="E544" s="44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2"/>
      <c r="AZ544" s="2"/>
    </row>
    <row r="545" spans="3:52" x14ac:dyDescent="0.25">
      <c r="C545" s="1"/>
      <c r="D545" s="1"/>
      <c r="E545" s="44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2"/>
      <c r="AZ545" s="2"/>
    </row>
    <row r="546" spans="3:52" x14ac:dyDescent="0.25">
      <c r="C546" s="1"/>
      <c r="D546" s="1"/>
      <c r="E546" s="44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2"/>
      <c r="AZ546" s="2"/>
    </row>
    <row r="547" spans="3:52" x14ac:dyDescent="0.25">
      <c r="C547" s="1"/>
      <c r="D547" s="1"/>
      <c r="E547" s="44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2"/>
      <c r="AZ547" s="2"/>
    </row>
    <row r="548" spans="3:52" x14ac:dyDescent="0.25">
      <c r="C548" s="1"/>
      <c r="D548" s="1"/>
      <c r="E548" s="44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2"/>
      <c r="AZ548" s="2"/>
    </row>
    <row r="549" spans="3:52" x14ac:dyDescent="0.25">
      <c r="C549" s="1"/>
      <c r="D549" s="1"/>
      <c r="E549" s="44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2"/>
      <c r="AZ549" s="2"/>
    </row>
    <row r="550" spans="3:52" x14ac:dyDescent="0.25">
      <c r="C550" s="1"/>
      <c r="D550" s="1"/>
      <c r="E550" s="44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2"/>
      <c r="AZ550" s="2"/>
    </row>
    <row r="551" spans="3:52" x14ac:dyDescent="0.25">
      <c r="C551" s="1"/>
      <c r="D551" s="1"/>
      <c r="E551" s="44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2"/>
      <c r="AZ551" s="2"/>
    </row>
    <row r="552" spans="3:52" x14ac:dyDescent="0.25">
      <c r="C552" s="1"/>
      <c r="D552" s="1"/>
      <c r="E552" s="44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2"/>
      <c r="AZ552" s="2"/>
    </row>
    <row r="553" spans="3:52" x14ac:dyDescent="0.25">
      <c r="C553" s="1"/>
      <c r="D553" s="1"/>
      <c r="E553" s="44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2"/>
      <c r="AZ553" s="2"/>
    </row>
    <row r="554" spans="3:52" x14ac:dyDescent="0.25">
      <c r="C554" s="1"/>
      <c r="D554" s="1"/>
      <c r="E554" s="44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2"/>
      <c r="AZ554" s="2"/>
    </row>
    <row r="555" spans="3:52" x14ac:dyDescent="0.25">
      <c r="C555" s="1"/>
      <c r="D555" s="1"/>
      <c r="E555" s="44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2"/>
      <c r="AZ555" s="2"/>
    </row>
    <row r="556" spans="3:52" x14ac:dyDescent="0.25">
      <c r="C556" s="1"/>
      <c r="D556" s="1"/>
      <c r="E556" s="44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2"/>
      <c r="AZ556" s="2"/>
    </row>
    <row r="557" spans="3:52" x14ac:dyDescent="0.25">
      <c r="C557" s="1"/>
      <c r="D557" s="1"/>
      <c r="E557" s="44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2"/>
      <c r="AZ557" s="2"/>
    </row>
    <row r="558" spans="3:52" x14ac:dyDescent="0.25">
      <c r="C558" s="1"/>
      <c r="D558" s="1"/>
      <c r="E558" s="44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2"/>
      <c r="AZ558" s="2"/>
    </row>
    <row r="559" spans="3:52" x14ac:dyDescent="0.25">
      <c r="C559" s="1"/>
      <c r="D559" s="1"/>
      <c r="E559" s="44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2"/>
      <c r="AZ559" s="2"/>
    </row>
    <row r="560" spans="3:52" x14ac:dyDescent="0.25">
      <c r="C560" s="1"/>
      <c r="D560" s="1"/>
      <c r="E560" s="44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2"/>
      <c r="AZ560" s="2"/>
    </row>
    <row r="561" spans="3:52" x14ac:dyDescent="0.25">
      <c r="C561" s="1"/>
      <c r="D561" s="1"/>
      <c r="E561" s="44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2"/>
      <c r="AZ561" s="2"/>
    </row>
    <row r="562" spans="3:52" x14ac:dyDescent="0.25">
      <c r="C562" s="1"/>
      <c r="D562" s="1"/>
      <c r="E562" s="44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2"/>
      <c r="AZ562" s="2"/>
    </row>
    <row r="563" spans="3:52" x14ac:dyDescent="0.25">
      <c r="C563" s="1"/>
      <c r="D563" s="1"/>
      <c r="E563" s="44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2"/>
      <c r="AZ563" s="2"/>
    </row>
    <row r="564" spans="3:52" x14ac:dyDescent="0.25">
      <c r="C564" s="1"/>
      <c r="D564" s="1"/>
      <c r="E564" s="44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2"/>
      <c r="AZ564" s="2"/>
    </row>
    <row r="565" spans="3:52" x14ac:dyDescent="0.25">
      <c r="C565" s="1"/>
      <c r="D565" s="1"/>
      <c r="E565" s="44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2"/>
      <c r="AZ565" s="2"/>
    </row>
    <row r="566" spans="3:52" x14ac:dyDescent="0.25">
      <c r="C566" s="1"/>
      <c r="D566" s="1"/>
      <c r="E566" s="44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2"/>
      <c r="AZ566" s="2"/>
    </row>
    <row r="567" spans="3:52" x14ac:dyDescent="0.25">
      <c r="C567" s="1"/>
      <c r="D567" s="1"/>
      <c r="E567" s="44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2"/>
      <c r="AZ567" s="2"/>
    </row>
    <row r="568" spans="3:52" x14ac:dyDescent="0.25">
      <c r="C568" s="1"/>
      <c r="D568" s="1"/>
      <c r="E568" s="44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2"/>
      <c r="AZ568" s="2"/>
    </row>
    <row r="569" spans="3:52" x14ac:dyDescent="0.25">
      <c r="C569" s="1"/>
      <c r="D569" s="1"/>
      <c r="E569" s="44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2"/>
      <c r="AZ569" s="2"/>
    </row>
    <row r="570" spans="3:52" x14ac:dyDescent="0.25">
      <c r="C570" s="1"/>
      <c r="D570" s="1"/>
      <c r="E570" s="44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2"/>
      <c r="AZ570" s="2"/>
    </row>
    <row r="571" spans="3:52" x14ac:dyDescent="0.25">
      <c r="C571" s="1"/>
      <c r="D571" s="1"/>
      <c r="E571" s="44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2"/>
      <c r="AZ571" s="2"/>
    </row>
    <row r="572" spans="3:52" x14ac:dyDescent="0.25">
      <c r="C572" s="1"/>
      <c r="D572" s="1"/>
      <c r="E572" s="44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2"/>
      <c r="AZ572" s="2"/>
    </row>
    <row r="573" spans="3:52" x14ac:dyDescent="0.25">
      <c r="C573" s="1"/>
      <c r="D573" s="1"/>
      <c r="E573" s="44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2"/>
      <c r="AZ573" s="2"/>
    </row>
    <row r="574" spans="3:52" x14ac:dyDescent="0.25">
      <c r="C574" s="1"/>
      <c r="D574" s="1"/>
      <c r="E574" s="44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2"/>
      <c r="AZ574" s="2"/>
    </row>
    <row r="575" spans="3:52" x14ac:dyDescent="0.25">
      <c r="C575" s="1"/>
      <c r="D575" s="1"/>
      <c r="E575" s="44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2"/>
      <c r="AZ575" s="2"/>
    </row>
    <row r="576" spans="3:52" x14ac:dyDescent="0.25">
      <c r="C576" s="1"/>
      <c r="D576" s="1"/>
      <c r="E576" s="44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2"/>
      <c r="AZ576" s="2"/>
    </row>
    <row r="577" spans="3:52" x14ac:dyDescent="0.25">
      <c r="C577" s="1"/>
      <c r="D577" s="1"/>
      <c r="E577" s="44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2"/>
      <c r="AZ577" s="2"/>
    </row>
    <row r="578" spans="3:52" x14ac:dyDescent="0.25">
      <c r="C578" s="1"/>
      <c r="D578" s="1"/>
      <c r="E578" s="44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2"/>
      <c r="AZ578" s="2"/>
    </row>
    <row r="579" spans="3:52" x14ac:dyDescent="0.25">
      <c r="C579" s="1"/>
      <c r="D579" s="1"/>
      <c r="E579" s="44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2"/>
      <c r="AZ579" s="2"/>
    </row>
    <row r="580" spans="3:52" x14ac:dyDescent="0.25">
      <c r="C580" s="1"/>
      <c r="D580" s="1"/>
      <c r="E580" s="44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2"/>
      <c r="AZ580" s="2"/>
    </row>
    <row r="581" spans="3:52" x14ac:dyDescent="0.25">
      <c r="C581" s="1"/>
      <c r="D581" s="1"/>
      <c r="E581" s="44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2"/>
      <c r="AZ581" s="2"/>
    </row>
    <row r="582" spans="3:52" x14ac:dyDescent="0.25">
      <c r="C582" s="1"/>
      <c r="D582" s="1"/>
      <c r="E582" s="44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2"/>
      <c r="AZ582" s="2"/>
    </row>
    <row r="583" spans="3:52" x14ac:dyDescent="0.25">
      <c r="C583" s="1"/>
      <c r="D583" s="1"/>
      <c r="E583" s="44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2"/>
      <c r="AZ583" s="2"/>
    </row>
    <row r="584" spans="3:52" x14ac:dyDescent="0.25">
      <c r="C584" s="1"/>
      <c r="D584" s="1"/>
      <c r="E584" s="44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2"/>
      <c r="AZ584" s="2"/>
    </row>
    <row r="585" spans="3:52" x14ac:dyDescent="0.25">
      <c r="C585" s="1"/>
      <c r="D585" s="1"/>
      <c r="E585" s="44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2"/>
      <c r="AZ585" s="2"/>
    </row>
    <row r="586" spans="3:52" x14ac:dyDescent="0.25">
      <c r="C586" s="1"/>
      <c r="D586" s="1"/>
      <c r="E586" s="44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2"/>
      <c r="AZ586" s="2"/>
    </row>
    <row r="587" spans="3:52" x14ac:dyDescent="0.25">
      <c r="C587" s="1"/>
      <c r="D587" s="1"/>
      <c r="E587" s="44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2"/>
      <c r="AZ587" s="2"/>
    </row>
    <row r="588" spans="3:52" x14ac:dyDescent="0.25">
      <c r="C588" s="1"/>
      <c r="D588" s="1"/>
      <c r="E588" s="44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2"/>
      <c r="AZ588" s="2"/>
    </row>
    <row r="589" spans="3:52" x14ac:dyDescent="0.25">
      <c r="C589" s="1"/>
      <c r="D589" s="1"/>
      <c r="E589" s="44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2"/>
      <c r="AZ589" s="2"/>
    </row>
    <row r="590" spans="3:52" x14ac:dyDescent="0.25">
      <c r="C590" s="1"/>
      <c r="D590" s="1"/>
      <c r="E590" s="44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2"/>
      <c r="AZ590" s="2"/>
    </row>
    <row r="591" spans="3:52" x14ac:dyDescent="0.25">
      <c r="C591" s="1"/>
      <c r="D591" s="1"/>
      <c r="E591" s="44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2"/>
      <c r="AZ591" s="2"/>
    </row>
    <row r="592" spans="3:52" x14ac:dyDescent="0.25">
      <c r="C592" s="1"/>
      <c r="D592" s="1"/>
      <c r="E592" s="44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2"/>
      <c r="AZ592" s="2"/>
    </row>
    <row r="593" spans="3:52" x14ac:dyDescent="0.25">
      <c r="C593" s="1"/>
      <c r="D593" s="1"/>
      <c r="E593" s="44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2"/>
      <c r="AZ593" s="2"/>
    </row>
    <row r="594" spans="3:52" x14ac:dyDescent="0.25">
      <c r="C594" s="1"/>
      <c r="D594" s="1"/>
      <c r="E594" s="44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2"/>
      <c r="AZ594" s="2"/>
    </row>
    <row r="595" spans="3:52" x14ac:dyDescent="0.25">
      <c r="C595" s="1"/>
      <c r="D595" s="1"/>
      <c r="E595" s="44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2"/>
      <c r="AZ595" s="2"/>
    </row>
    <row r="596" spans="3:52" x14ac:dyDescent="0.25">
      <c r="C596" s="1"/>
      <c r="D596" s="1"/>
      <c r="E596" s="44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2"/>
      <c r="AZ596" s="2"/>
    </row>
    <row r="597" spans="3:52" x14ac:dyDescent="0.25">
      <c r="C597" s="1"/>
      <c r="D597" s="1"/>
      <c r="E597" s="44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2"/>
      <c r="AZ597" s="2"/>
    </row>
    <row r="598" spans="3:52" x14ac:dyDescent="0.25">
      <c r="C598" s="1"/>
      <c r="D598" s="1"/>
      <c r="E598" s="44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2"/>
      <c r="AZ598" s="2"/>
    </row>
    <row r="599" spans="3:52" x14ac:dyDescent="0.25">
      <c r="C599" s="1"/>
      <c r="D599" s="1"/>
      <c r="E599" s="44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2"/>
      <c r="AZ599" s="2"/>
    </row>
    <row r="600" spans="3:52" x14ac:dyDescent="0.25">
      <c r="C600" s="1"/>
      <c r="D600" s="1"/>
      <c r="E600" s="44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2"/>
      <c r="AZ600" s="2"/>
    </row>
    <row r="601" spans="3:52" x14ac:dyDescent="0.25">
      <c r="C601" s="1"/>
      <c r="D601" s="1"/>
      <c r="E601" s="44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2"/>
      <c r="AZ601" s="2"/>
    </row>
    <row r="602" spans="3:52" x14ac:dyDescent="0.25">
      <c r="C602" s="1"/>
      <c r="D602" s="1"/>
      <c r="E602" s="44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2"/>
      <c r="AZ602" s="2"/>
    </row>
    <row r="603" spans="3:52" x14ac:dyDescent="0.25">
      <c r="C603" s="1"/>
      <c r="D603" s="1"/>
      <c r="E603" s="44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2"/>
      <c r="AZ603" s="2"/>
    </row>
    <row r="604" spans="3:52" x14ac:dyDescent="0.25">
      <c r="C604" s="1"/>
      <c r="D604" s="1"/>
      <c r="E604" s="44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2"/>
      <c r="AZ604" s="2"/>
    </row>
    <row r="605" spans="3:52" x14ac:dyDescent="0.25">
      <c r="C605" s="1"/>
      <c r="D605" s="1"/>
      <c r="E605" s="44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2"/>
      <c r="AZ605" s="2"/>
    </row>
    <row r="606" spans="3:52" x14ac:dyDescent="0.25">
      <c r="C606" s="1"/>
      <c r="D606" s="1"/>
      <c r="E606" s="44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2"/>
      <c r="AZ606" s="2"/>
    </row>
    <row r="607" spans="3:52" x14ac:dyDescent="0.25">
      <c r="C607" s="1"/>
      <c r="D607" s="1"/>
      <c r="E607" s="44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2"/>
      <c r="AZ607" s="2"/>
    </row>
    <row r="608" spans="3:52" x14ac:dyDescent="0.25">
      <c r="C608" s="1"/>
      <c r="D608" s="1"/>
      <c r="E608" s="44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2"/>
      <c r="AZ608" s="2"/>
    </row>
    <row r="609" spans="3:52" x14ac:dyDescent="0.25">
      <c r="C609" s="1"/>
      <c r="D609" s="1"/>
      <c r="E609" s="44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2"/>
      <c r="AZ609" s="2"/>
    </row>
    <row r="610" spans="3:52" x14ac:dyDescent="0.25">
      <c r="C610" s="1"/>
      <c r="D610" s="1"/>
      <c r="E610" s="44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2"/>
      <c r="AZ610" s="2"/>
    </row>
    <row r="611" spans="3:52" x14ac:dyDescent="0.25">
      <c r="C611" s="1"/>
      <c r="D611" s="1"/>
      <c r="E611" s="44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2"/>
      <c r="AZ611" s="2"/>
    </row>
    <row r="612" spans="3:52" x14ac:dyDescent="0.25">
      <c r="C612" s="1"/>
      <c r="D612" s="1"/>
      <c r="E612" s="44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2"/>
      <c r="AZ612" s="2"/>
    </row>
    <row r="613" spans="3:52" x14ac:dyDescent="0.25">
      <c r="C613" s="1"/>
      <c r="D613" s="1"/>
      <c r="E613" s="44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2"/>
      <c r="AZ613" s="2"/>
    </row>
    <row r="614" spans="3:52" x14ac:dyDescent="0.25">
      <c r="C614" s="1"/>
      <c r="D614" s="1"/>
      <c r="E614" s="44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2"/>
      <c r="AZ614" s="2"/>
    </row>
    <row r="615" spans="3:52" x14ac:dyDescent="0.25">
      <c r="C615" s="1"/>
      <c r="D615" s="1"/>
      <c r="E615" s="44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2"/>
      <c r="AZ615" s="2"/>
    </row>
    <row r="616" spans="3:52" x14ac:dyDescent="0.25">
      <c r="C616" s="1"/>
      <c r="D616" s="1"/>
      <c r="E616" s="44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2"/>
      <c r="AZ616" s="2"/>
    </row>
    <row r="617" spans="3:52" x14ac:dyDescent="0.25">
      <c r="C617" s="1"/>
      <c r="D617" s="1"/>
      <c r="E617" s="44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2"/>
      <c r="AZ617" s="2"/>
    </row>
    <row r="618" spans="3:52" x14ac:dyDescent="0.25">
      <c r="C618" s="1"/>
      <c r="D618" s="1"/>
      <c r="E618" s="44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2"/>
      <c r="AZ618" s="2"/>
    </row>
    <row r="619" spans="3:52" x14ac:dyDescent="0.25">
      <c r="C619" s="1"/>
      <c r="D619" s="1"/>
      <c r="E619" s="44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2"/>
      <c r="AZ619" s="2"/>
    </row>
    <row r="620" spans="3:52" x14ac:dyDescent="0.25">
      <c r="C620" s="1"/>
      <c r="D620" s="1"/>
      <c r="E620" s="44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2"/>
      <c r="AZ620" s="2"/>
    </row>
    <row r="621" spans="3:52" x14ac:dyDescent="0.25">
      <c r="C621" s="1"/>
      <c r="D621" s="1"/>
      <c r="E621" s="44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2"/>
      <c r="AZ621" s="2"/>
    </row>
    <row r="622" spans="3:52" x14ac:dyDescent="0.25">
      <c r="C622" s="1"/>
      <c r="D622" s="1"/>
      <c r="E622" s="44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2"/>
      <c r="AZ622" s="2"/>
    </row>
    <row r="623" spans="3:52" x14ac:dyDescent="0.25">
      <c r="C623" s="1"/>
      <c r="D623" s="1"/>
      <c r="E623" s="44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2"/>
      <c r="AZ623" s="2"/>
    </row>
    <row r="624" spans="3:52" x14ac:dyDescent="0.25">
      <c r="C624" s="1"/>
      <c r="D624" s="1"/>
      <c r="E624" s="44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2"/>
      <c r="AZ624" s="2"/>
    </row>
    <row r="625" spans="3:52" x14ac:dyDescent="0.25">
      <c r="C625" s="1"/>
      <c r="D625" s="1"/>
      <c r="E625" s="44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2"/>
      <c r="AZ625" s="2"/>
    </row>
    <row r="626" spans="3:52" x14ac:dyDescent="0.25">
      <c r="C626" s="1"/>
      <c r="D626" s="1"/>
      <c r="E626" s="44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2"/>
      <c r="AZ626" s="2"/>
    </row>
    <row r="627" spans="3:52" x14ac:dyDescent="0.25">
      <c r="C627" s="1"/>
      <c r="D627" s="1"/>
      <c r="E627" s="44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2"/>
      <c r="AZ627" s="2"/>
    </row>
    <row r="628" spans="3:52" x14ac:dyDescent="0.25">
      <c r="C628" s="1"/>
      <c r="D628" s="1"/>
      <c r="E628" s="44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2"/>
      <c r="AZ628" s="2"/>
    </row>
    <row r="629" spans="3:52" x14ac:dyDescent="0.25">
      <c r="C629" s="1"/>
      <c r="D629" s="1"/>
      <c r="E629" s="44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2"/>
      <c r="AZ629" s="2"/>
    </row>
    <row r="630" spans="3:52" x14ac:dyDescent="0.25">
      <c r="C630" s="1"/>
      <c r="D630" s="1"/>
      <c r="E630" s="44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2"/>
      <c r="AZ630" s="2"/>
    </row>
    <row r="631" spans="3:52" x14ac:dyDescent="0.25">
      <c r="C631" s="1"/>
      <c r="D631" s="1"/>
      <c r="E631" s="44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2"/>
      <c r="AZ631" s="2"/>
    </row>
    <row r="632" spans="3:52" x14ac:dyDescent="0.25">
      <c r="C632" s="1"/>
      <c r="D632" s="1"/>
      <c r="E632" s="44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2"/>
      <c r="AZ632" s="2"/>
    </row>
    <row r="633" spans="3:52" x14ac:dyDescent="0.25">
      <c r="C633" s="1"/>
      <c r="D633" s="1"/>
      <c r="E633" s="44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2"/>
      <c r="AZ633" s="2"/>
    </row>
    <row r="634" spans="3:52" x14ac:dyDescent="0.25">
      <c r="C634" s="1"/>
      <c r="D634" s="1"/>
      <c r="E634" s="44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2"/>
      <c r="AZ634" s="2"/>
    </row>
    <row r="635" spans="3:52" x14ac:dyDescent="0.25">
      <c r="C635" s="1"/>
      <c r="D635" s="1"/>
      <c r="E635" s="44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2"/>
      <c r="AZ635" s="2"/>
    </row>
    <row r="636" spans="3:52" x14ac:dyDescent="0.25">
      <c r="C636" s="1"/>
      <c r="D636" s="1"/>
      <c r="E636" s="44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2"/>
      <c r="AZ636" s="2"/>
    </row>
    <row r="637" spans="3:52" x14ac:dyDescent="0.25">
      <c r="C637" s="1"/>
      <c r="D637" s="1"/>
      <c r="E637" s="44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2"/>
      <c r="AZ637" s="2"/>
    </row>
    <row r="638" spans="3:52" x14ac:dyDescent="0.25">
      <c r="C638" s="1"/>
      <c r="D638" s="1"/>
      <c r="E638" s="44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2"/>
      <c r="AZ638" s="2"/>
    </row>
    <row r="639" spans="3:52" x14ac:dyDescent="0.25">
      <c r="C639" s="1"/>
      <c r="D639" s="1"/>
      <c r="E639" s="44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2"/>
      <c r="AZ639" s="2"/>
    </row>
    <row r="640" spans="3:52" x14ac:dyDescent="0.25">
      <c r="C640" s="1"/>
      <c r="D640" s="1"/>
      <c r="E640" s="44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2"/>
      <c r="AZ640" s="2"/>
    </row>
    <row r="641" spans="3:52" x14ac:dyDescent="0.25">
      <c r="C641" s="1"/>
      <c r="D641" s="1"/>
      <c r="E641" s="44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2"/>
      <c r="AZ641" s="2"/>
    </row>
    <row r="642" spans="3:52" x14ac:dyDescent="0.25">
      <c r="C642" s="1"/>
      <c r="D642" s="1"/>
      <c r="E642" s="44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2"/>
      <c r="AZ642" s="2"/>
    </row>
    <row r="643" spans="3:52" x14ac:dyDescent="0.25">
      <c r="C643" s="1"/>
      <c r="D643" s="1"/>
      <c r="E643" s="44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2"/>
      <c r="AZ643" s="2"/>
    </row>
    <row r="644" spans="3:52" x14ac:dyDescent="0.25">
      <c r="C644" s="1"/>
      <c r="D644" s="1"/>
      <c r="E644" s="44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2"/>
      <c r="AZ644" s="2"/>
    </row>
    <row r="645" spans="3:52" x14ac:dyDescent="0.25">
      <c r="C645" s="1"/>
      <c r="D645" s="1"/>
      <c r="E645" s="44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2"/>
      <c r="AZ645" s="2"/>
    </row>
    <row r="646" spans="3:52" x14ac:dyDescent="0.25">
      <c r="C646" s="1"/>
      <c r="D646" s="1"/>
      <c r="E646" s="44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2"/>
      <c r="AZ646" s="2"/>
    </row>
    <row r="647" spans="3:52" x14ac:dyDescent="0.25">
      <c r="C647" s="1"/>
      <c r="D647" s="1"/>
      <c r="E647" s="44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2"/>
      <c r="AZ647" s="2"/>
    </row>
    <row r="648" spans="3:52" x14ac:dyDescent="0.25">
      <c r="C648" s="1"/>
      <c r="D648" s="1"/>
      <c r="E648" s="44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2"/>
      <c r="AZ648" s="2"/>
    </row>
    <row r="649" spans="3:52" x14ac:dyDescent="0.25">
      <c r="C649" s="1"/>
      <c r="D649" s="1"/>
      <c r="E649" s="44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2"/>
      <c r="AZ649" s="2"/>
    </row>
    <row r="650" spans="3:52" x14ac:dyDescent="0.25">
      <c r="C650" s="1"/>
      <c r="D650" s="1"/>
      <c r="E650" s="44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2"/>
      <c r="AZ650" s="2"/>
    </row>
    <row r="651" spans="3:52" x14ac:dyDescent="0.25">
      <c r="C651" s="1"/>
      <c r="D651" s="1"/>
      <c r="E651" s="44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2"/>
      <c r="AZ651" s="2"/>
    </row>
    <row r="652" spans="3:52" x14ac:dyDescent="0.25">
      <c r="C652" s="1"/>
      <c r="D652" s="1"/>
      <c r="E652" s="44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2"/>
      <c r="AZ652" s="2"/>
    </row>
    <row r="653" spans="3:52" x14ac:dyDescent="0.25">
      <c r="C653" s="1"/>
      <c r="D653" s="1"/>
      <c r="E653" s="44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2"/>
      <c r="AZ653" s="2"/>
    </row>
    <row r="654" spans="3:52" x14ac:dyDescent="0.25">
      <c r="C654" s="1"/>
      <c r="D654" s="1"/>
      <c r="E654" s="44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2"/>
      <c r="AZ654" s="2"/>
    </row>
    <row r="655" spans="3:52" x14ac:dyDescent="0.25">
      <c r="C655" s="1"/>
      <c r="D655" s="1"/>
      <c r="E655" s="44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2"/>
      <c r="AZ655" s="2"/>
    </row>
    <row r="656" spans="3:52" x14ac:dyDescent="0.25">
      <c r="C656" s="1"/>
      <c r="D656" s="1"/>
      <c r="E656" s="44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2"/>
      <c r="AZ656" s="2"/>
    </row>
    <row r="657" spans="3:52" x14ac:dyDescent="0.25">
      <c r="C657" s="1"/>
      <c r="D657" s="1"/>
      <c r="E657" s="44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2"/>
      <c r="AZ657" s="2"/>
    </row>
    <row r="658" spans="3:52" x14ac:dyDescent="0.25">
      <c r="C658" s="1"/>
      <c r="D658" s="1"/>
      <c r="E658" s="44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2"/>
      <c r="AZ658" s="2"/>
    </row>
    <row r="659" spans="3:52" x14ac:dyDescent="0.25">
      <c r="C659" s="1"/>
      <c r="D659" s="1"/>
      <c r="E659" s="44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2"/>
      <c r="AZ659" s="2"/>
    </row>
    <row r="660" spans="3:52" x14ac:dyDescent="0.25">
      <c r="C660" s="1"/>
      <c r="D660" s="1"/>
      <c r="E660" s="44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2"/>
      <c r="AZ660" s="2"/>
    </row>
    <row r="661" spans="3:52" x14ac:dyDescent="0.25">
      <c r="C661" s="1"/>
      <c r="D661" s="1"/>
      <c r="E661" s="44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2"/>
      <c r="AZ661" s="2"/>
    </row>
    <row r="662" spans="3:52" x14ac:dyDescent="0.25">
      <c r="C662" s="1"/>
      <c r="D662" s="1"/>
      <c r="E662" s="44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2"/>
      <c r="AZ662" s="2"/>
    </row>
    <row r="663" spans="3:52" x14ac:dyDescent="0.25">
      <c r="C663" s="1"/>
      <c r="D663" s="1"/>
      <c r="E663" s="44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2"/>
      <c r="AZ663" s="2"/>
    </row>
    <row r="664" spans="3:52" x14ac:dyDescent="0.25">
      <c r="C664" s="1"/>
      <c r="D664" s="1"/>
      <c r="E664" s="44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2"/>
      <c r="AZ664" s="2"/>
    </row>
    <row r="665" spans="3:52" x14ac:dyDescent="0.25">
      <c r="C665" s="1"/>
      <c r="D665" s="1"/>
      <c r="E665" s="44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2"/>
      <c r="AZ665" s="2"/>
    </row>
    <row r="666" spans="3:52" x14ac:dyDescent="0.25">
      <c r="C666" s="1"/>
      <c r="D666" s="1"/>
      <c r="E666" s="44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2"/>
      <c r="AZ666" s="2"/>
    </row>
    <row r="667" spans="3:52" x14ac:dyDescent="0.25">
      <c r="C667" s="1"/>
      <c r="D667" s="1"/>
      <c r="E667" s="44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2"/>
      <c r="AZ667" s="2"/>
    </row>
    <row r="668" spans="3:52" x14ac:dyDescent="0.25">
      <c r="C668" s="1"/>
      <c r="D668" s="1"/>
      <c r="E668" s="44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2"/>
      <c r="AZ668" s="2"/>
    </row>
    <row r="669" spans="3:52" x14ac:dyDescent="0.25">
      <c r="C669" s="1"/>
      <c r="D669" s="1"/>
      <c r="E669" s="44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2"/>
      <c r="AZ669" s="2"/>
    </row>
    <row r="670" spans="3:52" x14ac:dyDescent="0.25">
      <c r="C670" s="1"/>
      <c r="D670" s="1"/>
      <c r="E670" s="44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2"/>
      <c r="AZ670" s="2"/>
    </row>
    <row r="671" spans="3:52" x14ac:dyDescent="0.25">
      <c r="C671" s="1"/>
      <c r="D671" s="1"/>
      <c r="E671" s="44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2"/>
      <c r="AZ671" s="2"/>
    </row>
    <row r="672" spans="3:52" x14ac:dyDescent="0.25">
      <c r="C672" s="1"/>
      <c r="D672" s="1"/>
      <c r="E672" s="44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2"/>
      <c r="AZ672" s="2"/>
    </row>
    <row r="673" spans="3:52" x14ac:dyDescent="0.25">
      <c r="C673" s="1"/>
      <c r="D673" s="1"/>
      <c r="E673" s="44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2"/>
      <c r="AZ673" s="2"/>
    </row>
    <row r="674" spans="3:52" x14ac:dyDescent="0.25">
      <c r="C674" s="1"/>
      <c r="D674" s="1"/>
      <c r="E674" s="44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2"/>
      <c r="AZ674" s="2"/>
    </row>
    <row r="675" spans="3:52" x14ac:dyDescent="0.25">
      <c r="C675" s="1"/>
      <c r="D675" s="1"/>
      <c r="E675" s="44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2"/>
      <c r="AZ675" s="2"/>
    </row>
    <row r="676" spans="3:52" x14ac:dyDescent="0.25">
      <c r="C676" s="1"/>
      <c r="D676" s="1"/>
      <c r="E676" s="44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2"/>
      <c r="AZ676" s="2"/>
    </row>
    <row r="677" spans="3:52" x14ac:dyDescent="0.25">
      <c r="C677" s="1"/>
      <c r="D677" s="1"/>
      <c r="E677" s="44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2"/>
      <c r="AZ677" s="2"/>
    </row>
    <row r="678" spans="3:52" x14ac:dyDescent="0.25">
      <c r="C678" s="1"/>
      <c r="D678" s="1"/>
      <c r="E678" s="44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2"/>
      <c r="AZ678" s="2"/>
    </row>
    <row r="679" spans="3:52" x14ac:dyDescent="0.25">
      <c r="C679" s="1"/>
      <c r="D679" s="1"/>
      <c r="E679" s="44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2"/>
      <c r="AZ679" s="2"/>
    </row>
    <row r="680" spans="3:52" x14ac:dyDescent="0.25">
      <c r="C680" s="1"/>
      <c r="D680" s="1"/>
      <c r="E680" s="44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2"/>
      <c r="AZ680" s="2"/>
    </row>
    <row r="681" spans="3:52" x14ac:dyDescent="0.25">
      <c r="C681" s="1"/>
      <c r="D681" s="1"/>
      <c r="E681" s="44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2"/>
      <c r="AZ681" s="2"/>
    </row>
    <row r="682" spans="3:52" x14ac:dyDescent="0.25">
      <c r="C682" s="1"/>
      <c r="D682" s="1"/>
      <c r="E682" s="44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2"/>
      <c r="AZ682" s="2"/>
    </row>
    <row r="683" spans="3:52" x14ac:dyDescent="0.25">
      <c r="C683" s="1"/>
      <c r="D683" s="1"/>
      <c r="E683" s="44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2"/>
      <c r="AZ683" s="2"/>
    </row>
    <row r="684" spans="3:52" x14ac:dyDescent="0.25">
      <c r="C684" s="1"/>
      <c r="D684" s="1"/>
      <c r="E684" s="44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2"/>
      <c r="AZ684" s="2"/>
    </row>
    <row r="685" spans="3:52" x14ac:dyDescent="0.25">
      <c r="C685" s="1"/>
      <c r="D685" s="1"/>
      <c r="E685" s="44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2"/>
      <c r="AZ685" s="2"/>
    </row>
    <row r="686" spans="3:52" x14ac:dyDescent="0.25">
      <c r="C686" s="1"/>
      <c r="D686" s="1"/>
      <c r="E686" s="44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2"/>
      <c r="AZ686" s="2"/>
    </row>
    <row r="687" spans="3:52" x14ac:dyDescent="0.25">
      <c r="C687" s="1"/>
      <c r="D687" s="1"/>
      <c r="E687" s="44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2"/>
      <c r="AZ687" s="2"/>
    </row>
    <row r="688" spans="3:52" x14ac:dyDescent="0.25">
      <c r="C688" s="1"/>
      <c r="D688" s="1"/>
      <c r="E688" s="44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2"/>
      <c r="AZ688" s="2"/>
    </row>
    <row r="689" spans="3:52" x14ac:dyDescent="0.25">
      <c r="C689" s="1"/>
      <c r="D689" s="1"/>
      <c r="E689" s="44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2"/>
      <c r="AZ689" s="2"/>
    </row>
    <row r="690" spans="3:52" x14ac:dyDescent="0.25">
      <c r="C690" s="1"/>
      <c r="D690" s="1"/>
      <c r="E690" s="44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2"/>
      <c r="AZ690" s="2"/>
    </row>
    <row r="691" spans="3:52" x14ac:dyDescent="0.25">
      <c r="C691" s="1"/>
      <c r="D691" s="1"/>
      <c r="E691" s="44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2"/>
      <c r="AZ691" s="2"/>
    </row>
    <row r="692" spans="3:52" x14ac:dyDescent="0.25">
      <c r="C692" s="1"/>
      <c r="D692" s="1"/>
      <c r="E692" s="44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2"/>
      <c r="AZ692" s="2"/>
    </row>
    <row r="693" spans="3:52" x14ac:dyDescent="0.25">
      <c r="C693" s="1"/>
      <c r="D693" s="1"/>
      <c r="E693" s="44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2"/>
      <c r="AZ693" s="2"/>
    </row>
    <row r="694" spans="3:52" x14ac:dyDescent="0.25">
      <c r="C694" s="1"/>
      <c r="D694" s="1"/>
      <c r="E694" s="44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2"/>
      <c r="AZ694" s="2"/>
    </row>
    <row r="695" spans="3:52" x14ac:dyDescent="0.25">
      <c r="C695" s="1"/>
      <c r="D695" s="1"/>
      <c r="E695" s="44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2"/>
      <c r="AZ695" s="2"/>
    </row>
    <row r="696" spans="3:52" x14ac:dyDescent="0.25">
      <c r="C696" s="1"/>
      <c r="D696" s="1"/>
      <c r="E696" s="44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2"/>
      <c r="AZ696" s="2"/>
    </row>
    <row r="697" spans="3:52" x14ac:dyDescent="0.25">
      <c r="C697" s="1"/>
      <c r="D697" s="1"/>
      <c r="E697" s="44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2"/>
      <c r="AZ697" s="2"/>
    </row>
    <row r="698" spans="3:52" x14ac:dyDescent="0.25">
      <c r="C698" s="1"/>
      <c r="D698" s="1"/>
      <c r="E698" s="44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2"/>
      <c r="AZ698" s="2"/>
    </row>
    <row r="699" spans="3:52" x14ac:dyDescent="0.25">
      <c r="C699" s="1"/>
      <c r="D699" s="1"/>
      <c r="E699" s="44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2"/>
      <c r="AZ699" s="2"/>
    </row>
    <row r="700" spans="3:52" x14ac:dyDescent="0.25">
      <c r="C700" s="1"/>
      <c r="D700" s="1"/>
      <c r="E700" s="44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2"/>
      <c r="AZ700" s="2"/>
    </row>
    <row r="701" spans="3:52" x14ac:dyDescent="0.25">
      <c r="C701" s="1"/>
      <c r="D701" s="1"/>
      <c r="E701" s="44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2"/>
      <c r="AZ701" s="2"/>
    </row>
    <row r="702" spans="3:52" x14ac:dyDescent="0.25">
      <c r="C702" s="1"/>
      <c r="D702" s="1"/>
      <c r="E702" s="44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2"/>
      <c r="AZ702" s="2"/>
    </row>
    <row r="703" spans="3:52" x14ac:dyDescent="0.25">
      <c r="C703" s="1"/>
      <c r="D703" s="1"/>
      <c r="E703" s="44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2"/>
      <c r="AZ703" s="2"/>
    </row>
    <row r="704" spans="3:52" x14ac:dyDescent="0.25">
      <c r="C704" s="1"/>
      <c r="D704" s="1"/>
      <c r="E704" s="44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2"/>
      <c r="AZ704" s="2"/>
    </row>
    <row r="705" spans="3:52" x14ac:dyDescent="0.25">
      <c r="C705" s="1"/>
      <c r="D705" s="1"/>
      <c r="E705" s="44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2"/>
      <c r="AZ705" s="2"/>
    </row>
    <row r="706" spans="3:52" x14ac:dyDescent="0.25">
      <c r="C706" s="1"/>
      <c r="D706" s="1"/>
      <c r="E706" s="44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2"/>
      <c r="AZ706" s="2"/>
    </row>
    <row r="707" spans="3:52" x14ac:dyDescent="0.25">
      <c r="C707" s="1"/>
      <c r="D707" s="1"/>
      <c r="E707" s="44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2"/>
      <c r="AZ707" s="2"/>
    </row>
    <row r="708" spans="3:52" x14ac:dyDescent="0.25">
      <c r="C708" s="1"/>
      <c r="D708" s="1"/>
      <c r="E708" s="44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2"/>
      <c r="AZ708" s="2"/>
    </row>
    <row r="709" spans="3:52" x14ac:dyDescent="0.25">
      <c r="C709" s="1"/>
      <c r="D709" s="1"/>
      <c r="E709" s="44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2"/>
      <c r="AZ709" s="2"/>
    </row>
    <row r="710" spans="3:52" x14ac:dyDescent="0.25">
      <c r="C710" s="1"/>
      <c r="D710" s="1"/>
      <c r="E710" s="44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2"/>
      <c r="AZ710" s="2"/>
    </row>
    <row r="711" spans="3:52" x14ac:dyDescent="0.25">
      <c r="C711" s="1"/>
      <c r="D711" s="1"/>
      <c r="E711" s="44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2"/>
      <c r="AZ711" s="2"/>
    </row>
    <row r="712" spans="3:52" x14ac:dyDescent="0.25">
      <c r="C712" s="1"/>
      <c r="D712" s="1"/>
      <c r="E712" s="44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2"/>
      <c r="AZ712" s="2"/>
    </row>
    <row r="713" spans="3:52" x14ac:dyDescent="0.25">
      <c r="C713" s="1"/>
      <c r="D713" s="1"/>
      <c r="E713" s="44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2"/>
      <c r="AZ713" s="2"/>
    </row>
    <row r="714" spans="3:52" x14ac:dyDescent="0.25">
      <c r="C714" s="1"/>
      <c r="D714" s="1"/>
      <c r="E714" s="44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2"/>
      <c r="AZ714" s="2"/>
    </row>
    <row r="715" spans="3:52" x14ac:dyDescent="0.25">
      <c r="C715" s="1"/>
      <c r="D715" s="1"/>
      <c r="E715" s="44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2"/>
      <c r="AZ715" s="2"/>
    </row>
    <row r="716" spans="3:52" x14ac:dyDescent="0.25">
      <c r="C716" s="1"/>
      <c r="D716" s="1"/>
      <c r="E716" s="44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2"/>
      <c r="AZ716" s="2"/>
    </row>
    <row r="717" spans="3:52" x14ac:dyDescent="0.25">
      <c r="C717" s="1"/>
      <c r="D717" s="1"/>
      <c r="E717" s="44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2"/>
      <c r="AZ717" s="2"/>
    </row>
    <row r="718" spans="3:52" x14ac:dyDescent="0.25">
      <c r="C718" s="1"/>
      <c r="D718" s="1"/>
      <c r="E718" s="44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2"/>
      <c r="AZ718" s="2"/>
    </row>
    <row r="719" spans="3:52" x14ac:dyDescent="0.25">
      <c r="C719" s="1"/>
      <c r="D719" s="1"/>
      <c r="E719" s="44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2"/>
      <c r="AZ719" s="2"/>
    </row>
    <row r="720" spans="3:52" x14ac:dyDescent="0.25">
      <c r="C720" s="1"/>
      <c r="D720" s="1"/>
      <c r="E720" s="44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2"/>
      <c r="AZ720" s="2"/>
    </row>
    <row r="721" spans="1:52" x14ac:dyDescent="0.25">
      <c r="C721" s="1"/>
      <c r="D721" s="1"/>
      <c r="E721" s="44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2"/>
      <c r="AZ721" s="2"/>
    </row>
    <row r="722" spans="1:52" x14ac:dyDescent="0.25">
      <c r="C722" s="1"/>
      <c r="D722" s="1"/>
      <c r="E722" s="44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2"/>
      <c r="AZ722" s="2"/>
    </row>
    <row r="723" spans="1:52" x14ac:dyDescent="0.25">
      <c r="C723" s="1"/>
      <c r="D723" s="1"/>
      <c r="E723" s="44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2"/>
      <c r="AZ723" s="2"/>
    </row>
    <row r="724" spans="1:52" x14ac:dyDescent="0.25">
      <c r="A724" s="4"/>
      <c r="B724" s="5"/>
      <c r="C724" s="4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2"/>
      <c r="AZ724" s="2"/>
    </row>
    <row r="725" spans="1:52" x14ac:dyDescent="0.25">
      <c r="C725" s="2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2"/>
      <c r="AZ725" s="2"/>
    </row>
    <row r="726" spans="1:52" x14ac:dyDescent="0.25">
      <c r="C726" s="2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2"/>
      <c r="AZ726" s="2"/>
    </row>
    <row r="727" spans="1:52" x14ac:dyDescent="0.25">
      <c r="C727" s="2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2"/>
      <c r="AZ727" s="2"/>
    </row>
    <row r="728" spans="1:52" x14ac:dyDescent="0.25">
      <c r="C728" s="2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2"/>
      <c r="AZ728" s="2"/>
    </row>
    <row r="729" spans="1:52" x14ac:dyDescent="0.25">
      <c r="C729" s="2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2"/>
      <c r="AZ729" s="2"/>
    </row>
    <row r="730" spans="1:52" x14ac:dyDescent="0.25">
      <c r="C730" s="2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2"/>
      <c r="AZ730" s="2"/>
    </row>
    <row r="731" spans="1:52" x14ac:dyDescent="0.25">
      <c r="C731" s="2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2"/>
      <c r="AZ731" s="2"/>
    </row>
    <row r="732" spans="1:52" x14ac:dyDescent="0.25">
      <c r="C732" s="2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2"/>
      <c r="AZ732" s="2"/>
    </row>
    <row r="733" spans="1:52" x14ac:dyDescent="0.25">
      <c r="C733" s="2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2"/>
      <c r="AZ733" s="2"/>
    </row>
    <row r="734" spans="1:52" x14ac:dyDescent="0.25">
      <c r="C734" s="2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2"/>
      <c r="AZ734" s="2"/>
    </row>
    <row r="735" spans="1:52" x14ac:dyDescent="0.25">
      <c r="C735" s="2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2"/>
      <c r="AZ735" s="2"/>
    </row>
    <row r="736" spans="1:52" x14ac:dyDescent="0.25">
      <c r="C736" s="2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2"/>
      <c r="AZ736" s="2"/>
    </row>
    <row r="737" spans="3:52" x14ac:dyDescent="0.25">
      <c r="C737" s="2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2"/>
      <c r="AZ737" s="2"/>
    </row>
    <row r="738" spans="3:52" x14ac:dyDescent="0.25">
      <c r="C738" s="2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2"/>
      <c r="AZ738" s="2"/>
    </row>
    <row r="739" spans="3:52" x14ac:dyDescent="0.25">
      <c r="C739" s="2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2"/>
      <c r="AZ739" s="2"/>
    </row>
    <row r="740" spans="3:52" x14ac:dyDescent="0.25">
      <c r="C740" s="2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2"/>
      <c r="AZ740" s="2"/>
    </row>
    <row r="741" spans="3:52" x14ac:dyDescent="0.25">
      <c r="C741" s="2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2"/>
      <c r="AZ741" s="2"/>
    </row>
    <row r="742" spans="3:52" x14ac:dyDescent="0.25">
      <c r="C742" s="2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2"/>
      <c r="AZ742" s="2"/>
    </row>
    <row r="743" spans="3:52" x14ac:dyDescent="0.25">
      <c r="C743" s="2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2"/>
      <c r="AZ743" s="2"/>
    </row>
    <row r="744" spans="3:52" x14ac:dyDescent="0.25">
      <c r="C744" s="2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2"/>
      <c r="AZ744" s="2"/>
    </row>
    <row r="745" spans="3:52" x14ac:dyDescent="0.25">
      <c r="C745" s="2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2"/>
      <c r="AZ745" s="2"/>
    </row>
    <row r="746" spans="3:52" x14ac:dyDescent="0.25">
      <c r="C746" s="2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2"/>
      <c r="AZ746" s="2"/>
    </row>
    <row r="747" spans="3:52" x14ac:dyDescent="0.25">
      <c r="C747" s="2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2"/>
      <c r="AZ747" s="2"/>
    </row>
    <row r="748" spans="3:52" x14ac:dyDescent="0.25">
      <c r="C748" s="4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1"/>
      <c r="AZ748" s="2"/>
    </row>
    <row r="749" spans="3:52" x14ac:dyDescent="0.25">
      <c r="C749" s="2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2"/>
    </row>
    <row r="750" spans="3:52" x14ac:dyDescent="0.25">
      <c r="C750" s="2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2"/>
    </row>
    <row r="751" spans="3:52" x14ac:dyDescent="0.25">
      <c r="C751" s="2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2"/>
    </row>
    <row r="752" spans="3:52" x14ac:dyDescent="0.25">
      <c r="C752" s="2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2"/>
    </row>
    <row r="753" spans="3:52" x14ac:dyDescent="0.25">
      <c r="C753" s="2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2"/>
    </row>
    <row r="754" spans="3:52" x14ac:dyDescent="0.25">
      <c r="C754" s="2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2"/>
    </row>
    <row r="755" spans="3:52" x14ac:dyDescent="0.25">
      <c r="C755" s="2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2"/>
    </row>
    <row r="756" spans="3:52" x14ac:dyDescent="0.25">
      <c r="C756" s="2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2"/>
    </row>
    <row r="757" spans="3:52" x14ac:dyDescent="0.25">
      <c r="C757" s="2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2"/>
    </row>
    <row r="758" spans="3:52" x14ac:dyDescent="0.25">
      <c r="C758" s="2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2"/>
    </row>
    <row r="759" spans="3:52" x14ac:dyDescent="0.25">
      <c r="C759" s="2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2"/>
    </row>
    <row r="760" spans="3:52" x14ac:dyDescent="0.25">
      <c r="C760" s="2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2"/>
    </row>
    <row r="761" spans="3:52" x14ac:dyDescent="0.25">
      <c r="C761" s="2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2"/>
    </row>
    <row r="762" spans="3:52" x14ac:dyDescent="0.25">
      <c r="C762" s="2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2"/>
    </row>
    <row r="763" spans="3:52" x14ac:dyDescent="0.25">
      <c r="C763" s="2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2"/>
    </row>
    <row r="764" spans="3:52" x14ac:dyDescent="0.25">
      <c r="C764" s="2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2"/>
    </row>
    <row r="765" spans="3:52" x14ac:dyDescent="0.25">
      <c r="C765" s="2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2"/>
    </row>
    <row r="766" spans="3:52" x14ac:dyDescent="0.25">
      <c r="C766" s="2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2"/>
    </row>
    <row r="767" spans="3:52" x14ac:dyDescent="0.25">
      <c r="C767" s="2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2"/>
    </row>
    <row r="768" spans="3:52" x14ac:dyDescent="0.25">
      <c r="C768" s="2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2"/>
    </row>
    <row r="769" spans="3:52" x14ac:dyDescent="0.25">
      <c r="C769" s="2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2"/>
    </row>
    <row r="770" spans="3:52" x14ac:dyDescent="0.25">
      <c r="C770" s="2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2"/>
    </row>
    <row r="771" spans="3:52" x14ac:dyDescent="0.25">
      <c r="C771" s="2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2"/>
    </row>
    <row r="772" spans="3:52" x14ac:dyDescent="0.25">
      <c r="C772" s="2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2"/>
    </row>
    <row r="773" spans="3:52" x14ac:dyDescent="0.25">
      <c r="C773" s="2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2"/>
    </row>
    <row r="774" spans="3:52" x14ac:dyDescent="0.25">
      <c r="C774" s="2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2"/>
    </row>
    <row r="775" spans="3:52" x14ac:dyDescent="0.25">
      <c r="C775" s="2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2"/>
    </row>
    <row r="776" spans="3:52" x14ac:dyDescent="0.25">
      <c r="C776" s="2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2"/>
    </row>
    <row r="777" spans="3:52" x14ac:dyDescent="0.25">
      <c r="C777" s="2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2"/>
    </row>
    <row r="778" spans="3:52" x14ac:dyDescent="0.25">
      <c r="C778" s="2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2"/>
    </row>
    <row r="779" spans="3:52" x14ac:dyDescent="0.25">
      <c r="C779" s="2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2"/>
    </row>
    <row r="780" spans="3:52" x14ac:dyDescent="0.25">
      <c r="C780" s="2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2"/>
    </row>
    <row r="781" spans="3:52" x14ac:dyDescent="0.25">
      <c r="C781" s="2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2"/>
    </row>
    <row r="782" spans="3:52" x14ac:dyDescent="0.25">
      <c r="C782" s="2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2"/>
    </row>
    <row r="783" spans="3:52" x14ac:dyDescent="0.25">
      <c r="C783" s="2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2"/>
    </row>
    <row r="784" spans="3:52" x14ac:dyDescent="0.25">
      <c r="C784" s="2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2"/>
    </row>
    <row r="785" spans="3:52" x14ac:dyDescent="0.25">
      <c r="C785" s="2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2"/>
    </row>
    <row r="786" spans="3:52" x14ac:dyDescent="0.25">
      <c r="C786" s="2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2"/>
    </row>
    <row r="787" spans="3:52" x14ac:dyDescent="0.25">
      <c r="C787" s="2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2"/>
    </row>
    <row r="788" spans="3:52" x14ac:dyDescent="0.25">
      <c r="C788" s="2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2"/>
    </row>
    <row r="789" spans="3:52" x14ac:dyDescent="0.25">
      <c r="C789" s="2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2"/>
    </row>
    <row r="790" spans="3:52" x14ac:dyDescent="0.25">
      <c r="C790" s="2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2"/>
    </row>
    <row r="791" spans="3:52" x14ac:dyDescent="0.25">
      <c r="C791" s="2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2"/>
    </row>
    <row r="792" spans="3:52" x14ac:dyDescent="0.25">
      <c r="C792" s="2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2"/>
    </row>
    <row r="793" spans="3:52" x14ac:dyDescent="0.25">
      <c r="C793" s="2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2"/>
    </row>
    <row r="794" spans="3:52" x14ac:dyDescent="0.25">
      <c r="C794" s="2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2"/>
    </row>
    <row r="795" spans="3:52" x14ac:dyDescent="0.25">
      <c r="C795" s="2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2"/>
    </row>
    <row r="796" spans="3:52" x14ac:dyDescent="0.25">
      <c r="C796" s="2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2"/>
    </row>
    <row r="797" spans="3:52" x14ac:dyDescent="0.25">
      <c r="C797" s="2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2"/>
    </row>
    <row r="798" spans="3:52" x14ac:dyDescent="0.25">
      <c r="C798" s="2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2"/>
    </row>
    <row r="799" spans="3:52" x14ac:dyDescent="0.25">
      <c r="C799" s="2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2"/>
    </row>
    <row r="800" spans="3:52" x14ac:dyDescent="0.25">
      <c r="C800" s="2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2"/>
    </row>
    <row r="801" spans="3:52" x14ac:dyDescent="0.25">
      <c r="C801" s="2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2"/>
    </row>
    <row r="802" spans="3:52" x14ac:dyDescent="0.25">
      <c r="C802" s="2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2"/>
    </row>
    <row r="803" spans="3:52" x14ac:dyDescent="0.25">
      <c r="C803" s="2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2"/>
    </row>
    <row r="804" spans="3:52" x14ac:dyDescent="0.25">
      <c r="C804" s="2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2"/>
    </row>
    <row r="805" spans="3:52" x14ac:dyDescent="0.25">
      <c r="C805" s="2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2"/>
    </row>
    <row r="806" spans="3:52" x14ac:dyDescent="0.25">
      <c r="C806" s="2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2"/>
    </row>
    <row r="807" spans="3:52" x14ac:dyDescent="0.25">
      <c r="C807" s="2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2"/>
    </row>
    <row r="808" spans="3:52" x14ac:dyDescent="0.25">
      <c r="C808" s="2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2"/>
    </row>
    <row r="809" spans="3:52" x14ac:dyDescent="0.25">
      <c r="C809" s="2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2"/>
    </row>
    <row r="810" spans="3:52" x14ac:dyDescent="0.25">
      <c r="C810" s="2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2"/>
    </row>
    <row r="811" spans="3:52" x14ac:dyDescent="0.25">
      <c r="C811" s="2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2"/>
    </row>
    <row r="812" spans="3:52" x14ac:dyDescent="0.25">
      <c r="C812" s="2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2"/>
    </row>
    <row r="813" spans="3:52" x14ac:dyDescent="0.25">
      <c r="C813" s="2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2"/>
    </row>
    <row r="814" spans="3:52" x14ac:dyDescent="0.25">
      <c r="C814" s="2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2"/>
    </row>
    <row r="815" spans="3:52" x14ac:dyDescent="0.25">
      <c r="C815" s="2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2"/>
    </row>
    <row r="816" spans="3:52" x14ac:dyDescent="0.25">
      <c r="C816" s="2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2"/>
    </row>
    <row r="817" spans="3:52" x14ac:dyDescent="0.25">
      <c r="C817" s="2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2"/>
    </row>
    <row r="818" spans="3:52" x14ac:dyDescent="0.25">
      <c r="C818" s="2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2"/>
    </row>
    <row r="819" spans="3:52" x14ac:dyDescent="0.25">
      <c r="C819" s="2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2"/>
    </row>
    <row r="820" spans="3:52" x14ac:dyDescent="0.25">
      <c r="C820" s="2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2"/>
    </row>
    <row r="821" spans="3:52" x14ac:dyDescent="0.25">
      <c r="C821" s="2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2"/>
    </row>
    <row r="822" spans="3:52" x14ac:dyDescent="0.25">
      <c r="C822" s="2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2"/>
    </row>
    <row r="823" spans="3:52" x14ac:dyDescent="0.25">
      <c r="C823" s="2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2"/>
    </row>
    <row r="824" spans="3:52" x14ac:dyDescent="0.25">
      <c r="C824" s="2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2"/>
    </row>
    <row r="825" spans="3:52" x14ac:dyDescent="0.25">
      <c r="C825" s="2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2"/>
    </row>
    <row r="826" spans="3:52" x14ac:dyDescent="0.25">
      <c r="C826" s="2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2"/>
    </row>
    <row r="827" spans="3:52" x14ac:dyDescent="0.25">
      <c r="C827" s="2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2"/>
    </row>
    <row r="828" spans="3:52" x14ac:dyDescent="0.25">
      <c r="C828" s="2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2"/>
    </row>
    <row r="829" spans="3:52" x14ac:dyDescent="0.25">
      <c r="C829" s="2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2"/>
    </row>
    <row r="830" spans="3:52" x14ac:dyDescent="0.25">
      <c r="C830" s="2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2"/>
    </row>
    <row r="831" spans="3:52" x14ac:dyDescent="0.25">
      <c r="C831" s="2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2"/>
    </row>
    <row r="832" spans="3:52" x14ac:dyDescent="0.25">
      <c r="C832" s="2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2"/>
    </row>
    <row r="833" spans="3:52" x14ac:dyDescent="0.25">
      <c r="C833" s="2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2"/>
    </row>
    <row r="834" spans="3:52" x14ac:dyDescent="0.25">
      <c r="C834" s="2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2"/>
    </row>
    <row r="835" spans="3:52" x14ac:dyDescent="0.25">
      <c r="C835" s="2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2"/>
    </row>
    <row r="836" spans="3:52" x14ac:dyDescent="0.25">
      <c r="C836" s="2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2"/>
    </row>
    <row r="837" spans="3:52" x14ac:dyDescent="0.25">
      <c r="C837" s="2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2"/>
    </row>
    <row r="838" spans="3:52" x14ac:dyDescent="0.25">
      <c r="C838" s="2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2"/>
    </row>
    <row r="839" spans="3:52" x14ac:dyDescent="0.25">
      <c r="C839" s="2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2"/>
    </row>
    <row r="840" spans="3:52" x14ac:dyDescent="0.25">
      <c r="C840" s="2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2"/>
    </row>
    <row r="841" spans="3:52" x14ac:dyDescent="0.25">
      <c r="C841" s="2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2"/>
    </row>
    <row r="842" spans="3:52" x14ac:dyDescent="0.25">
      <c r="C842" s="2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2"/>
    </row>
    <row r="843" spans="3:52" x14ac:dyDescent="0.25">
      <c r="C843" s="2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2"/>
    </row>
    <row r="844" spans="3:52" x14ac:dyDescent="0.25">
      <c r="C844" s="2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2"/>
    </row>
    <row r="845" spans="3:52" x14ac:dyDescent="0.25">
      <c r="C845" s="2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2"/>
    </row>
    <row r="846" spans="3:52" x14ac:dyDescent="0.25">
      <c r="C846" s="2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2"/>
    </row>
    <row r="847" spans="3:52" x14ac:dyDescent="0.25">
      <c r="C847" s="2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2"/>
    </row>
    <row r="848" spans="3:52" x14ac:dyDescent="0.25">
      <c r="C848" s="2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2"/>
    </row>
    <row r="849" spans="3:52" x14ac:dyDescent="0.25">
      <c r="C849" s="2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2"/>
    </row>
    <row r="850" spans="3:52" x14ac:dyDescent="0.25">
      <c r="C850" s="2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2"/>
    </row>
    <row r="851" spans="3:52" x14ac:dyDescent="0.25">
      <c r="C851" s="2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2"/>
    </row>
    <row r="852" spans="3:52" x14ac:dyDescent="0.25">
      <c r="C852" s="2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2"/>
    </row>
    <row r="853" spans="3:52" x14ac:dyDescent="0.25">
      <c r="C853" s="2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2"/>
    </row>
    <row r="854" spans="3:52" x14ac:dyDescent="0.25">
      <c r="C854" s="2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2"/>
    </row>
    <row r="855" spans="3:52" x14ac:dyDescent="0.25">
      <c r="C855" s="2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2"/>
    </row>
    <row r="856" spans="3:52" x14ac:dyDescent="0.25">
      <c r="C856" s="2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2"/>
    </row>
    <row r="857" spans="3:52" x14ac:dyDescent="0.25">
      <c r="C857" s="2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2"/>
    </row>
    <row r="858" spans="3:52" x14ac:dyDescent="0.25">
      <c r="C858" s="2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2"/>
    </row>
    <row r="859" spans="3:52" x14ac:dyDescent="0.25">
      <c r="C859" s="2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2"/>
    </row>
    <row r="860" spans="3:52" x14ac:dyDescent="0.25">
      <c r="C860" s="2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2"/>
    </row>
    <row r="861" spans="3:52" x14ac:dyDescent="0.25">
      <c r="C861" s="2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2"/>
    </row>
    <row r="862" spans="3:52" x14ac:dyDescent="0.25">
      <c r="C862" s="2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2"/>
    </row>
    <row r="863" spans="3:52" x14ac:dyDescent="0.25">
      <c r="C863" s="2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2"/>
    </row>
    <row r="864" spans="3:52" x14ac:dyDescent="0.25">
      <c r="C864" s="2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2"/>
    </row>
    <row r="865" spans="3:52" x14ac:dyDescent="0.25">
      <c r="C865" s="2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2"/>
    </row>
    <row r="866" spans="3:52" x14ac:dyDescent="0.25">
      <c r="C866" s="2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2"/>
    </row>
    <row r="867" spans="3:52" x14ac:dyDescent="0.25">
      <c r="C867" s="2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2"/>
    </row>
    <row r="868" spans="3:52" x14ac:dyDescent="0.25">
      <c r="C868" s="2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2"/>
    </row>
    <row r="869" spans="3:52" x14ac:dyDescent="0.25">
      <c r="C869" s="2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2"/>
    </row>
    <row r="870" spans="3:52" x14ac:dyDescent="0.25">
      <c r="C870" s="2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2"/>
    </row>
    <row r="871" spans="3:52" x14ac:dyDescent="0.25">
      <c r="C871" s="2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2"/>
    </row>
    <row r="872" spans="3:52" x14ac:dyDescent="0.25">
      <c r="C872" s="2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2"/>
    </row>
    <row r="873" spans="3:52" x14ac:dyDescent="0.25">
      <c r="C873" s="2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2"/>
    </row>
    <row r="874" spans="3:52" x14ac:dyDescent="0.25">
      <c r="C874" s="2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2"/>
    </row>
    <row r="875" spans="3:52" x14ac:dyDescent="0.25">
      <c r="C875" s="2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2"/>
    </row>
    <row r="876" spans="3:52" x14ac:dyDescent="0.25">
      <c r="C876" s="2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2"/>
    </row>
    <row r="877" spans="3:52" x14ac:dyDescent="0.25">
      <c r="C877" s="2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2"/>
    </row>
    <row r="878" spans="3:52" x14ac:dyDescent="0.25">
      <c r="C878" s="2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2"/>
    </row>
    <row r="879" spans="3:52" x14ac:dyDescent="0.25">
      <c r="C879" s="2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2"/>
    </row>
    <row r="880" spans="3:52" x14ac:dyDescent="0.25">
      <c r="C880" s="2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2"/>
    </row>
    <row r="881" spans="3:52" x14ac:dyDescent="0.25">
      <c r="C881" s="2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2"/>
    </row>
    <row r="882" spans="3:52" x14ac:dyDescent="0.25">
      <c r="C882" s="2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2"/>
    </row>
    <row r="883" spans="3:52" x14ac:dyDescent="0.25">
      <c r="C883" s="2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2"/>
    </row>
    <row r="884" spans="3:52" x14ac:dyDescent="0.25">
      <c r="C884" s="2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2"/>
    </row>
    <row r="885" spans="3:52" x14ac:dyDescent="0.25">
      <c r="C885" s="2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2"/>
    </row>
    <row r="886" spans="3:52" x14ac:dyDescent="0.25">
      <c r="C886" s="2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2"/>
    </row>
    <row r="887" spans="3:52" x14ac:dyDescent="0.25">
      <c r="C887" s="2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2"/>
    </row>
    <row r="888" spans="3:52" x14ac:dyDescent="0.25">
      <c r="C888" s="2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2"/>
    </row>
    <row r="889" spans="3:52" x14ac:dyDescent="0.25">
      <c r="C889" s="2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2"/>
    </row>
    <row r="890" spans="3:52" x14ac:dyDescent="0.25">
      <c r="C890" s="2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2"/>
    </row>
    <row r="891" spans="3:52" x14ac:dyDescent="0.25">
      <c r="C891" s="2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2"/>
    </row>
    <row r="892" spans="3:52" x14ac:dyDescent="0.25">
      <c r="C892" s="2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2"/>
    </row>
    <row r="893" spans="3:52" x14ac:dyDescent="0.25">
      <c r="C893" s="2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2"/>
    </row>
    <row r="894" spans="3:52" x14ac:dyDescent="0.25">
      <c r="C894" s="2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2"/>
    </row>
    <row r="895" spans="3:52" x14ac:dyDescent="0.25">
      <c r="C895" s="2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2"/>
    </row>
    <row r="896" spans="3:52" x14ac:dyDescent="0.25">
      <c r="C896" s="2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2"/>
    </row>
    <row r="897" spans="3:52" x14ac:dyDescent="0.25">
      <c r="C897" s="2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2"/>
    </row>
    <row r="898" spans="3:52" x14ac:dyDescent="0.25">
      <c r="C898" s="2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2"/>
    </row>
    <row r="899" spans="3:52" x14ac:dyDescent="0.25">
      <c r="C899" s="2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2"/>
    </row>
    <row r="900" spans="3:52" x14ac:dyDescent="0.25">
      <c r="C900" s="2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2"/>
    </row>
    <row r="901" spans="3:52" x14ac:dyDescent="0.25">
      <c r="C901" s="2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2"/>
    </row>
    <row r="902" spans="3:52" x14ac:dyDescent="0.25">
      <c r="C902" s="2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2"/>
    </row>
    <row r="903" spans="3:52" x14ac:dyDescent="0.25">
      <c r="C903" s="2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2"/>
    </row>
    <row r="904" spans="3:52" x14ac:dyDescent="0.25">
      <c r="C904" s="2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2"/>
    </row>
    <row r="905" spans="3:52" x14ac:dyDescent="0.25">
      <c r="C905" s="2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2"/>
    </row>
    <row r="906" spans="3:52" x14ac:dyDescent="0.25">
      <c r="C906" s="2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2"/>
    </row>
    <row r="907" spans="3:52" x14ac:dyDescent="0.25">
      <c r="C907" s="2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2"/>
    </row>
    <row r="908" spans="3:52" x14ac:dyDescent="0.25">
      <c r="C908" s="2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2"/>
    </row>
    <row r="909" spans="3:52" x14ac:dyDescent="0.25">
      <c r="C909" s="2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2"/>
    </row>
    <row r="910" spans="3:52" x14ac:dyDescent="0.25">
      <c r="C910" s="2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2"/>
    </row>
    <row r="911" spans="3:52" x14ac:dyDescent="0.25">
      <c r="C911" s="2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2"/>
    </row>
    <row r="912" spans="3:52" x14ac:dyDescent="0.25">
      <c r="C912" s="2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2"/>
    </row>
    <row r="913" spans="3:52" x14ac:dyDescent="0.25">
      <c r="C913" s="2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2"/>
    </row>
    <row r="914" spans="3:52" x14ac:dyDescent="0.25">
      <c r="C914" s="2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2"/>
    </row>
    <row r="915" spans="3:52" x14ac:dyDescent="0.25">
      <c r="C915" s="2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2"/>
    </row>
    <row r="916" spans="3:52" x14ac:dyDescent="0.25">
      <c r="C916" s="2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2"/>
    </row>
    <row r="917" spans="3:52" x14ac:dyDescent="0.25">
      <c r="C917" s="2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2"/>
    </row>
    <row r="918" spans="3:52" x14ac:dyDescent="0.25">
      <c r="C918" s="2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2"/>
    </row>
    <row r="919" spans="3:52" x14ac:dyDescent="0.25">
      <c r="C919" s="2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2"/>
    </row>
    <row r="920" spans="3:52" x14ac:dyDescent="0.25">
      <c r="C920" s="2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2"/>
    </row>
    <row r="921" spans="3:52" x14ac:dyDescent="0.25">
      <c r="C921" s="2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2"/>
    </row>
    <row r="922" spans="3:52" x14ac:dyDescent="0.25">
      <c r="C922" s="2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2"/>
    </row>
    <row r="923" spans="3:52" x14ac:dyDescent="0.25">
      <c r="C923" s="2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2"/>
    </row>
    <row r="924" spans="3:52" x14ac:dyDescent="0.25">
      <c r="C924" s="2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2"/>
    </row>
    <row r="925" spans="3:52" x14ac:dyDescent="0.25">
      <c r="C925" s="2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2"/>
    </row>
    <row r="926" spans="3:52" x14ac:dyDescent="0.25">
      <c r="C926" s="2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2"/>
    </row>
    <row r="927" spans="3:52" x14ac:dyDescent="0.25">
      <c r="C927" s="2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2"/>
    </row>
    <row r="928" spans="3:52" x14ac:dyDescent="0.25">
      <c r="C928" s="2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2"/>
    </row>
    <row r="929" spans="3:52" x14ac:dyDescent="0.25">
      <c r="C929" s="2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2"/>
    </row>
    <row r="930" spans="3:52" x14ac:dyDescent="0.25">
      <c r="C930" s="2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2"/>
    </row>
    <row r="931" spans="3:52" x14ac:dyDescent="0.25">
      <c r="C931" s="2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2"/>
    </row>
    <row r="932" spans="3:52" x14ac:dyDescent="0.25">
      <c r="C932" s="2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2"/>
    </row>
    <row r="933" spans="3:52" x14ac:dyDescent="0.25">
      <c r="C933" s="2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2"/>
    </row>
    <row r="934" spans="3:52" x14ac:dyDescent="0.25">
      <c r="C934" s="2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2"/>
    </row>
    <row r="935" spans="3:52" x14ac:dyDescent="0.25">
      <c r="C935" s="2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2"/>
    </row>
    <row r="936" spans="3:52" x14ac:dyDescent="0.25">
      <c r="C936" s="2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2"/>
    </row>
    <row r="937" spans="3:52" x14ac:dyDescent="0.25">
      <c r="C937" s="2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2"/>
    </row>
    <row r="938" spans="3:52" x14ac:dyDescent="0.25">
      <c r="C938" s="2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2"/>
    </row>
    <row r="939" spans="3:52" x14ac:dyDescent="0.25">
      <c r="C939" s="2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2"/>
    </row>
    <row r="940" spans="3:52" x14ac:dyDescent="0.25">
      <c r="C940" s="2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2"/>
    </row>
    <row r="941" spans="3:52" x14ac:dyDescent="0.25">
      <c r="C941" s="2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2"/>
    </row>
    <row r="942" spans="3:52" x14ac:dyDescent="0.25">
      <c r="C942" s="2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2"/>
    </row>
    <row r="943" spans="3:52" x14ac:dyDescent="0.25">
      <c r="C943" s="2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2"/>
    </row>
    <row r="944" spans="3:52" x14ac:dyDescent="0.25">
      <c r="C944" s="2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2"/>
    </row>
    <row r="945" spans="3:52" x14ac:dyDescent="0.25">
      <c r="C945" s="2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2"/>
    </row>
    <row r="946" spans="3:52" x14ac:dyDescent="0.25">
      <c r="C946" s="2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2"/>
    </row>
    <row r="947" spans="3:52" x14ac:dyDescent="0.25">
      <c r="C947" s="2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2"/>
    </row>
    <row r="948" spans="3:52" x14ac:dyDescent="0.25">
      <c r="C948" s="2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2"/>
    </row>
    <row r="949" spans="3:52" x14ac:dyDescent="0.25">
      <c r="C949" s="2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2"/>
    </row>
    <row r="950" spans="3:52" x14ac:dyDescent="0.25">
      <c r="C950" s="2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2"/>
    </row>
    <row r="951" spans="3:52" x14ac:dyDescent="0.25">
      <c r="C951" s="2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2"/>
    </row>
    <row r="952" spans="3:52" x14ac:dyDescent="0.25">
      <c r="C952" s="2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2"/>
    </row>
    <row r="953" spans="3:52" x14ac:dyDescent="0.25">
      <c r="C953" s="2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2"/>
    </row>
    <row r="954" spans="3:52" x14ac:dyDescent="0.25">
      <c r="C954" s="2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2"/>
    </row>
    <row r="955" spans="3:52" x14ac:dyDescent="0.25">
      <c r="C955" s="2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2"/>
    </row>
    <row r="956" spans="3:52" x14ac:dyDescent="0.25">
      <c r="C956" s="2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2"/>
    </row>
    <row r="957" spans="3:52" x14ac:dyDescent="0.25">
      <c r="C957" s="2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2"/>
    </row>
    <row r="958" spans="3:52" x14ac:dyDescent="0.25">
      <c r="C958" s="2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2"/>
    </row>
    <row r="959" spans="3:52" x14ac:dyDescent="0.25">
      <c r="C959" s="2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2"/>
    </row>
    <row r="960" spans="3:52" x14ac:dyDescent="0.25">
      <c r="C960" s="2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2"/>
    </row>
    <row r="961" spans="3:52" x14ac:dyDescent="0.25">
      <c r="C961" s="2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2"/>
    </row>
    <row r="962" spans="3:52" x14ac:dyDescent="0.25">
      <c r="C962" s="2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2"/>
    </row>
    <row r="963" spans="3:52" x14ac:dyDescent="0.25">
      <c r="C963" s="2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2"/>
    </row>
    <row r="964" spans="3:52" x14ac:dyDescent="0.25">
      <c r="C964" s="2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2"/>
    </row>
    <row r="965" spans="3:52" x14ac:dyDescent="0.25">
      <c r="C965" s="2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2"/>
    </row>
    <row r="966" spans="3:52" x14ac:dyDescent="0.25">
      <c r="C966" s="2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2"/>
    </row>
    <row r="967" spans="3:52" x14ac:dyDescent="0.25">
      <c r="C967" s="2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2"/>
    </row>
    <row r="968" spans="3:52" x14ac:dyDescent="0.25">
      <c r="C968" s="2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2"/>
    </row>
    <row r="969" spans="3:52" x14ac:dyDescent="0.25">
      <c r="C969" s="2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2"/>
    </row>
    <row r="970" spans="3:52" x14ac:dyDescent="0.25">
      <c r="C970" s="2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2"/>
    </row>
    <row r="971" spans="3:52" x14ac:dyDescent="0.25">
      <c r="C971" s="2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2"/>
    </row>
    <row r="972" spans="3:52" x14ac:dyDescent="0.25">
      <c r="C972" s="2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2"/>
    </row>
    <row r="973" spans="3:52" x14ac:dyDescent="0.25">
      <c r="C973" s="2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2"/>
    </row>
    <row r="974" spans="3:52" x14ac:dyDescent="0.25">
      <c r="C974" s="2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2"/>
    </row>
    <row r="975" spans="3:52" x14ac:dyDescent="0.25">
      <c r="C975" s="2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2"/>
    </row>
    <row r="976" spans="3:52" x14ac:dyDescent="0.25">
      <c r="C976" s="2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2"/>
    </row>
    <row r="977" spans="3:52" x14ac:dyDescent="0.25">
      <c r="C977" s="2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2"/>
    </row>
    <row r="978" spans="3:52" x14ac:dyDescent="0.25">
      <c r="C978" s="2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2"/>
    </row>
    <row r="979" spans="3:52" x14ac:dyDescent="0.25">
      <c r="C979" s="2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2"/>
    </row>
    <row r="980" spans="3:52" x14ac:dyDescent="0.25">
      <c r="C980" s="2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2"/>
    </row>
    <row r="981" spans="3:52" x14ac:dyDescent="0.25">
      <c r="C981" s="2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2"/>
    </row>
    <row r="982" spans="3:52" x14ac:dyDescent="0.25">
      <c r="C982" s="2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2"/>
    </row>
    <row r="983" spans="3:52" x14ac:dyDescent="0.25">
      <c r="C983" s="2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2"/>
    </row>
    <row r="984" spans="3:52" x14ac:dyDescent="0.25">
      <c r="C984" s="2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2"/>
    </row>
    <row r="985" spans="3:52" x14ac:dyDescent="0.25">
      <c r="C985" s="2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2"/>
    </row>
    <row r="986" spans="3:52" x14ac:dyDescent="0.25">
      <c r="C986" s="2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2"/>
    </row>
    <row r="987" spans="3:52" x14ac:dyDescent="0.25">
      <c r="C987" s="2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2"/>
    </row>
    <row r="988" spans="3:52" x14ac:dyDescent="0.25">
      <c r="C988" s="2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2"/>
    </row>
    <row r="989" spans="3:52" x14ac:dyDescent="0.25">
      <c r="C989" s="2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2"/>
    </row>
    <row r="990" spans="3:52" x14ac:dyDescent="0.25">
      <c r="C990" s="2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2"/>
    </row>
    <row r="991" spans="3:52" x14ac:dyDescent="0.25">
      <c r="C991" s="2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2"/>
    </row>
    <row r="992" spans="3:52" x14ac:dyDescent="0.25">
      <c r="C992" s="2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2"/>
    </row>
    <row r="993" spans="3:52" x14ac:dyDescent="0.25">
      <c r="C993" s="2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2"/>
    </row>
    <row r="994" spans="3:52" x14ac:dyDescent="0.25">
      <c r="C994" s="2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2"/>
    </row>
    <row r="995" spans="3:52" x14ac:dyDescent="0.25">
      <c r="C995" s="2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2"/>
    </row>
    <row r="996" spans="3:52" x14ac:dyDescent="0.25">
      <c r="C996" s="2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2"/>
    </row>
    <row r="997" spans="3:52" x14ac:dyDescent="0.25">
      <c r="C997" s="2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2"/>
    </row>
    <row r="998" spans="3:52" x14ac:dyDescent="0.25">
      <c r="C998" s="2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2"/>
    </row>
    <row r="999" spans="3:52" x14ac:dyDescent="0.25">
      <c r="C999" s="2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2"/>
    </row>
    <row r="1000" spans="3:52" x14ac:dyDescent="0.25">
      <c r="C1000" s="2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2"/>
    </row>
  </sheetData>
  <sortState xmlns:xlrd2="http://schemas.microsoft.com/office/spreadsheetml/2017/richdata2" ref="A2:AX96">
    <sortCondition ref="B2:B96"/>
  </sortState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Limit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Amr.Saad-Aly@vodafone.com.eg</dc:creator>
  <cp:lastModifiedBy>Ahmed Mahdly, Vodafone</cp:lastModifiedBy>
  <cp:lastPrinted>2021-06-19T21:49:15Z</cp:lastPrinted>
  <dcterms:created xsi:type="dcterms:W3CDTF">2021-06-19T18:16:13Z</dcterms:created>
  <dcterms:modified xsi:type="dcterms:W3CDTF">2025-08-06T13:02:43Z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2023-11-22T14:09:57Z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8457f082-436f-4b23-ac47-4cf202886b62</vt:lpwstr>
  </property>
  <property fmtid="{D5CDD505-2E9C-101B-9397-08002B2CF9AE}" pid="8" name="MSIP_Label_7f373536-36c5-4fd9-8140-7ddebb8b4638_ContentBits">
    <vt:lpwstr>2</vt:lpwstr>
  </property>
</Properties>
</file>