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25ARizk\Downloads\"/>
    </mc:Choice>
  </mc:AlternateContent>
  <xr:revisionPtr revIDLastSave="0" documentId="13_ncr:1_{58B69345-A183-49D0-9DD7-070880A767C1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Limit" sheetId="1" r:id="rId1"/>
    <sheet name="Data" sheetId="3" r:id="rId2"/>
  </sheets>
  <definedNames>
    <definedName name="_xlnm._FilterDatabase" localSheetId="1" hidden="1">Data!$A$1:$AX$158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4" i="1" l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G38" i="1"/>
  <c r="G37" i="1"/>
  <c r="G36" i="1"/>
  <c r="G35" i="1"/>
  <c r="G27" i="1"/>
  <c r="G28" i="1"/>
  <c r="G29" i="1"/>
  <c r="G30" i="1"/>
  <c r="G31" i="1"/>
  <c r="G32" i="1"/>
  <c r="G33" i="1"/>
  <c r="G34" i="1"/>
  <c r="G26" i="1"/>
  <c r="G25" i="1"/>
  <c r="G24" i="1"/>
  <c r="L16" i="1"/>
  <c r="L12" i="1"/>
  <c r="L17" i="1" l="1"/>
  <c r="L14" i="1"/>
  <c r="L13" i="1"/>
  <c r="L15" i="1"/>
  <c r="K5" i="1"/>
  <c r="L5" i="1" s="1"/>
  <c r="L23" i="1"/>
  <c r="L20" i="1"/>
  <c r="L18" i="1"/>
  <c r="L21" i="1"/>
  <c r="L19" i="1"/>
  <c r="L22" i="1"/>
  <c r="K4" i="1"/>
  <c r="L4" i="1" s="1"/>
  <c r="G23" i="1" l="1"/>
  <c r="G20" i="1"/>
  <c r="G19" i="1"/>
  <c r="G18" i="1"/>
  <c r="G22" i="1" s="1"/>
  <c r="G17" i="1"/>
  <c r="G16" i="1"/>
  <c r="G15" i="1"/>
  <c r="G14" i="1"/>
  <c r="G13" i="1"/>
  <c r="G12" i="1"/>
  <c r="G11" i="1"/>
  <c r="G10" i="1"/>
  <c r="F4" i="1" l="1"/>
  <c r="G4" i="1" s="1"/>
  <c r="F5" i="1"/>
  <c r="G5" i="1" s="1"/>
  <c r="F3" i="1"/>
  <c r="G3" i="1" s="1"/>
  <c r="G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Ahmed Reda</author>
    <author>AbdElSatar Mohamed-Rashed, Vodafone</author>
    <author>Amr Saad-Aly, Vodafone</author>
  </authors>
  <commentList>
    <comment ref="K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Insert Date Here</t>
        </r>
      </text>
    </comment>
    <comment ref="L1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Withdrawal less than 297 L.E</t>
        </r>
      </text>
    </comment>
    <comment ref="F2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VCN Clearance</t>
        </r>
      </text>
    </comment>
    <comment ref="F2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VCN Clearance</t>
        </r>
      </text>
    </comment>
    <comment ref="F24" authorId="2" shapeId="0" xr:uid="{6AF57DF8-E69F-4539-A2EA-D5101928DE21}">
      <text>
        <r>
          <rPr>
            <b/>
            <sz val="9"/>
            <color indexed="81"/>
            <rFont val="Tahoma"/>
            <family val="2"/>
          </rPr>
          <t>Deposit ACH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4" authorId="2" shapeId="0" xr:uid="{6A77DEBB-284E-4019-ABA1-584D746E40BD}">
      <text>
        <r>
          <rPr>
            <b/>
            <sz val="9"/>
            <color indexed="81"/>
            <rFont val="Tahoma"/>
            <family val="2"/>
          </rPr>
          <t>Deposit ACH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<sst xmlns="http://schemas.openxmlformats.org/spreadsheetml/2006/main" count="78" uniqueCount="48">
  <si>
    <t>Successful</t>
  </si>
  <si>
    <t>Mobile cash in</t>
  </si>
  <si>
    <t>Mobile ATM Cash Out</t>
  </si>
  <si>
    <t>Mobile send</t>
  </si>
  <si>
    <t>Mobile receive</t>
  </si>
  <si>
    <t>CST Consuming</t>
  </si>
  <si>
    <t>Status</t>
  </si>
  <si>
    <t>Reversed</t>
  </si>
  <si>
    <t>Mobile Purchase</t>
  </si>
  <si>
    <t>All TRX</t>
  </si>
  <si>
    <t>Mobile cash out</t>
  </si>
  <si>
    <t>Mob. ATMCashIn Deposit</t>
  </si>
  <si>
    <t>voucher purchase</t>
  </si>
  <si>
    <t>F</t>
  </si>
  <si>
    <t>T</t>
  </si>
  <si>
    <t>Mobile Cash Out Fees</t>
  </si>
  <si>
    <t>In</t>
  </si>
  <si>
    <t>Out</t>
  </si>
  <si>
    <t>VCN purchase</t>
  </si>
  <si>
    <t>Min Clearance</t>
  </si>
  <si>
    <t>Max Clearance</t>
  </si>
  <si>
    <t>Receive</t>
  </si>
  <si>
    <t>Cash In</t>
  </si>
  <si>
    <t>Cash Out &amp; Send</t>
  </si>
  <si>
    <t>p2m send</t>
  </si>
  <si>
    <t>Daily Consuming</t>
  </si>
  <si>
    <t>Daily Limit Details</t>
  </si>
  <si>
    <t>Monthly Limit Details</t>
  </si>
  <si>
    <t xml:space="preserve">Withdrawl </t>
  </si>
  <si>
    <t>P2m Send On us</t>
  </si>
  <si>
    <t>P2m Send Off us</t>
  </si>
  <si>
    <t>P2m Receive On us</t>
  </si>
  <si>
    <t>P2m Receive Off us</t>
  </si>
  <si>
    <t>mobile Send Off-Us</t>
  </si>
  <si>
    <t>Mobile Recieve Off-Us</t>
  </si>
  <si>
    <t>Mobile Cash Out Off-Us</t>
  </si>
  <si>
    <t>Mobile Cash In Off-Us</t>
  </si>
  <si>
    <t>Mobile ATM Cash Out Off us</t>
  </si>
  <si>
    <t>Mobile ATM Cash In Deposit Off us</t>
  </si>
  <si>
    <t xml:space="preserve">IPN Send </t>
  </si>
  <si>
    <t>IPN Receive</t>
  </si>
  <si>
    <t>Deposit Receive On us</t>
  </si>
  <si>
    <t>Deposit Receive Off us</t>
  </si>
  <si>
    <t>المتبقي للعميل</t>
  </si>
  <si>
    <t>الاستخدام</t>
  </si>
  <si>
    <t>حد الاستخدام الشهري</t>
  </si>
  <si>
    <t>حد الاستخدام اليومي</t>
  </si>
  <si>
    <t>Deposit Receive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</si>
</sst>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F0000"/>
      <name val="Calibri"/>
      <family val="2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gradientFill>
        <stop position="0">
          <color rgb="FFFF0000"/>
        </stop>
        <stop position="1">
          <color theme="4" tint="-0.25098422193060094"/>
        </stop>
      </gradientFill>
    </fill>
    <fill>
      <patternFill patternType="gray125">
        <bgColor rgb="FF0070C0"/>
      </pattern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4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9" fillId="5" borderId="5" xfId="0" applyFont="1" applyFill="1" applyBorder="1" applyAlignment="1" applyProtection="1">
      <alignment horizontal="center" vertical="center"/>
      <protection hidden="1"/>
    </xf>
    <xf numFmtId="0" fontId="9" fillId="5" borderId="12" xfId="0" applyFont="1" applyFill="1" applyBorder="1" applyAlignment="1" applyProtection="1">
      <alignment horizontal="center" vertical="center"/>
      <protection hidden="1"/>
    </xf>
    <xf numFmtId="1" fontId="0" fillId="0" borderId="5" xfId="0" applyNumberForma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64" fontId="4" fillId="2" borderId="5" xfId="0" applyNumberFormat="1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14" fontId="0" fillId="7" borderId="0" xfId="0" applyNumberFormat="1" applyFill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0" fontId="6" fillId="7" borderId="0" xfId="0" quotePrefix="1" applyFont="1" applyFill="1" applyAlignment="1" applyProtection="1">
      <alignment horizontal="left" vertical="center"/>
      <protection hidden="1"/>
    </xf>
    <xf numFmtId="0" fontId="0" fillId="7" borderId="0" xfId="0" quotePrefix="1" applyFill="1" applyAlignment="1" applyProtection="1">
      <alignment horizontal="center"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1" fontId="0" fillId="6" borderId="5" xfId="0" applyNumberFormat="1" applyFill="1" applyBorder="1" applyAlignment="1" applyProtection="1">
      <alignment horizontal="center" vertical="center"/>
      <protection hidden="1"/>
    </xf>
    <xf numFmtId="0" fontId="10" fillId="7" borderId="14" xfId="0" applyFont="1" applyFill="1" applyBorder="1" applyAlignment="1" applyProtection="1">
      <alignment horizontal="center" vertical="center"/>
      <protection hidden="1"/>
    </xf>
    <xf numFmtId="0" fontId="10" fillId="7" borderId="15" xfId="0" applyFont="1" applyFill="1" applyBorder="1" applyAlignment="1" applyProtection="1">
      <alignment horizontal="center" vertical="center"/>
      <protection hidden="1"/>
    </xf>
    <xf numFmtId="0" fontId="10" fillId="7" borderId="16" xfId="0" applyFont="1" applyFill="1" applyBorder="1" applyAlignment="1" applyProtection="1">
      <alignment horizontal="center" vertical="center"/>
      <protection hidden="1"/>
    </xf>
    <xf numFmtId="0" fontId="10" fillId="7" borderId="17" xfId="0" applyFont="1" applyFill="1" applyBorder="1" applyAlignment="1" applyProtection="1">
      <alignment horizontal="center" vertical="center"/>
      <protection hidden="1"/>
    </xf>
    <xf numFmtId="0" fontId="10" fillId="7" borderId="18" xfId="0" applyFont="1" applyFill="1" applyBorder="1" applyAlignment="1" applyProtection="1">
      <alignment horizontal="center" vertical="center"/>
      <protection hidden="1"/>
    </xf>
    <xf numFmtId="0" fontId="10" fillId="7" borderId="19" xfId="0" applyFont="1" applyFill="1" applyBorder="1" applyAlignment="1" applyProtection="1">
      <alignment horizontal="center" vertical="center"/>
      <protection hidden="1"/>
    </xf>
    <xf numFmtId="0" fontId="12" fillId="5" borderId="5" xfId="0" applyFont="1" applyFill="1" applyBorder="1" applyAlignment="1" applyProtection="1">
      <alignment horizontal="center" vertical="center"/>
      <protection hidden="1"/>
    </xf>
    <xf numFmtId="0" fontId="13" fillId="4" borderId="5" xfId="0" applyFont="1" applyFill="1" applyBorder="1" applyAlignment="1" applyProtection="1">
      <alignment horizontal="center" vertical="center"/>
      <protection hidden="1"/>
    </xf>
    <xf numFmtId="0" fontId="8" fillId="4" borderId="5" xfId="0" applyFont="1" applyFill="1" applyBorder="1" applyAlignment="1" applyProtection="1">
      <alignment horizontal="center" vertical="center"/>
      <protection hidden="1"/>
    </xf>
    <xf numFmtId="0" fontId="8" fillId="4" borderId="12" xfId="0" applyFont="1" applyFill="1" applyBorder="1" applyAlignment="1" applyProtection="1">
      <alignment horizontal="center" vertical="center"/>
      <protection hidden="1"/>
    </xf>
    <xf numFmtId="0" fontId="8" fillId="4" borderId="13" xfId="0" applyFont="1" applyFill="1" applyBorder="1" applyAlignment="1" applyProtection="1">
      <alignment horizontal="center" vertical="center"/>
      <protection hidden="1"/>
    </xf>
    <xf numFmtId="0" fontId="1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0" xfId="0" applyFont="1" applyFill="1" applyAlignment="1"/>
    <xf numFmtId="0" fontId="0" fillId="0" borderId="0" xfId="0" applyAlignment="1"/>
  </cellXfs>
  <cellStyles count="2">
    <cellStyle name="Normal" xfId="0" builtinId="0"/>
    <cellStyle name="Normal 2" xfId="1" xr:uid="{00000000-0005-0000-0000-000001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28575</xdr:rowOff>
        </xdr:from>
        <xdr:to>
          <xdr:col>1</xdr:col>
          <xdr:colOff>676275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28575</xdr:rowOff>
        </xdr:from>
        <xdr:to>
          <xdr:col>2</xdr:col>
          <xdr:colOff>695325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180975</xdr:colOff>
      <xdr:row>5</xdr:row>
      <xdr:rowOff>114300</xdr:rowOff>
    </xdr:from>
    <xdr:to>
      <xdr:col>11</xdr:col>
      <xdr:colOff>428625</xdr:colOff>
      <xdr:row>8</xdr:row>
      <xdr:rowOff>19050</xdr:rowOff>
    </xdr:to>
    <xdr:sp macro="[0]!ChooseD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20175" y="1085850"/>
          <a:ext cx="1419225" cy="447675"/>
        </a:xfrm>
        <a:prstGeom prst="roundRect">
          <a:avLst>
            <a:gd name="adj" fmla="val 50000"/>
          </a:avLst>
        </a:prstGeom>
        <a:effectLst>
          <a:glow rad="228600">
            <a:srgbClr val="FF0000">
              <a:alpha val="40000"/>
            </a:srgb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12700"/>
        </a:effectLst>
        <a:scene3d>
          <a:camera prst="perspectiveFront"/>
          <a:lightRig rig="threePt" dir="t"/>
        </a:scene3d>
        <a:sp3d>
          <a:bevelT prst="angle"/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1">
              <a:ln>
                <a:solidFill>
                  <a:schemeClr val="bg1"/>
                </a:solidFill>
              </a:ln>
              <a:solidFill>
                <a:srgbClr val="FF0000"/>
              </a:solidFill>
              <a:latin typeface="Elephant" panose="02020904090505020303" pitchFamily="18" charset="0"/>
            </a:rPr>
            <a:t>ادخال التاريخ</a:t>
          </a:r>
          <a:endParaRPr lang="en-US" sz="1800" b="1">
            <a:ln>
              <a:solidFill>
                <a:schemeClr val="bg1"/>
              </a:solidFill>
            </a:ln>
            <a:solidFill>
              <a:srgbClr val="FF0000"/>
            </a:solidFill>
            <a:latin typeface="Elephant" panose="02020904090505020303" pitchFamily="18" charset="0"/>
          </a:endParaRPr>
        </a:p>
      </xdr:txBody>
    </xdr:sp>
    <xdr:clientData/>
  </xdr:twoCellAnchor>
  <xdr:oneCellAnchor>
    <xdr:from>
      <xdr:col>0</xdr:col>
      <xdr:colOff>330341</xdr:colOff>
      <xdr:row>10</xdr:row>
      <xdr:rowOff>119493</xdr:rowOff>
    </xdr:from>
    <xdr:ext cx="3384645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0341" y="2259817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</a:t>
          </a:r>
          <a:r>
            <a:rPr lang="en-US" sz="54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359476</xdr:colOff>
      <xdr:row>10</xdr:row>
      <xdr:rowOff>182246</xdr:rowOff>
    </xdr:from>
    <xdr:ext cx="3384645" cy="937629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9476" y="2322570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</a:t>
          </a:r>
          <a:r>
            <a:rPr lang="en-US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343786</xdr:colOff>
      <xdr:row>10</xdr:row>
      <xdr:rowOff>166557</xdr:rowOff>
    </xdr:from>
    <xdr:ext cx="3384645" cy="937629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43786" y="2306881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272068</xdr:colOff>
      <xdr:row>17</xdr:row>
      <xdr:rowOff>117252</xdr:rowOff>
    </xdr:from>
    <xdr:ext cx="3384645" cy="937629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72068" y="3747958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u="sng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Amr Saad Aly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M39"/>
  <sheetViews>
    <sheetView showGridLines="0" tabSelected="1" zoomScale="85" zoomScaleNormal="85" workbookViewId="0">
      <selection activeCell="C10" sqref="C10"/>
    </sheetView>
  </sheetViews>
  <sheetFormatPr defaultColWidth="9.140625" defaultRowHeight="15" x14ac:dyDescent="0.25"/>
  <cols>
    <col min="1" max="1" width="19.5703125" style="16" customWidth="1"/>
    <col min="2" max="2" width="10.7109375" style="17" bestFit="1" customWidth="1"/>
    <col min="3" max="3" width="12.140625" style="17" customWidth="1"/>
    <col min="4" max="4" width="3.42578125" style="17" customWidth="1"/>
    <col min="5" max="5" width="15.85546875" style="17" bestFit="1" customWidth="1"/>
    <col min="6" max="6" width="33.7109375" style="17" bestFit="1" customWidth="1"/>
    <col min="7" max="7" width="14.5703125" style="17" bestFit="1" customWidth="1"/>
    <col min="8" max="8" width="10.28515625" style="17" bestFit="1" customWidth="1"/>
    <col min="9" max="10" width="6.140625" style="17" customWidth="1"/>
    <col min="11" max="11" width="33.7109375" style="17" bestFit="1" customWidth="1"/>
    <col min="12" max="12" width="15.85546875" style="17" bestFit="1" customWidth="1"/>
    <col min="13" max="19" width="9.140625" style="17"/>
    <col min="20" max="20" width="9.42578125" style="17" customWidth="1"/>
    <col min="21" max="16384" width="9.140625" style="17"/>
  </cols>
  <sheetData>
    <row r="1" spans="2:12" ht="20.25" thickTop="1" thickBot="1" x14ac:dyDescent="0.3">
      <c r="B1" s="5"/>
      <c r="C1" s="6"/>
      <c r="F1" s="33" t="s">
        <v>45</v>
      </c>
      <c r="G1" s="33"/>
      <c r="K1" s="33" t="s">
        <v>46</v>
      </c>
      <c r="L1" s="33"/>
    </row>
    <row r="2" spans="2:12" ht="17.25" thickTop="1" thickBot="1" x14ac:dyDescent="0.3">
      <c r="B2" s="7"/>
      <c r="C2" s="8"/>
      <c r="F2" s="32" t="s">
        <v>44</v>
      </c>
      <c r="G2" s="32" t="s">
        <v>43</v>
      </c>
      <c r="J2" s="18"/>
      <c r="K2" s="15"/>
      <c r="L2" s="15"/>
    </row>
    <row r="3" spans="2:12" ht="17.25" thickTop="1" thickBot="1" x14ac:dyDescent="0.3">
      <c r="B3" s="7"/>
      <c r="C3" s="8"/>
      <c r="E3" s="12" t="s">
        <v>21</v>
      </c>
      <c r="F3" s="13">
        <f>$G$12+$G$30+$G$37+$G$38+$G$27+G28+G36</f>
        <v>0</v>
      </c>
      <c r="G3" s="13">
        <f>200000-F3</f>
        <v>200000</v>
      </c>
      <c r="K3" s="32" t="s">
        <v>44</v>
      </c>
      <c r="L3" s="32" t="s">
        <v>43</v>
      </c>
    </row>
    <row r="4" spans="2:12" ht="16.5" thickTop="1" thickBot="1" x14ac:dyDescent="0.3">
      <c r="B4" s="9"/>
      <c r="C4" s="10"/>
      <c r="E4" s="12" t="s">
        <v>22</v>
      </c>
      <c r="F4" s="13">
        <f>$G$11+$G$17+$G$32+$G$34+$G$24</f>
        <v>0</v>
      </c>
      <c r="G4" s="13">
        <f>200000-F4</f>
        <v>200000</v>
      </c>
      <c r="J4" s="11" t="s">
        <v>16</v>
      </c>
      <c r="K4" s="14">
        <f>SUMIFS(Data!$E:$E,Data!$W:$W,$F$11,Data!$L:$L,$B$36,Data!$T:$T,$A$36,Data!$B:$B,$K$2)+SUMIFS(Data!$E:$E,Data!$W:$W,$F$17,Data!$L:$L,$B$36,Data!$T:$T,$A$36,Data!$B:$B,$K$2)+SUMIFS(Data!$E:$E,Data!$W:$W,$F$12,Data!$L:$L,$B$36,Data!$T:$T,$A$36,Data!$B:$B,$K$2)</f>
        <v>0</v>
      </c>
      <c r="L4" s="14">
        <f>60000-K4</f>
        <v>60000</v>
      </c>
    </row>
    <row r="5" spans="2:12" ht="16.5" thickTop="1" thickBot="1" x14ac:dyDescent="0.3">
      <c r="E5" s="12" t="s">
        <v>23</v>
      </c>
      <c r="F5" s="13">
        <f>$G$10+$G$13+$G$15+$G$16+$G$19+$G$20+$G$18+$G$23+$G$25+$G$26+$G$29+$G$31+$G$33+$G$34+$G$35</f>
        <v>0</v>
      </c>
      <c r="G5" s="13">
        <f>200000-$F$5</f>
        <v>200000</v>
      </c>
      <c r="J5" s="11" t="s">
        <v>17</v>
      </c>
      <c r="K5" s="14">
        <f>SUMIFS(Data!$E:$E,Data!$W:$W,$F$10,Data!$L:$L,$B$36,Data!$T:$T,$A$36,Data!$B:$B,$K$2)+SUMIFS(Data!$E:$E,Data!$W:$W,$F$15,Data!$L:$L,$B$36,Data!$T:$T,$A$36,Data!$B:$B,$K$2)+SUMIFS(Data!$E:$E,Data!$W:$W,$F$16,Data!$L:$L,$B$36,Data!$T:$T,$A$36,Data!$B:$B,$K$2)+SUMIFS(Data!$E:$E,Data!$W:$W,$F$19,Data!$L:$L,$B$36,Data!$T:$T,$A$36,Data!$B:$B,$K$2)+SUMIFS(Data!$E:$E,Data!$W:$W,$F$18,Data!$L:$L,$B$36,Data!$T:$T,$A$36,Data!$B:$B,$K$2)+SUMIFS(Data!$E:$E,Data!$W:$W,$F$23,Data!$L:$L,$B$36,Data!$T:$T,$A$36,Data!$B:$B,$K$2)+SUMIFS(Data!$E:$E,Data!$W:$W,$F$20,Data!$L:$L,$B$36,Data!$T:$T,$A$36,Data!$B:$B,$K$2)+SUMIFS(Data!$E:$E,Data!$W:$W,$F$13,Data!$L:$L,$B$36,Data!$T:$T,$A$36,Data!$B:$B,$K$2)</f>
        <v>0</v>
      </c>
      <c r="L5" s="14">
        <f>60000-K5</f>
        <v>60000</v>
      </c>
    </row>
    <row r="6" spans="2:12" ht="15.75" thickTop="1" x14ac:dyDescent="0.25"/>
    <row r="7" spans="2:12" ht="15.75" thickBot="1" x14ac:dyDescent="0.3">
      <c r="F7" s="19"/>
      <c r="G7" s="19"/>
    </row>
    <row r="8" spans="2:12" ht="17.25" thickTop="1" thickBot="1" x14ac:dyDescent="0.3">
      <c r="D8" s="16"/>
      <c r="E8" s="20"/>
      <c r="F8" s="34" t="s">
        <v>27</v>
      </c>
      <c r="G8" s="34"/>
    </row>
    <row r="9" spans="2:12" ht="16.5" thickTop="1" thickBot="1" x14ac:dyDescent="0.3">
      <c r="D9" s="16"/>
      <c r="E9" s="20"/>
      <c r="F9" s="11" t="s">
        <v>9</v>
      </c>
      <c r="G9" s="11" t="s">
        <v>5</v>
      </c>
    </row>
    <row r="10" spans="2:12" ht="17.25" thickTop="1" thickBot="1" x14ac:dyDescent="0.3">
      <c r="D10" s="16"/>
      <c r="E10" s="20"/>
      <c r="F10" s="24" t="s">
        <v>2</v>
      </c>
      <c r="G10" s="25">
        <f>SUMIFS(Data!$E:$E,Data!$W:$W,Limit!$F10,Data!$L:$L,Limit!$B$36,Data!$T:$T,Limit!$A$36)</f>
        <v>0</v>
      </c>
      <c r="K10" s="35" t="s">
        <v>26</v>
      </c>
      <c r="L10" s="36"/>
    </row>
    <row r="11" spans="2:12" ht="16.5" thickTop="1" thickBot="1" x14ac:dyDescent="0.3">
      <c r="C11" s="16"/>
      <c r="D11" s="16"/>
      <c r="E11" s="20"/>
      <c r="F11" s="24" t="s">
        <v>1</v>
      </c>
      <c r="G11" s="25">
        <f>SUMIFS(Data!$E:$E,Data!$W:$W,Limit!$F11,Data!$L:$L,Limit!$B$36,Data!$T:$T,Limit!$A$36)</f>
        <v>0</v>
      </c>
      <c r="K11" s="11" t="s">
        <v>9</v>
      </c>
      <c r="L11" s="11" t="s">
        <v>25</v>
      </c>
    </row>
    <row r="12" spans="2:12" ht="16.5" thickTop="1" thickBot="1" x14ac:dyDescent="0.3">
      <c r="B12" s="16"/>
      <c r="C12" s="16"/>
      <c r="D12" s="16"/>
      <c r="E12" s="20"/>
      <c r="F12" s="24" t="s">
        <v>4</v>
      </c>
      <c r="G12" s="25">
        <f>SUMIFS(Data!$E:$E,Data!$W:$W,Limit!$F12,Data!$L:$L,Limit!$B$36,Data!$T:$T,Limit!$A$36)</f>
        <v>0</v>
      </c>
      <c r="K12" s="24" t="s">
        <v>2</v>
      </c>
      <c r="L12" s="25">
        <f>SUMIFS(Data!$E:$E,Data!$W:$W,Limit!$K12,Data!$L:$L,Limit!$B$36,Data!$T:$T,Limit!$A$36,Data!$B:$B,Limit!$K$2)</f>
        <v>0</v>
      </c>
    </row>
    <row r="13" spans="2:12" ht="16.5" thickTop="1" thickBot="1" x14ac:dyDescent="0.3">
      <c r="B13" s="16"/>
      <c r="C13" s="16"/>
      <c r="D13" s="16"/>
      <c r="E13" s="20"/>
      <c r="F13" s="24" t="s">
        <v>3</v>
      </c>
      <c r="G13" s="25">
        <f>SUMIFS(Data!$E:$E,Data!$W:$W,Limit!$F13,Data!$L:$L,Limit!$B$36,Data!$T:$T,Limit!$A$36)</f>
        <v>0</v>
      </c>
      <c r="K13" s="24" t="s">
        <v>1</v>
      </c>
      <c r="L13" s="25">
        <f>SUMIFS(Data!$E:$E,Data!$W:$W,Limit!$K13,Data!$L:$L,Limit!$B$36,Data!$T:$T,Limit!$A$36,Data!$B:$B,Limit!$K$2)</f>
        <v>0</v>
      </c>
    </row>
    <row r="14" spans="2:12" ht="16.5" thickTop="1" thickBot="1" x14ac:dyDescent="0.3">
      <c r="B14" s="16"/>
      <c r="C14" s="16"/>
      <c r="D14" s="16"/>
      <c r="E14" s="20"/>
      <c r="F14" s="24" t="s">
        <v>28</v>
      </c>
      <c r="G14" s="25">
        <f>SUMIFS(Data!$E:$E,Data!$W:$W,Limit!$F14,Data!$L:$L,Limit!$B$36,Data!$T:$T,Limit!$A$36)</f>
        <v>0</v>
      </c>
      <c r="K14" s="24" t="s">
        <v>4</v>
      </c>
      <c r="L14" s="25">
        <f>SUMIFS(Data!$E:$E,Data!$W:$W,Limit!$K14,Data!$L:$L,Limit!$B$36,Data!$T:$T,Limit!$A$36,Data!$B:$B,Limit!$K$2)</f>
        <v>0</v>
      </c>
    </row>
    <row r="15" spans="2:12" ht="16.5" thickTop="1" thickBot="1" x14ac:dyDescent="0.3">
      <c r="B15" s="16"/>
      <c r="C15" s="16"/>
      <c r="D15" s="16"/>
      <c r="E15" s="20"/>
      <c r="F15" s="24" t="s">
        <v>8</v>
      </c>
      <c r="G15" s="25">
        <f>SUMIFS(Data!$E:$E,Data!$W:$W,Limit!$F15,Data!$L:$L,Limit!$B$36,Data!$T:$T,Limit!$A$36)</f>
        <v>0</v>
      </c>
      <c r="K15" s="24" t="s">
        <v>3</v>
      </c>
      <c r="L15" s="25">
        <f>SUMIFS(Data!$E:$E,Data!$W:$W,Limit!$K15,Data!$L:$L,Limit!$B$36,Data!$T:$T,Limit!$A$36,Data!$B:$B,Limit!$K$2)</f>
        <v>0</v>
      </c>
    </row>
    <row r="16" spans="2:12" ht="16.5" thickTop="1" thickBot="1" x14ac:dyDescent="0.3">
      <c r="B16" s="16"/>
      <c r="C16" s="16"/>
      <c r="D16" s="16"/>
      <c r="E16" s="20"/>
      <c r="F16" s="24" t="s">
        <v>10</v>
      </c>
      <c r="G16" s="25">
        <f>SUMIFS(Data!$E:$E,Data!$W:$W,Limit!$F16,Data!$L:$L,Limit!$B$36,Data!$T:$T,Limit!$A$36)</f>
        <v>0</v>
      </c>
      <c r="K16" s="24" t="s">
        <v>28</v>
      </c>
      <c r="L16" s="25" t="str">
        <f>IF(SUMIFS(Data!$E:$E,Data!$W:$W,Limit!$K16,Data!$L:$L,Limit!$B$36,Data!$T:$T,Limit!$A$36,Data!$B:$B,Limit!$K$2)&gt;297,SUMIFS(Data!$E:$E,Data!$W:$W,Limit!$K16,Data!$L:$L,Limit!$B$36,Data!$T:$T,Limit!$A$36,Data!$B:$B,Limit!$K$2),"0")</f>
        <v>0</v>
      </c>
    </row>
    <row r="17" spans="1:13" ht="16.5" thickTop="1" thickBot="1" x14ac:dyDescent="0.3">
      <c r="B17" s="16"/>
      <c r="C17" s="16"/>
      <c r="D17" s="16"/>
      <c r="E17" s="20"/>
      <c r="F17" s="24" t="s">
        <v>11</v>
      </c>
      <c r="G17" s="25">
        <f>SUMIFS(Data!$E:$E,Data!$W:$W,Limit!$F17,Data!$L:$L,Limit!$B$36,Data!$T:$T,Limit!$A$36)</f>
        <v>0</v>
      </c>
      <c r="K17" s="24" t="s">
        <v>8</v>
      </c>
      <c r="L17" s="25">
        <f>SUMIFS(Data!$E:$E,Data!$W:$W,Limit!$K17,Data!$L:$L,Limit!$B$36,Data!$T:$T,Limit!$A$36,Data!$B:$B,Limit!$K$2)</f>
        <v>0</v>
      </c>
    </row>
    <row r="18" spans="1:13" ht="16.5" thickTop="1" thickBot="1" x14ac:dyDescent="0.3">
      <c r="B18" s="16"/>
      <c r="C18" s="16"/>
      <c r="D18" s="16"/>
      <c r="E18" s="20"/>
      <c r="F18" s="24" t="s">
        <v>12</v>
      </c>
      <c r="G18" s="25">
        <f>SUMIFS(Data!$E:$E,Data!$W:$W,Limit!$F18,Data!$L:$L,Limit!$B$36,Data!$T:$T,Limit!$A$36)</f>
        <v>0</v>
      </c>
      <c r="K18" s="24" t="s">
        <v>10</v>
      </c>
      <c r="L18" s="25">
        <f>SUMIFS(Data!$E:$E,Data!$W:$W,Limit!$K18,Data!$L:$L,Limit!$B$36,Data!$T:$T,Limit!$A$36,Data!$B:$B,Limit!$K$2)</f>
        <v>0</v>
      </c>
    </row>
    <row r="19" spans="1:13" ht="16.5" thickTop="1" thickBot="1" x14ac:dyDescent="0.3">
      <c r="B19" s="16"/>
      <c r="C19" s="16"/>
      <c r="D19" s="16"/>
      <c r="E19" s="20"/>
      <c r="F19" s="24" t="s">
        <v>15</v>
      </c>
      <c r="G19" s="25">
        <f>SUMIFS(Data!$E:$E,Data!$W:$W,Limit!$F19,Data!$L:$L,Limit!$B$36,Data!$T:$T,Limit!$A$36)</f>
        <v>0</v>
      </c>
      <c r="K19" s="24" t="s">
        <v>11</v>
      </c>
      <c r="L19" s="25">
        <f>SUMIFS(Data!$E:$E,Data!$W:$W,Limit!$K19,Data!$L:$L,Limit!$B$36,Data!$T:$T,Limit!$A$36,Data!$B:$B,Limit!$K$2)</f>
        <v>0</v>
      </c>
    </row>
    <row r="20" spans="1:13" ht="16.5" thickTop="1" thickBot="1" x14ac:dyDescent="0.3">
      <c r="A20" s="21"/>
      <c r="B20" s="16"/>
      <c r="C20" s="16"/>
      <c r="D20" s="16"/>
      <c r="E20" s="20"/>
      <c r="F20" s="24" t="s">
        <v>18</v>
      </c>
      <c r="G20" s="25">
        <f>SUMIFS(Data!$E:$E,Data!$W:$W,Limit!$F20,Data!$L:$L,Limit!$B$36,Data!$T:$T,Limit!$A$36)</f>
        <v>0</v>
      </c>
      <c r="K20" s="24" t="s">
        <v>12</v>
      </c>
      <c r="L20" s="25">
        <f>SUMIFS(Data!$E:$E,Data!$W:$W,Limit!$K20,Data!$L:$L,Limit!$B$36,Data!$T:$T,Limit!$A$36,Data!$B:$B,Limit!$K$2)</f>
        <v>0</v>
      </c>
    </row>
    <row r="21" spans="1:13" ht="16.5" thickTop="1" thickBot="1" x14ac:dyDescent="0.3">
      <c r="A21" s="22"/>
      <c r="B21" s="16"/>
      <c r="C21" s="16"/>
      <c r="D21" s="16"/>
      <c r="E21" s="20"/>
      <c r="F21" s="24" t="s">
        <v>19</v>
      </c>
      <c r="G21" s="25">
        <f>$G$18*0.03</f>
        <v>0</v>
      </c>
      <c r="K21" s="24" t="s">
        <v>15</v>
      </c>
      <c r="L21" s="25">
        <f>IF(SUMIFS(Data!$E:$E,Data!$W:$W,Limit!$K16,Data!$L:$L,Limit!$B$36,Data!$T:$T,Limit!$A$36,Data!$B:$B,Limit!$K$2)&lt;=297,SUMIFS(Data!$E:$E,Data!$W:$W,Limit!$K21,Data!$L:$L,Limit!$B$36,Data!$T:$T,Limit!$A$36,Data!$B:$B,Limit!$K$2)+SUMIFS(Data!$E:$E,Data!$W:$W,Limit!$K16,Data!$L:$L,Limit!$B$36,Data!$T:$T,Limit!$A$36,Data!$B:$B,Limit!$K$2),SUMIFS(Data!$E:$E,Data!$W:$W,Limit!$K21,Data!$L:$L,Limit!$B$36,Data!$T:$T,Limit!$A$36,Data!$B:$B,Limit!$K$2))</f>
        <v>0</v>
      </c>
      <c r="M21" s="23"/>
    </row>
    <row r="22" spans="1:13" ht="16.5" thickTop="1" thickBot="1" x14ac:dyDescent="0.3">
      <c r="A22" s="22"/>
      <c r="B22" s="16"/>
      <c r="C22" s="16"/>
      <c r="D22" s="16"/>
      <c r="E22" s="20"/>
      <c r="F22" s="24" t="s">
        <v>20</v>
      </c>
      <c r="G22" s="25">
        <f>$G$18*0.1</f>
        <v>0</v>
      </c>
      <c r="K22" s="24" t="s">
        <v>18</v>
      </c>
      <c r="L22" s="25">
        <f>SUMIFS(Data!$E:$E,Data!$W:$W,Limit!$K22,Data!$L:$L,Limit!$B$36,Data!$T:$T,Limit!$A$36,Data!$B:$B,Limit!$K$2)</f>
        <v>0</v>
      </c>
    </row>
    <row r="23" spans="1:13" ht="16.5" thickTop="1" thickBot="1" x14ac:dyDescent="0.3">
      <c r="A23" s="22"/>
      <c r="B23" s="16"/>
      <c r="C23" s="16"/>
      <c r="D23" s="16"/>
      <c r="E23" s="20"/>
      <c r="F23" s="24" t="s">
        <v>24</v>
      </c>
      <c r="G23" s="25">
        <f>SUMIFS(Data!$E:$E,Data!$W:$W,Limit!$F23,Data!$L:$L,Limit!$B$36,Data!$T:$T,Limit!$A$36)</f>
        <v>0</v>
      </c>
      <c r="K23" s="24" t="s">
        <v>24</v>
      </c>
      <c r="L23" s="25">
        <f>SUMIFS(Data!$E:$E,Data!$W:$W,Limit!$K23,Data!$L:$L,Limit!$B$36,Data!$T:$T,Limit!$A$36,Data!$B:$B,Limit!$K$2)</f>
        <v>0</v>
      </c>
    </row>
    <row r="24" spans="1:13" ht="16.5" thickTop="1" thickBot="1" x14ac:dyDescent="0.3">
      <c r="B24" s="16"/>
      <c r="C24" s="16"/>
      <c r="D24" s="16"/>
      <c r="E24" s="20"/>
      <c r="F24" s="24" t="s">
        <v>47</v>
      </c>
      <c r="G24" s="25">
        <f>SUMIFS(Data!$E:$E,Data!$W:$W,Limit!$F24,Data!$L:$L,Limit!$B$36,Data!$T:$T,Limit!$A$36)</f>
        <v>0</v>
      </c>
      <c r="K24" s="24" t="s">
        <v>47</v>
      </c>
      <c r="L24" s="25">
        <f>SUMIFS(Data!$E:$E,Data!$W:$W,Limit!$K24,Data!$L:$L,Limit!$B$36,Data!$T:$T,Limit!$A$36,Data!$B:$B,Limit!$K$2)</f>
        <v>0</v>
      </c>
    </row>
    <row r="25" spans="1:13" ht="16.5" thickTop="1" thickBot="1" x14ac:dyDescent="0.3">
      <c r="B25" s="20"/>
      <c r="C25" s="20"/>
      <c r="D25" s="20"/>
      <c r="E25" s="20"/>
      <c r="F25" s="24" t="s">
        <v>29</v>
      </c>
      <c r="G25" s="25">
        <f>SUMIFS(Data!$E:$E,Data!$W:$W,Limit!$F25,Data!$L:$L,Limit!$B$36,Data!$T:$T,Limit!$A$36)</f>
        <v>0</v>
      </c>
      <c r="K25" s="24" t="s">
        <v>29</v>
      </c>
      <c r="L25" s="25">
        <f>SUMIFS(Data!$E:$E,Data!$W:$W,Limit!$K25,Data!$L:$L,Limit!$B$36,Data!$T:$T,Limit!$A$36,Data!$B:$B,Limit!$K$2)</f>
        <v>0</v>
      </c>
    </row>
    <row r="26" spans="1:13" ht="16.5" thickTop="1" thickBot="1" x14ac:dyDescent="0.3">
      <c r="B26" s="20"/>
      <c r="C26" s="20"/>
      <c r="D26" s="20"/>
      <c r="E26" s="20"/>
      <c r="F26" s="24" t="s">
        <v>30</v>
      </c>
      <c r="G26" s="25">
        <f>SUMIFS(Data!$E:$E,Data!$W:$W,Limit!$F26,Data!$L:$L,Limit!$B$36,Data!$T:$T,Limit!$A$36)</f>
        <v>0</v>
      </c>
      <c r="K26" s="24" t="s">
        <v>30</v>
      </c>
      <c r="L26" s="25">
        <f>SUMIFS(Data!$E:$E,Data!$W:$W,Limit!$K26,Data!$L:$L,Limit!$B$36,Data!$T:$T,Limit!$A$36,Data!$B:$B,Limit!$K$2)</f>
        <v>0</v>
      </c>
    </row>
    <row r="27" spans="1:13" ht="16.5" thickTop="1" thickBot="1" x14ac:dyDescent="0.3">
      <c r="E27" s="19"/>
      <c r="F27" s="24" t="s">
        <v>31</v>
      </c>
      <c r="G27" s="25">
        <f>SUMIFS(Data!$E:$E,Data!$W:$W,Limit!$F27,Data!$L:$L,Limit!$B$36,Data!$T:$T,Limit!$A$36)</f>
        <v>0</v>
      </c>
      <c r="K27" s="24" t="s">
        <v>31</v>
      </c>
      <c r="L27" s="25">
        <f>SUMIFS(Data!$E:$E,Data!$W:$W,Limit!$K27,Data!$L:$L,Limit!$B$36,Data!$T:$T,Limit!$A$36,Data!$B:$B,Limit!$K$2)</f>
        <v>0</v>
      </c>
    </row>
    <row r="28" spans="1:13" ht="16.5" thickTop="1" thickBot="1" x14ac:dyDescent="0.3">
      <c r="E28" s="19"/>
      <c r="F28" s="24" t="s">
        <v>32</v>
      </c>
      <c r="G28" s="25">
        <f>SUMIFS(Data!$E:$E,Data!$W:$W,Limit!$F28,Data!$L:$L,Limit!$B$36,Data!$T:$T,Limit!$A$36)</f>
        <v>0</v>
      </c>
      <c r="K28" s="24" t="s">
        <v>32</v>
      </c>
      <c r="L28" s="25">
        <f>SUMIFS(Data!$E:$E,Data!$W:$W,Limit!$K28,Data!$L:$L,Limit!$B$36,Data!$T:$T,Limit!$A$36,Data!$B:$B,Limit!$K$2)</f>
        <v>0</v>
      </c>
    </row>
    <row r="29" spans="1:13" ht="16.5" thickTop="1" thickBot="1" x14ac:dyDescent="0.3">
      <c r="E29" s="19"/>
      <c r="F29" s="24" t="s">
        <v>33</v>
      </c>
      <c r="G29" s="25">
        <f>SUMIFS(Data!$E:$E,Data!$W:$W,Limit!$F29,Data!$L:$L,Limit!$B$36,Data!$T:$T,Limit!$A$36)</f>
        <v>0</v>
      </c>
      <c r="K29" s="24" t="s">
        <v>33</v>
      </c>
      <c r="L29" s="25">
        <f>SUMIFS(Data!$E:$E,Data!$W:$W,Limit!$K29,Data!$L:$L,Limit!$B$36,Data!$T:$T,Limit!$A$36,Data!$B:$B,Limit!$K$2)</f>
        <v>0</v>
      </c>
    </row>
    <row r="30" spans="1:13" ht="16.5" thickTop="1" thickBot="1" x14ac:dyDescent="0.3">
      <c r="E30" s="19"/>
      <c r="F30" s="24" t="s">
        <v>34</v>
      </c>
      <c r="G30" s="25">
        <f>SUMIFS(Data!$E:$E,Data!$W:$W,Limit!$F30,Data!$L:$L,Limit!$B$36,Data!$T:$T,Limit!$A$36)</f>
        <v>0</v>
      </c>
      <c r="K30" s="24" t="s">
        <v>34</v>
      </c>
      <c r="L30" s="25">
        <f>SUMIFS(Data!$E:$E,Data!$W:$W,Limit!$K30,Data!$L:$L,Limit!$B$36,Data!$T:$T,Limit!$A$36,Data!$B:$B,Limit!$K$2)</f>
        <v>0</v>
      </c>
    </row>
    <row r="31" spans="1:13" ht="16.5" thickTop="1" thickBot="1" x14ac:dyDescent="0.3">
      <c r="F31" s="24" t="s">
        <v>35</v>
      </c>
      <c r="G31" s="25">
        <f>SUMIFS(Data!$E:$E,Data!$W:$W,Limit!$F31,Data!$L:$L,Limit!$B$36,Data!$T:$T,Limit!$A$36)</f>
        <v>0</v>
      </c>
      <c r="K31" s="24" t="s">
        <v>35</v>
      </c>
      <c r="L31" s="25">
        <f>SUMIFS(Data!$E:$E,Data!$W:$W,Limit!$K31,Data!$L:$L,Limit!$B$36,Data!$T:$T,Limit!$A$36,Data!$B:$B,Limit!$K$2)</f>
        <v>0</v>
      </c>
    </row>
    <row r="32" spans="1:13" ht="16.5" thickTop="1" thickBot="1" x14ac:dyDescent="0.3">
      <c r="F32" s="24" t="s">
        <v>36</v>
      </c>
      <c r="G32" s="25">
        <f>SUMIFS(Data!$E:$E,Data!$W:$W,Limit!$F32,Data!$L:$L,Limit!$B$36,Data!$T:$T,Limit!$A$36)</f>
        <v>0</v>
      </c>
      <c r="K32" s="24" t="s">
        <v>36</v>
      </c>
      <c r="L32" s="25">
        <f>SUMIFS(Data!$E:$E,Data!$W:$W,Limit!$K32,Data!$L:$L,Limit!$B$36,Data!$T:$T,Limit!$A$36,Data!$B:$B,Limit!$K$2)</f>
        <v>0</v>
      </c>
    </row>
    <row r="33" spans="1:12" ht="16.5" thickTop="1" thickBot="1" x14ac:dyDescent="0.3">
      <c r="F33" s="24" t="s">
        <v>37</v>
      </c>
      <c r="G33" s="25">
        <f>SUMIFS(Data!$E:$E,Data!$W:$W,Limit!$F33,Data!$L:$L,Limit!$B$36,Data!$T:$T,Limit!$A$36)</f>
        <v>0</v>
      </c>
      <c r="K33" s="24" t="s">
        <v>37</v>
      </c>
      <c r="L33" s="25">
        <f>SUMIFS(Data!$E:$E,Data!$W:$W,Limit!$K33,Data!$L:$L,Limit!$B$36,Data!$T:$T,Limit!$A$36,Data!$B:$B,Limit!$K$2)</f>
        <v>0</v>
      </c>
    </row>
    <row r="34" spans="1:12" ht="16.5" thickTop="1" thickBot="1" x14ac:dyDescent="0.3">
      <c r="A34" s="26"/>
      <c r="B34" s="27"/>
      <c r="F34" s="24" t="s">
        <v>38</v>
      </c>
      <c r="G34" s="25">
        <f>SUMIFS(Data!$E:$E,Data!$W:$W,Limit!$F34,Data!$L:$L,Limit!$B$36,Data!$T:$T,Limit!$A$36)</f>
        <v>0</v>
      </c>
      <c r="K34" s="24" t="s">
        <v>38</v>
      </c>
      <c r="L34" s="25">
        <f>SUMIFS(Data!$E:$E,Data!$W:$W,Limit!$K34,Data!$L:$L,Limit!$B$36,Data!$T:$T,Limit!$A$36,Data!$B:$B,Limit!$K$2)</f>
        <v>0</v>
      </c>
    </row>
    <row r="35" spans="1:12" ht="16.5" thickTop="1" thickBot="1" x14ac:dyDescent="0.3">
      <c r="A35" s="28" t="s">
        <v>7</v>
      </c>
      <c r="B35" s="29" t="s">
        <v>6</v>
      </c>
      <c r="F35" s="24" t="s">
        <v>39</v>
      </c>
      <c r="G35" s="25">
        <f>SUMIFS(Data!$E:$E,Data!$W:$W,Limit!$F35,Data!$L:$L,Limit!$B$36,Data!$T:$T,Limit!$A$36)</f>
        <v>0</v>
      </c>
      <c r="K35" s="24" t="s">
        <v>39</v>
      </c>
      <c r="L35" s="25">
        <f>SUMIFS(Data!$E:$E,Data!$W:$W,Limit!$K35,Data!$L:$L,Limit!$B$36,Data!$T:$T,Limit!$A$36,Data!$B:$B,Limit!$K$2)</f>
        <v>0</v>
      </c>
    </row>
    <row r="36" spans="1:12" ht="16.5" thickTop="1" thickBot="1" x14ac:dyDescent="0.3">
      <c r="A36" s="28" t="s">
        <v>13</v>
      </c>
      <c r="B36" s="29" t="s">
        <v>0</v>
      </c>
      <c r="F36" s="24" t="s">
        <v>40</v>
      </c>
      <c r="G36" s="25">
        <f>SUMIFS(Data!$E:$E,Data!$W:$W,Limit!$F36,Data!$L:$L,Limit!$B$36,Data!$T:$T,Limit!$A$36)</f>
        <v>0</v>
      </c>
      <c r="K36" s="24" t="s">
        <v>40</v>
      </c>
      <c r="L36" s="25">
        <f>SUMIFS(Data!$E:$E,Data!$W:$W,Limit!$K36,Data!$L:$L,Limit!$B$36,Data!$T:$T,Limit!$A$36,Data!$B:$B,Limit!$K$2)</f>
        <v>0</v>
      </c>
    </row>
    <row r="37" spans="1:12" ht="16.5" thickTop="1" thickBot="1" x14ac:dyDescent="0.3">
      <c r="A37" s="30" t="s">
        <v>14</v>
      </c>
      <c r="B37" s="31"/>
      <c r="F37" s="24" t="s">
        <v>42</v>
      </c>
      <c r="G37" s="25">
        <f>SUMIFS(Data!$E:$E,Data!$W:$W,Limit!$F37,Data!$L:$L,Limit!$B$36,Data!$T:$T,Limit!$A$36)</f>
        <v>0</v>
      </c>
      <c r="K37" s="24" t="s">
        <v>42</v>
      </c>
      <c r="L37" s="25">
        <f>SUMIFS(Data!$E:$E,Data!$W:$W,Limit!$K37,Data!$L:$L,Limit!$B$36,Data!$T:$T,Limit!$A$36,Data!$B:$B,Limit!$K$2)</f>
        <v>0</v>
      </c>
    </row>
    <row r="38" spans="1:12" ht="16.5" thickTop="1" thickBot="1" x14ac:dyDescent="0.3">
      <c r="F38" s="24" t="s">
        <v>41</v>
      </c>
      <c r="G38" s="25">
        <f>SUMIFS(Data!$E:$E,Data!$W:$W,Limit!$F38,Data!$L:$L,Limit!$B$36,Data!$T:$T,Limit!$A$36)</f>
        <v>0</v>
      </c>
      <c r="K38" s="24" t="s">
        <v>41</v>
      </c>
      <c r="L38" s="25">
        <f>SUMIFS(Data!$E:$E,Data!$W:$W,Limit!$K38,Data!$L:$L,Limit!$B$36,Data!$T:$T,Limit!$A$36,Data!$B:$B,Limit!$K$2)</f>
        <v>0</v>
      </c>
    </row>
    <row r="39" spans="1:12" ht="15.75" thickTop="1" x14ac:dyDescent="0.25"/>
  </sheetData>
  <sheetProtection algorithmName="SHA-512" hashValue="5NIZtqhcSDdRGf+O0dOs3RllVFRr4qCWWAwhtbZpqH0EqaYOMuVqiHM1aO+PhXCOCbF4O+B+gAraTISYNRBStQ==" saltValue="AUnOhJsbfaNmM3qeNzBWhA==" spinCount="100000" sheet="1" objects="1" scenarios="1"/>
  <mergeCells count="4">
    <mergeCell ref="F1:G1"/>
    <mergeCell ref="K1:L1"/>
    <mergeCell ref="F8:G8"/>
    <mergeCell ref="K10:L10"/>
  </mergeCells>
  <conditionalFormatting sqref="K39:K1048576 K6:K9">
    <cfRule type="duplicateValues" dxfId="6" priority="13"/>
  </conditionalFormatting>
  <conditionalFormatting sqref="K2">
    <cfRule type="duplicateValues" dxfId="5" priority="12"/>
  </conditionalFormatting>
  <conditionalFormatting sqref="J18">
    <cfRule type="duplicateValues" dxfId="4" priority="11"/>
  </conditionalFormatting>
  <conditionalFormatting sqref="F1">
    <cfRule type="duplicateValues" dxfId="3" priority="9"/>
  </conditionalFormatting>
  <conditionalFormatting sqref="F8">
    <cfRule type="duplicateValues" dxfId="2" priority="3"/>
  </conditionalFormatting>
  <conditionalFormatting sqref="K10">
    <cfRule type="duplicateValues" dxfId="1" priority="2"/>
  </conditionalFormatting>
  <conditionalFormatting sqref="K1">
    <cfRule type="duplicateValues" dxfId="0" priority="1"/>
  </conditionalFormatting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.Run">
                <anchor moveWithCells="1">
                  <from>
                    <xdr:col>1</xdr:col>
                    <xdr:colOff>95250</xdr:colOff>
                    <xdr:row>1</xdr:row>
                    <xdr:rowOff>28575</xdr:rowOff>
                  </from>
                  <to>
                    <xdr:col>1</xdr:col>
                    <xdr:colOff>676275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4">
                <anchor mov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2</xdr:col>
                    <xdr:colOff>695325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BA1000"/>
  <sheetViews>
    <sheetView workbookViewId="0">
      <selection activeCell="F11" sqref="F11"/>
    </sheetView>
  </sheetViews>
  <sheetFormatPr defaultColWidth="9.140625" defaultRowHeight="15" x14ac:dyDescent="0.25"/>
  <cols>
    <col min="1" max="1" width="15.140625" style="2" bestFit="1" customWidth="1"/>
    <col min="2" max="2" width="5.140625" style="1" bestFit="1" customWidth="1"/>
    <col min="3" max="3" width="20.5703125" style="41" customWidth="1"/>
    <col min="4" max="4" width="39.28515625" style="41" bestFit="1" customWidth="1"/>
    <col min="5" max="5" width="8.140625" style="41" bestFit="1" customWidth="1"/>
    <col min="6" max="6" width="16.7109375" style="41" customWidth="1"/>
    <col min="7" max="7" width="13.140625" style="41" customWidth="1"/>
    <col min="8" max="8" width="16.140625" style="41" customWidth="1"/>
    <col min="9" max="9" width="5.140625" style="41" customWidth="1"/>
    <col min="10" max="11" width="12.7109375" style="41" customWidth="1"/>
    <col min="12" max="12" width="10.140625" style="41" bestFit="1" customWidth="1"/>
    <col min="13" max="13" width="20.5703125" style="41" customWidth="1"/>
    <col min="14" max="14" width="13.7109375" style="41" customWidth="1"/>
    <col min="15" max="15" width="10.85546875" style="41" customWidth="1"/>
    <col min="16" max="16" width="37.42578125" style="41" customWidth="1"/>
    <col min="17" max="17" width="12" style="41" customWidth="1"/>
    <col min="18" max="18" width="14.7109375" style="41" customWidth="1"/>
    <col min="19" max="19" width="33.85546875" style="41" customWidth="1"/>
    <col min="20" max="20" width="9.28515625" style="41" bestFit="1" customWidth="1"/>
    <col min="21" max="21" width="15" style="41" customWidth="1"/>
    <col min="22" max="22" width="23.28515625" style="41" customWidth="1"/>
    <col min="23" max="23" width="21" style="41" bestFit="1" customWidth="1"/>
    <col min="24" max="24" width="19.140625" style="41" customWidth="1"/>
    <col min="25" max="25" width="19.7109375" style="41" customWidth="1"/>
    <col min="26" max="26" width="15.28515625" style="41" customWidth="1"/>
    <col min="27" max="27" width="16" style="41" customWidth="1"/>
    <col min="28" max="28" width="8.85546875" style="41" customWidth="1"/>
    <col min="29" max="29" width="9.42578125" style="41" customWidth="1"/>
    <col min="30" max="30" width="14" style="41" customWidth="1"/>
    <col min="31" max="31" width="16.5703125" style="41" customWidth="1"/>
    <col min="32" max="32" width="21.140625" style="41" customWidth="1"/>
    <col min="33" max="33" width="20.28515625" style="41" customWidth="1"/>
    <col min="34" max="34" width="25.85546875" style="41" customWidth="1"/>
    <col min="35" max="35" width="15.140625" style="41" customWidth="1"/>
    <col min="36" max="36" width="73.7109375" style="41" customWidth="1"/>
    <col min="37" max="37" width="11.28515625" style="41" customWidth="1"/>
    <col min="38" max="38" width="21" style="41" customWidth="1"/>
    <col min="39" max="39" width="17.85546875" style="41" customWidth="1"/>
    <col min="40" max="40" width="17.28515625" style="41" customWidth="1"/>
    <col min="41" max="41" width="16.28515625" style="41" customWidth="1"/>
    <col min="42" max="42" width="21" style="41" customWidth="1"/>
    <col min="43" max="43" width="18.85546875" style="41" customWidth="1"/>
    <col min="44" max="44" width="17.85546875" style="41" customWidth="1"/>
    <col min="45" max="45" width="17.42578125" style="41" customWidth="1"/>
    <col min="46" max="46" width="16.28515625" style="41" customWidth="1"/>
    <col min="47" max="47" width="27.28515625" style="41" customWidth="1"/>
    <col min="48" max="48" width="19.5703125" style="41" customWidth="1"/>
    <col min="49" max="49" width="24.85546875" style="41" customWidth="1"/>
    <col min="50" max="51" width="19.7109375" style="41" customWidth="1"/>
    <col min="52" max="53" width="17.7109375" style="41" customWidth="1"/>
    <col min="54" max="16384" width="9.140625" style="41"/>
  </cols>
  <sheetData>
    <row r="1" spans="1:53" s="40" customFormat="1" x14ac:dyDescent="0.25">
      <c r="A1" s="37"/>
      <c r="B1" s="37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7"/>
      <c r="AZ1" s="39"/>
      <c r="BA1" s="39"/>
    </row>
    <row r="2" spans="1:53" x14ac:dyDescent="0.25">
      <c r="A2" s="3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2"/>
      <c r="AZ2" s="2"/>
      <c r="BA2" s="2"/>
    </row>
    <row r="3" spans="1:53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2"/>
      <c r="AZ3" s="2"/>
      <c r="BA3" s="2"/>
    </row>
    <row r="4" spans="1:53" x14ac:dyDescent="0.25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2"/>
      <c r="AZ4" s="2"/>
      <c r="BA4" s="2"/>
    </row>
    <row r="5" spans="1:53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2"/>
      <c r="AZ5" s="2"/>
      <c r="BA5" s="2"/>
    </row>
    <row r="6" spans="1:53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2"/>
      <c r="AZ6" s="2"/>
      <c r="BA6" s="2"/>
    </row>
    <row r="7" spans="1:53" x14ac:dyDescent="0.25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2"/>
      <c r="AZ7" s="2"/>
      <c r="BA7" s="2"/>
    </row>
    <row r="8" spans="1:53" x14ac:dyDescent="0.25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2"/>
      <c r="AZ8" s="2"/>
      <c r="BA8" s="2"/>
    </row>
    <row r="9" spans="1:53" x14ac:dyDescent="0.25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2"/>
      <c r="AZ9" s="2"/>
      <c r="BA9" s="2"/>
    </row>
    <row r="10" spans="1:53" x14ac:dyDescent="0.25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2"/>
      <c r="AZ10" s="2"/>
      <c r="BA10" s="2"/>
    </row>
    <row r="11" spans="1:53" x14ac:dyDescent="0.25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2"/>
      <c r="AZ11" s="2"/>
      <c r="BA11" s="2"/>
    </row>
    <row r="12" spans="1:53" x14ac:dyDescent="0.25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2"/>
      <c r="AZ12" s="2"/>
      <c r="BA12" s="2"/>
    </row>
    <row r="13" spans="1:53" x14ac:dyDescent="0.2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2"/>
      <c r="AZ13" s="2"/>
      <c r="BA13" s="2"/>
    </row>
    <row r="14" spans="1:53" x14ac:dyDescent="0.25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2"/>
      <c r="AZ14" s="2"/>
      <c r="BA14" s="2"/>
    </row>
    <row r="15" spans="1:53" x14ac:dyDescent="0.2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2"/>
      <c r="AZ15" s="2"/>
      <c r="BA15" s="2"/>
    </row>
    <row r="16" spans="1:53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2"/>
      <c r="AZ16" s="2"/>
      <c r="BA16" s="2"/>
    </row>
    <row r="17" spans="3:53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2"/>
      <c r="AZ17" s="2"/>
      <c r="BA17" s="2"/>
    </row>
    <row r="18" spans="3:53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2"/>
      <c r="AZ18" s="2"/>
      <c r="BA18" s="2"/>
    </row>
    <row r="19" spans="3:53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2"/>
      <c r="AZ19" s="2"/>
      <c r="BA19" s="2"/>
    </row>
    <row r="20" spans="3:53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2"/>
      <c r="AZ20" s="2"/>
      <c r="BA20" s="2"/>
    </row>
    <row r="21" spans="3:53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2"/>
      <c r="AZ21" s="2"/>
      <c r="BA21" s="2"/>
    </row>
    <row r="22" spans="3:53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2"/>
      <c r="AZ22" s="2"/>
      <c r="BA22" s="2"/>
    </row>
    <row r="23" spans="3:53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2"/>
      <c r="AZ23" s="2"/>
      <c r="BA23" s="2"/>
    </row>
    <row r="24" spans="3:53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2"/>
      <c r="AZ24" s="2"/>
      <c r="BA24" s="2"/>
    </row>
    <row r="25" spans="3:53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2"/>
      <c r="AZ25" s="2"/>
      <c r="BA25" s="2"/>
    </row>
    <row r="26" spans="3:53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2"/>
      <c r="AZ26" s="2"/>
      <c r="BA26" s="2"/>
    </row>
    <row r="27" spans="3:53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2"/>
      <c r="AZ27" s="2"/>
      <c r="BA27" s="2"/>
    </row>
    <row r="28" spans="3:53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2"/>
      <c r="AZ28" s="2"/>
      <c r="BA28" s="2"/>
    </row>
    <row r="29" spans="3:53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2"/>
      <c r="AZ29" s="2"/>
      <c r="BA29" s="2"/>
    </row>
    <row r="30" spans="3:53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2"/>
      <c r="AZ30" s="2"/>
      <c r="BA30" s="2"/>
    </row>
    <row r="31" spans="3:53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2"/>
      <c r="AZ31" s="2"/>
      <c r="BA31" s="2"/>
    </row>
    <row r="32" spans="3:53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2"/>
      <c r="AZ32" s="2"/>
      <c r="BA32" s="2"/>
    </row>
    <row r="33" spans="3:53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2"/>
      <c r="AZ33" s="2"/>
      <c r="BA33" s="2"/>
    </row>
    <row r="34" spans="3:53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2"/>
      <c r="AZ34" s="2"/>
      <c r="BA34" s="2"/>
    </row>
    <row r="35" spans="3:53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2"/>
      <c r="AZ35" s="2"/>
      <c r="BA35" s="2"/>
    </row>
    <row r="36" spans="3:53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2"/>
      <c r="AZ36" s="2"/>
      <c r="BA36" s="2"/>
    </row>
    <row r="37" spans="3:53" x14ac:dyDescent="0.25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2"/>
      <c r="AZ37" s="2"/>
      <c r="BA37" s="2"/>
    </row>
    <row r="38" spans="3:53" x14ac:dyDescent="0.25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2"/>
      <c r="AZ38" s="2"/>
      <c r="BA38" s="2"/>
    </row>
    <row r="39" spans="3:53" x14ac:dyDescent="0.25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2"/>
      <c r="AZ39" s="2"/>
      <c r="BA39" s="2"/>
    </row>
    <row r="40" spans="3:53" x14ac:dyDescent="0.25"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2"/>
      <c r="AZ40" s="2"/>
      <c r="BA40" s="2"/>
    </row>
    <row r="41" spans="3:53" x14ac:dyDescent="0.25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2"/>
      <c r="AZ41" s="2"/>
      <c r="BA41" s="2"/>
    </row>
    <row r="42" spans="3:53" x14ac:dyDescent="0.2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2"/>
      <c r="AZ42" s="2"/>
      <c r="BA42" s="2"/>
    </row>
    <row r="43" spans="3:53" x14ac:dyDescent="0.2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2"/>
      <c r="AZ43" s="2"/>
      <c r="BA43" s="2"/>
    </row>
    <row r="44" spans="3:53" x14ac:dyDescent="0.2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2"/>
      <c r="AZ44" s="2"/>
      <c r="BA44" s="2"/>
    </row>
    <row r="45" spans="3:53" x14ac:dyDescent="0.2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2"/>
      <c r="AZ45" s="2"/>
      <c r="BA45" s="2"/>
    </row>
    <row r="46" spans="3:53" x14ac:dyDescent="0.25"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2"/>
      <c r="AZ46" s="2"/>
      <c r="BA46" s="2"/>
    </row>
    <row r="47" spans="3:53" x14ac:dyDescent="0.25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2"/>
      <c r="AZ47" s="2"/>
      <c r="BA47" s="2"/>
    </row>
    <row r="48" spans="3:53" x14ac:dyDescent="0.25"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2"/>
      <c r="AZ48" s="2"/>
      <c r="BA48" s="2"/>
    </row>
    <row r="49" spans="3:53" x14ac:dyDescent="0.25"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2"/>
      <c r="AZ49" s="2"/>
      <c r="BA49" s="2"/>
    </row>
    <row r="50" spans="3:53" x14ac:dyDescent="0.25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2"/>
      <c r="AZ50" s="2"/>
      <c r="BA50" s="2"/>
    </row>
    <row r="51" spans="3:53" x14ac:dyDescent="0.25"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2"/>
      <c r="AZ51" s="2"/>
      <c r="BA51" s="2"/>
    </row>
    <row r="52" spans="3:53" x14ac:dyDescent="0.25"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2"/>
      <c r="AZ52" s="2"/>
      <c r="BA52" s="2"/>
    </row>
    <row r="53" spans="3:53" x14ac:dyDescent="0.2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2"/>
      <c r="AZ53" s="2"/>
      <c r="BA53" s="2"/>
    </row>
    <row r="54" spans="3:53" x14ac:dyDescent="0.25"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2"/>
      <c r="AZ54" s="2"/>
      <c r="BA54" s="2"/>
    </row>
    <row r="55" spans="3:53" x14ac:dyDescent="0.25"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2"/>
      <c r="AZ55" s="2"/>
      <c r="BA55" s="2"/>
    </row>
    <row r="56" spans="3:53" x14ac:dyDescent="0.25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2"/>
      <c r="AZ56" s="2"/>
      <c r="BA56" s="2"/>
    </row>
    <row r="57" spans="3:53" x14ac:dyDescent="0.2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2"/>
      <c r="AZ57" s="2"/>
      <c r="BA57" s="2"/>
    </row>
    <row r="58" spans="3:53" x14ac:dyDescent="0.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2"/>
      <c r="AZ58" s="2"/>
      <c r="BA58" s="2"/>
    </row>
    <row r="59" spans="3:53" x14ac:dyDescent="0.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2"/>
      <c r="AZ59" s="2"/>
      <c r="BA59" s="2"/>
    </row>
    <row r="60" spans="3:53" x14ac:dyDescent="0.25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2"/>
      <c r="AZ60" s="2"/>
      <c r="BA60" s="2"/>
    </row>
    <row r="61" spans="3:53" x14ac:dyDescent="0.2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2"/>
      <c r="AZ61" s="2"/>
      <c r="BA61" s="2"/>
    </row>
    <row r="62" spans="3:53" x14ac:dyDescent="0.2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2"/>
      <c r="AZ62" s="2"/>
      <c r="BA62" s="2"/>
    </row>
    <row r="63" spans="3:53" x14ac:dyDescent="0.25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2"/>
      <c r="AZ63" s="2"/>
      <c r="BA63" s="2"/>
    </row>
    <row r="64" spans="3:53" x14ac:dyDescent="0.25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2"/>
      <c r="AZ64" s="2"/>
      <c r="BA64" s="2"/>
    </row>
    <row r="65" spans="3:53" x14ac:dyDescent="0.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2"/>
      <c r="AZ65" s="2"/>
      <c r="BA65" s="2"/>
    </row>
    <row r="66" spans="3:53" x14ac:dyDescent="0.25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2"/>
      <c r="AZ66" s="2"/>
      <c r="BA66" s="2"/>
    </row>
    <row r="67" spans="3:53" x14ac:dyDescent="0.25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2"/>
      <c r="AZ67" s="2"/>
      <c r="BA67" s="2"/>
    </row>
    <row r="68" spans="3:53" x14ac:dyDescent="0.25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2"/>
      <c r="AZ68" s="2"/>
      <c r="BA68" s="2"/>
    </row>
    <row r="69" spans="3:53" x14ac:dyDescent="0.25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2"/>
      <c r="AZ69" s="2"/>
      <c r="BA69" s="2"/>
    </row>
    <row r="70" spans="3:53" x14ac:dyDescent="0.25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2"/>
      <c r="AZ70" s="2"/>
      <c r="BA70" s="2"/>
    </row>
    <row r="71" spans="3:53" x14ac:dyDescent="0.2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2"/>
      <c r="AZ71" s="2"/>
      <c r="BA71" s="2"/>
    </row>
    <row r="72" spans="3:53" x14ac:dyDescent="0.25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2"/>
      <c r="AZ72" s="2"/>
      <c r="BA72" s="2"/>
    </row>
    <row r="73" spans="3:53" x14ac:dyDescent="0.2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2"/>
      <c r="AZ73" s="2"/>
      <c r="BA73" s="2"/>
    </row>
    <row r="74" spans="3:53" x14ac:dyDescent="0.2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2"/>
      <c r="AZ74" s="2"/>
      <c r="BA74" s="2"/>
    </row>
    <row r="75" spans="3:53" x14ac:dyDescent="0.2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2"/>
      <c r="AZ75" s="2"/>
      <c r="BA75" s="2"/>
    </row>
    <row r="76" spans="3:53" x14ac:dyDescent="0.25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2"/>
      <c r="AZ76" s="2"/>
      <c r="BA76" s="2"/>
    </row>
    <row r="77" spans="3:53" x14ac:dyDescent="0.2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2"/>
      <c r="AZ77" s="2"/>
      <c r="BA77" s="2"/>
    </row>
    <row r="78" spans="3:53" x14ac:dyDescent="0.2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2"/>
      <c r="AZ78" s="2"/>
      <c r="BA78" s="2"/>
    </row>
    <row r="79" spans="3:53" x14ac:dyDescent="0.2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2"/>
      <c r="AZ79" s="2"/>
      <c r="BA79" s="2"/>
    </row>
    <row r="80" spans="3:53" x14ac:dyDescent="0.2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2"/>
      <c r="AZ80" s="2"/>
      <c r="BA80" s="2"/>
    </row>
    <row r="81" spans="3:53" x14ac:dyDescent="0.25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2"/>
      <c r="AZ81" s="2"/>
      <c r="BA81" s="2"/>
    </row>
    <row r="82" spans="3:53" x14ac:dyDescent="0.25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2"/>
      <c r="AZ82" s="2"/>
      <c r="BA82" s="2"/>
    </row>
    <row r="83" spans="3:53" x14ac:dyDescent="0.25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2"/>
      <c r="AZ83" s="2"/>
      <c r="BA83" s="2"/>
    </row>
    <row r="84" spans="3:53" x14ac:dyDescent="0.25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2"/>
      <c r="AZ84" s="2"/>
      <c r="BA84" s="2"/>
    </row>
    <row r="85" spans="3:53" x14ac:dyDescent="0.25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2"/>
      <c r="AZ85" s="2"/>
      <c r="BA85" s="2"/>
    </row>
    <row r="86" spans="3:53" x14ac:dyDescent="0.25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2"/>
      <c r="AZ86" s="2"/>
      <c r="BA86" s="2"/>
    </row>
    <row r="87" spans="3:53" x14ac:dyDescent="0.25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2"/>
      <c r="AZ87" s="2"/>
      <c r="BA87" s="2"/>
    </row>
    <row r="88" spans="3:53" x14ac:dyDescent="0.25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2"/>
      <c r="AZ88" s="2"/>
      <c r="BA88" s="2"/>
    </row>
    <row r="89" spans="3:53" x14ac:dyDescent="0.25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2"/>
      <c r="AZ89" s="2"/>
      <c r="BA89" s="2"/>
    </row>
    <row r="90" spans="3:53" x14ac:dyDescent="0.25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2"/>
      <c r="AZ90" s="2"/>
      <c r="BA90" s="2"/>
    </row>
    <row r="91" spans="3:53" x14ac:dyDescent="0.25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2"/>
      <c r="AZ91" s="2"/>
      <c r="BA91" s="2"/>
    </row>
    <row r="92" spans="3:53" x14ac:dyDescent="0.25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2"/>
      <c r="AZ92" s="2"/>
      <c r="BA92" s="2"/>
    </row>
    <row r="93" spans="3:53" x14ac:dyDescent="0.25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2"/>
      <c r="AZ93" s="2"/>
      <c r="BA93" s="2"/>
    </row>
    <row r="94" spans="3:53" x14ac:dyDescent="0.25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2"/>
      <c r="AZ94" s="2"/>
      <c r="BA94" s="2"/>
    </row>
    <row r="95" spans="3:53" x14ac:dyDescent="0.25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2"/>
      <c r="AZ95" s="2"/>
      <c r="BA95" s="2"/>
    </row>
    <row r="96" spans="3:53" x14ac:dyDescent="0.25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2"/>
      <c r="AZ96" s="2"/>
      <c r="BA96" s="2"/>
    </row>
    <row r="97" spans="3:53" x14ac:dyDescent="0.25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2"/>
      <c r="AZ97" s="2"/>
      <c r="BA97" s="2"/>
    </row>
    <row r="98" spans="3:53" x14ac:dyDescent="0.25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2"/>
      <c r="AZ98" s="2"/>
      <c r="BA98" s="2"/>
    </row>
    <row r="99" spans="3:53" x14ac:dyDescent="0.25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2"/>
      <c r="AZ99" s="2"/>
      <c r="BA99" s="2"/>
    </row>
    <row r="100" spans="3:53" x14ac:dyDescent="0.25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2"/>
      <c r="AZ100" s="2"/>
      <c r="BA100" s="2"/>
    </row>
    <row r="101" spans="3:53" x14ac:dyDescent="0.25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2"/>
      <c r="AZ101" s="2"/>
      <c r="BA101" s="2"/>
    </row>
    <row r="102" spans="3:53" x14ac:dyDescent="0.25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2"/>
      <c r="AZ102" s="2"/>
      <c r="BA102" s="2"/>
    </row>
    <row r="103" spans="3:53" x14ac:dyDescent="0.25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2"/>
      <c r="AZ103" s="2"/>
      <c r="BA103" s="2"/>
    </row>
    <row r="104" spans="3:53" x14ac:dyDescent="0.25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2"/>
      <c r="AZ104" s="2"/>
      <c r="BA104" s="2"/>
    </row>
    <row r="105" spans="3:53" x14ac:dyDescent="0.25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2"/>
      <c r="AZ105" s="2"/>
      <c r="BA105" s="2"/>
    </row>
    <row r="106" spans="3:53" x14ac:dyDescent="0.25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2"/>
      <c r="AZ106" s="2"/>
      <c r="BA106" s="2"/>
    </row>
    <row r="107" spans="3:53" x14ac:dyDescent="0.25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2"/>
      <c r="AZ107" s="2"/>
      <c r="BA107" s="2"/>
    </row>
    <row r="108" spans="3:53" x14ac:dyDescent="0.25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2"/>
      <c r="AZ108" s="2"/>
      <c r="BA108" s="2"/>
    </row>
    <row r="109" spans="3:53" x14ac:dyDescent="0.25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2"/>
      <c r="AZ109" s="2"/>
      <c r="BA109" s="2"/>
    </row>
    <row r="110" spans="3:53" x14ac:dyDescent="0.25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2"/>
      <c r="AZ110" s="2"/>
      <c r="BA110" s="2"/>
    </row>
    <row r="111" spans="3:53" x14ac:dyDescent="0.25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2"/>
      <c r="AZ111" s="2"/>
      <c r="BA111" s="2"/>
    </row>
    <row r="112" spans="3:53" x14ac:dyDescent="0.25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2"/>
      <c r="AZ112" s="2"/>
      <c r="BA112" s="2"/>
    </row>
    <row r="113" spans="3:53" x14ac:dyDescent="0.25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2"/>
      <c r="AZ113" s="2"/>
      <c r="BA113" s="2"/>
    </row>
    <row r="114" spans="3:53" x14ac:dyDescent="0.25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2"/>
      <c r="AZ114" s="2"/>
      <c r="BA114" s="2"/>
    </row>
    <row r="115" spans="3:53" x14ac:dyDescent="0.25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2"/>
      <c r="AZ115" s="2"/>
      <c r="BA115" s="2"/>
    </row>
    <row r="116" spans="3:53" x14ac:dyDescent="0.25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2"/>
      <c r="AZ116" s="2"/>
      <c r="BA116" s="2"/>
    </row>
    <row r="117" spans="3:53" x14ac:dyDescent="0.25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2"/>
      <c r="AZ117" s="2"/>
      <c r="BA117" s="2"/>
    </row>
    <row r="118" spans="3:53" x14ac:dyDescent="0.25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2"/>
      <c r="AZ118" s="2"/>
      <c r="BA118" s="2"/>
    </row>
    <row r="119" spans="3:53" x14ac:dyDescent="0.25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2"/>
      <c r="AZ119" s="2"/>
      <c r="BA119" s="2"/>
    </row>
    <row r="120" spans="3:53" x14ac:dyDescent="0.25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2"/>
      <c r="AZ120" s="2"/>
      <c r="BA120" s="2"/>
    </row>
    <row r="121" spans="3:53" x14ac:dyDescent="0.25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2"/>
      <c r="AZ121" s="2"/>
      <c r="BA121" s="2"/>
    </row>
    <row r="122" spans="3:53" x14ac:dyDescent="0.25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2"/>
      <c r="AZ122" s="2"/>
      <c r="BA122" s="2"/>
    </row>
    <row r="123" spans="3:53" x14ac:dyDescent="0.25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2"/>
      <c r="AZ123" s="2"/>
      <c r="BA123" s="2"/>
    </row>
    <row r="124" spans="3:53" x14ac:dyDescent="0.25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2"/>
      <c r="AZ124" s="2"/>
      <c r="BA124" s="2"/>
    </row>
    <row r="125" spans="3:53" x14ac:dyDescent="0.25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2"/>
      <c r="AZ125" s="2"/>
      <c r="BA125" s="2"/>
    </row>
    <row r="126" spans="3:53" x14ac:dyDescent="0.25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2"/>
      <c r="AZ126" s="2"/>
      <c r="BA126" s="2"/>
    </row>
    <row r="127" spans="3:53" x14ac:dyDescent="0.25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2"/>
      <c r="AZ127" s="2"/>
      <c r="BA127" s="2"/>
    </row>
    <row r="128" spans="3:53" x14ac:dyDescent="0.25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2"/>
      <c r="AZ128" s="2"/>
      <c r="BA128" s="2"/>
    </row>
    <row r="129" spans="3:53" x14ac:dyDescent="0.2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2"/>
      <c r="AZ129" s="2"/>
      <c r="BA129" s="2"/>
    </row>
    <row r="130" spans="3:53" x14ac:dyDescent="0.2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2"/>
      <c r="AZ130" s="2"/>
      <c r="BA130" s="2"/>
    </row>
    <row r="131" spans="3:53" x14ac:dyDescent="0.2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2"/>
      <c r="AZ131" s="2"/>
      <c r="BA131" s="2"/>
    </row>
    <row r="132" spans="3:53" x14ac:dyDescent="0.2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2"/>
      <c r="AZ132" s="2"/>
      <c r="BA132" s="2"/>
    </row>
    <row r="133" spans="3:53" x14ac:dyDescent="0.2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2"/>
      <c r="AZ133" s="2"/>
      <c r="BA133" s="2"/>
    </row>
    <row r="134" spans="3:53" x14ac:dyDescent="0.2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2"/>
      <c r="AZ134" s="2"/>
      <c r="BA134" s="2"/>
    </row>
    <row r="135" spans="3:53" x14ac:dyDescent="0.2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2"/>
      <c r="AZ135" s="2"/>
      <c r="BA135" s="2"/>
    </row>
    <row r="136" spans="3:53" x14ac:dyDescent="0.2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2"/>
      <c r="AZ136" s="2"/>
      <c r="BA136" s="2"/>
    </row>
    <row r="137" spans="3:53" x14ac:dyDescent="0.2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2"/>
      <c r="AZ137" s="2"/>
      <c r="BA137" s="2"/>
    </row>
    <row r="138" spans="3:53" x14ac:dyDescent="0.2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2"/>
      <c r="AZ138" s="2"/>
      <c r="BA138" s="2"/>
    </row>
    <row r="139" spans="3:53" x14ac:dyDescent="0.2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2"/>
      <c r="AZ139" s="2"/>
      <c r="BA139" s="2"/>
    </row>
    <row r="140" spans="3:53" x14ac:dyDescent="0.2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2"/>
      <c r="AZ140" s="2"/>
      <c r="BA140" s="2"/>
    </row>
    <row r="141" spans="3:53" x14ac:dyDescent="0.2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2"/>
      <c r="AZ141" s="2"/>
      <c r="BA141" s="2"/>
    </row>
    <row r="142" spans="3:53" x14ac:dyDescent="0.2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2"/>
      <c r="AZ142" s="2"/>
      <c r="BA142" s="2"/>
    </row>
    <row r="143" spans="3:53" x14ac:dyDescent="0.2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2"/>
      <c r="AZ143" s="2"/>
      <c r="BA143" s="2"/>
    </row>
    <row r="144" spans="3:53" x14ac:dyDescent="0.2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2"/>
      <c r="AZ144" s="2"/>
      <c r="BA144" s="2"/>
    </row>
    <row r="145" spans="1:53" x14ac:dyDescent="0.25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2"/>
      <c r="AZ145" s="2"/>
      <c r="BA145" s="2"/>
    </row>
    <row r="146" spans="1:53" x14ac:dyDescent="0.25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2"/>
      <c r="AZ146" s="2"/>
      <c r="BA146" s="2"/>
    </row>
    <row r="147" spans="1:53" x14ac:dyDescent="0.25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2"/>
      <c r="AZ147" s="2"/>
      <c r="BA147" s="2"/>
    </row>
    <row r="148" spans="1:53" x14ac:dyDescent="0.25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2"/>
      <c r="AZ148" s="2"/>
      <c r="BA148" s="2"/>
    </row>
    <row r="149" spans="1:53" x14ac:dyDescent="0.25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2"/>
      <c r="AZ149" s="2"/>
      <c r="BA149" s="2"/>
    </row>
    <row r="150" spans="1:53" x14ac:dyDescent="0.25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2"/>
      <c r="AZ150" s="2"/>
      <c r="BA150" s="2"/>
    </row>
    <row r="151" spans="1:53" x14ac:dyDescent="0.25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2"/>
      <c r="AZ151" s="2"/>
      <c r="BA151" s="2"/>
    </row>
    <row r="152" spans="1:53" x14ac:dyDescent="0.25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2"/>
      <c r="AZ152" s="2"/>
      <c r="BA152" s="2"/>
    </row>
    <row r="153" spans="1:53" x14ac:dyDescent="0.25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2"/>
      <c r="AZ153" s="2"/>
      <c r="BA153" s="2"/>
    </row>
    <row r="154" spans="1:53" x14ac:dyDescent="0.25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2"/>
      <c r="AZ154" s="2"/>
      <c r="BA154" s="2"/>
    </row>
    <row r="155" spans="1:53" x14ac:dyDescent="0.25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2"/>
      <c r="AZ155" s="2"/>
      <c r="BA155" s="2"/>
    </row>
    <row r="156" spans="1:53" x14ac:dyDescent="0.25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2"/>
      <c r="AZ156" s="2"/>
      <c r="BA156" s="2"/>
    </row>
    <row r="157" spans="1:53" x14ac:dyDescent="0.25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2"/>
      <c r="AZ157" s="2"/>
      <c r="BA157" s="2"/>
    </row>
    <row r="158" spans="1:53" x14ac:dyDescent="0.25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2"/>
      <c r="AZ158" s="2"/>
      <c r="BA158" s="2"/>
    </row>
    <row r="159" spans="1:53" x14ac:dyDescent="0.25">
      <c r="A159" s="3"/>
      <c r="B159" s="4"/>
      <c r="C159" s="3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2"/>
      <c r="AZ159" s="2"/>
      <c r="BA159" s="2"/>
    </row>
    <row r="160" spans="1:53" x14ac:dyDescent="0.25"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2"/>
      <c r="AZ160" s="2"/>
      <c r="BA160" s="2"/>
    </row>
    <row r="161" spans="3:53" x14ac:dyDescent="0.25"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2"/>
      <c r="AZ161" s="2"/>
      <c r="BA161" s="2"/>
    </row>
    <row r="162" spans="3:53" x14ac:dyDescent="0.25"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2"/>
      <c r="AZ162" s="2"/>
      <c r="BA162" s="2"/>
    </row>
    <row r="163" spans="3:53" x14ac:dyDescent="0.25"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2"/>
      <c r="AZ163" s="2"/>
      <c r="BA163" s="2"/>
    </row>
    <row r="164" spans="3:53" x14ac:dyDescent="0.25"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2"/>
      <c r="AZ164" s="2"/>
      <c r="BA164" s="2"/>
    </row>
    <row r="165" spans="3:53" x14ac:dyDescent="0.25"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2"/>
      <c r="AZ165" s="2"/>
      <c r="BA165" s="2"/>
    </row>
    <row r="166" spans="3:53" x14ac:dyDescent="0.25"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2"/>
      <c r="AZ166" s="2"/>
      <c r="BA166" s="2"/>
    </row>
    <row r="167" spans="3:53" x14ac:dyDescent="0.25"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2"/>
      <c r="AZ167" s="2"/>
      <c r="BA167" s="2"/>
    </row>
    <row r="168" spans="3:53" x14ac:dyDescent="0.25"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2"/>
      <c r="AZ168" s="2"/>
      <c r="BA168" s="2"/>
    </row>
    <row r="169" spans="3:53" x14ac:dyDescent="0.25"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2"/>
      <c r="AZ169" s="2"/>
      <c r="BA169" s="2"/>
    </row>
    <row r="170" spans="3:53" x14ac:dyDescent="0.25"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2"/>
      <c r="AZ170" s="2"/>
      <c r="BA170" s="2"/>
    </row>
    <row r="171" spans="3:53" x14ac:dyDescent="0.25"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2"/>
      <c r="AZ171" s="2"/>
      <c r="BA171" s="2"/>
    </row>
    <row r="172" spans="3:53" x14ac:dyDescent="0.25"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2"/>
      <c r="AZ172" s="2"/>
      <c r="BA172" s="2"/>
    </row>
    <row r="173" spans="3:53" x14ac:dyDescent="0.25"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2"/>
      <c r="AZ173" s="2"/>
      <c r="BA173" s="2"/>
    </row>
    <row r="174" spans="3:53" x14ac:dyDescent="0.25"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2"/>
      <c r="AZ174" s="2"/>
      <c r="BA174" s="2"/>
    </row>
    <row r="175" spans="3:53" x14ac:dyDescent="0.25"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2"/>
      <c r="AZ175" s="2"/>
      <c r="BA175" s="2"/>
    </row>
    <row r="176" spans="3:53" x14ac:dyDescent="0.25"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2"/>
      <c r="AZ176" s="2"/>
      <c r="BA176" s="2"/>
    </row>
    <row r="177" spans="3:53" x14ac:dyDescent="0.25"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2"/>
      <c r="AZ177" s="2"/>
      <c r="BA177" s="2"/>
    </row>
    <row r="178" spans="3:53" x14ac:dyDescent="0.25"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2"/>
      <c r="AZ178" s="2"/>
      <c r="BA178" s="2"/>
    </row>
    <row r="179" spans="3:53" x14ac:dyDescent="0.25"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2"/>
      <c r="AZ179" s="2"/>
      <c r="BA179" s="2"/>
    </row>
    <row r="180" spans="3:53" x14ac:dyDescent="0.25"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2"/>
      <c r="AZ180" s="2"/>
      <c r="BA180" s="2"/>
    </row>
    <row r="181" spans="3:53" x14ac:dyDescent="0.25"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2"/>
      <c r="AZ181" s="2"/>
      <c r="BA181" s="2"/>
    </row>
    <row r="182" spans="3:53" x14ac:dyDescent="0.25"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2"/>
      <c r="AZ182" s="2"/>
      <c r="BA182" s="2"/>
    </row>
    <row r="183" spans="3:53" x14ac:dyDescent="0.25"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2"/>
      <c r="AZ183" s="2"/>
      <c r="BA183" s="2"/>
    </row>
    <row r="184" spans="3:53" x14ac:dyDescent="0.25"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2"/>
      <c r="AZ184" s="2"/>
      <c r="BA184" s="2"/>
    </row>
    <row r="185" spans="3:53" x14ac:dyDescent="0.25"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2"/>
      <c r="AZ185" s="2"/>
      <c r="BA185" s="2"/>
    </row>
    <row r="186" spans="3:53" x14ac:dyDescent="0.25"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2"/>
      <c r="AZ186" s="2"/>
      <c r="BA186" s="2"/>
    </row>
    <row r="187" spans="3:53" x14ac:dyDescent="0.25"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2"/>
      <c r="AZ187" s="2"/>
      <c r="BA187" s="2"/>
    </row>
    <row r="188" spans="3:53" x14ac:dyDescent="0.25"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2"/>
      <c r="AZ188" s="2"/>
      <c r="BA188" s="2"/>
    </row>
    <row r="189" spans="3:53" x14ac:dyDescent="0.25"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2"/>
      <c r="AZ189" s="2"/>
      <c r="BA189" s="2"/>
    </row>
    <row r="190" spans="3:53" x14ac:dyDescent="0.25"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2"/>
      <c r="AZ190" s="2"/>
      <c r="BA190" s="2"/>
    </row>
    <row r="191" spans="3:53" x14ac:dyDescent="0.25"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2"/>
      <c r="AZ191" s="2"/>
      <c r="BA191" s="2"/>
    </row>
    <row r="192" spans="3:53" x14ac:dyDescent="0.25"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2"/>
      <c r="AZ192" s="2"/>
      <c r="BA192" s="2"/>
    </row>
    <row r="193" spans="3:53" x14ac:dyDescent="0.25"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2"/>
      <c r="AZ193" s="2"/>
      <c r="BA193" s="2"/>
    </row>
    <row r="194" spans="3:53" x14ac:dyDescent="0.25"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2"/>
      <c r="AZ194" s="2"/>
      <c r="BA194" s="2"/>
    </row>
    <row r="195" spans="3:53" x14ac:dyDescent="0.25"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2"/>
      <c r="AZ195" s="2"/>
      <c r="BA195" s="2"/>
    </row>
    <row r="196" spans="3:53" x14ac:dyDescent="0.25"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2"/>
      <c r="AZ196" s="2"/>
      <c r="BA196" s="2"/>
    </row>
    <row r="197" spans="3:53" x14ac:dyDescent="0.25"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2"/>
      <c r="AZ197" s="2"/>
      <c r="BA197" s="2"/>
    </row>
    <row r="198" spans="3:53" x14ac:dyDescent="0.25"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2"/>
      <c r="AZ198" s="2"/>
      <c r="BA198" s="2"/>
    </row>
    <row r="199" spans="3:53" x14ac:dyDescent="0.25"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2"/>
      <c r="AZ199" s="2"/>
      <c r="BA199" s="2"/>
    </row>
    <row r="200" spans="3:53" x14ac:dyDescent="0.25"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2"/>
      <c r="AZ200" s="2"/>
      <c r="BA200" s="2"/>
    </row>
    <row r="201" spans="3:53" x14ac:dyDescent="0.25"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2"/>
      <c r="AZ201" s="2"/>
      <c r="BA201" s="2"/>
    </row>
    <row r="202" spans="3:53" x14ac:dyDescent="0.25"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2"/>
      <c r="AZ202" s="2"/>
      <c r="BA202" s="2"/>
    </row>
    <row r="203" spans="3:53" x14ac:dyDescent="0.25"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2"/>
      <c r="AZ203" s="2"/>
      <c r="BA203" s="2"/>
    </row>
    <row r="204" spans="3:53" x14ac:dyDescent="0.25"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2"/>
      <c r="AZ204" s="2"/>
      <c r="BA204" s="2"/>
    </row>
    <row r="205" spans="3:53" x14ac:dyDescent="0.25"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2"/>
      <c r="AZ205" s="2"/>
      <c r="BA205" s="2"/>
    </row>
    <row r="206" spans="3:53" x14ac:dyDescent="0.25"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2"/>
      <c r="AZ206" s="2"/>
      <c r="BA206" s="2"/>
    </row>
    <row r="207" spans="3:53" x14ac:dyDescent="0.25"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2"/>
      <c r="AZ207" s="2"/>
      <c r="BA207" s="2"/>
    </row>
    <row r="208" spans="3:53" x14ac:dyDescent="0.25"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2"/>
      <c r="AZ208" s="2"/>
      <c r="BA208" s="2"/>
    </row>
    <row r="209" spans="3:53" x14ac:dyDescent="0.25"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2"/>
      <c r="AZ209" s="2"/>
      <c r="BA209" s="2"/>
    </row>
    <row r="210" spans="3:53" x14ac:dyDescent="0.25"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2"/>
      <c r="AZ210" s="2"/>
      <c r="BA210" s="2"/>
    </row>
    <row r="211" spans="3:53" x14ac:dyDescent="0.25"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2"/>
      <c r="AZ211" s="2"/>
      <c r="BA211" s="2"/>
    </row>
    <row r="212" spans="3:53" x14ac:dyDescent="0.25"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2"/>
      <c r="AZ212" s="2"/>
      <c r="BA212" s="2"/>
    </row>
    <row r="213" spans="3:53" x14ac:dyDescent="0.25"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2"/>
      <c r="AZ213" s="2"/>
      <c r="BA213" s="2"/>
    </row>
    <row r="214" spans="3:53" x14ac:dyDescent="0.25"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2"/>
      <c r="AZ214" s="2"/>
      <c r="BA214" s="2"/>
    </row>
    <row r="215" spans="3:53" x14ac:dyDescent="0.25"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2"/>
      <c r="AZ215" s="2"/>
      <c r="BA215" s="2"/>
    </row>
    <row r="216" spans="3:53" x14ac:dyDescent="0.25"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2"/>
      <c r="AZ216" s="2"/>
      <c r="BA216" s="2"/>
    </row>
    <row r="217" spans="3:53" x14ac:dyDescent="0.25"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2"/>
      <c r="AZ217" s="2"/>
      <c r="BA217" s="2"/>
    </row>
    <row r="218" spans="3:53" x14ac:dyDescent="0.25"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2"/>
      <c r="AZ218" s="2"/>
      <c r="BA218" s="2"/>
    </row>
    <row r="219" spans="3:53" x14ac:dyDescent="0.25"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2"/>
      <c r="AZ219" s="2"/>
      <c r="BA219" s="2"/>
    </row>
    <row r="220" spans="3:53" x14ac:dyDescent="0.25"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2"/>
      <c r="AZ220" s="2"/>
      <c r="BA220" s="2"/>
    </row>
    <row r="221" spans="3:53" x14ac:dyDescent="0.25"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2"/>
      <c r="AZ221" s="2"/>
      <c r="BA221" s="2"/>
    </row>
    <row r="222" spans="3:53" x14ac:dyDescent="0.25"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2"/>
      <c r="AZ222" s="2"/>
      <c r="BA222" s="2"/>
    </row>
    <row r="223" spans="3:53" x14ac:dyDescent="0.25"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2"/>
      <c r="AZ223" s="2"/>
      <c r="BA223" s="2"/>
    </row>
    <row r="224" spans="3:53" x14ac:dyDescent="0.25"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2"/>
      <c r="AZ224" s="2"/>
      <c r="BA224" s="2"/>
    </row>
    <row r="225" spans="3:53" x14ac:dyDescent="0.25"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2"/>
      <c r="AZ225" s="2"/>
      <c r="BA225" s="2"/>
    </row>
    <row r="226" spans="3:53" x14ac:dyDescent="0.25"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2"/>
      <c r="AZ226" s="2"/>
      <c r="BA226" s="2"/>
    </row>
    <row r="227" spans="3:53" x14ac:dyDescent="0.25"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2"/>
      <c r="AZ227" s="2"/>
      <c r="BA227" s="2"/>
    </row>
    <row r="228" spans="3:53" x14ac:dyDescent="0.25"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2"/>
      <c r="AZ228" s="2"/>
      <c r="BA228" s="2"/>
    </row>
    <row r="229" spans="3:53" x14ac:dyDescent="0.25"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2"/>
      <c r="AZ229" s="2"/>
      <c r="BA229" s="2"/>
    </row>
    <row r="230" spans="3:53" x14ac:dyDescent="0.25"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2"/>
      <c r="AZ230" s="2"/>
      <c r="BA230" s="2"/>
    </row>
    <row r="231" spans="3:53" x14ac:dyDescent="0.25"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2"/>
      <c r="AZ231" s="2"/>
      <c r="BA231" s="2"/>
    </row>
    <row r="232" spans="3:53" x14ac:dyDescent="0.25"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2"/>
      <c r="AZ232" s="2"/>
      <c r="BA232" s="2"/>
    </row>
    <row r="233" spans="3:53" x14ac:dyDescent="0.25"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2"/>
      <c r="AZ233" s="2"/>
      <c r="BA233" s="2"/>
    </row>
    <row r="234" spans="3:53" x14ac:dyDescent="0.25"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2"/>
      <c r="AZ234" s="2"/>
      <c r="BA234" s="2"/>
    </row>
    <row r="235" spans="3:53" x14ac:dyDescent="0.25"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2"/>
      <c r="AZ235" s="2"/>
      <c r="BA235" s="2"/>
    </row>
    <row r="236" spans="3:53" x14ac:dyDescent="0.25"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2"/>
      <c r="AZ236" s="2"/>
      <c r="BA236" s="2"/>
    </row>
    <row r="237" spans="3:53" x14ac:dyDescent="0.25"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2"/>
      <c r="AZ237" s="2"/>
      <c r="BA237" s="2"/>
    </row>
    <row r="238" spans="3:53" x14ac:dyDescent="0.25"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2"/>
      <c r="AZ238" s="2"/>
      <c r="BA238" s="2"/>
    </row>
    <row r="239" spans="3:53" x14ac:dyDescent="0.25"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2"/>
      <c r="AZ239" s="2"/>
      <c r="BA239" s="2"/>
    </row>
    <row r="240" spans="3:53" x14ac:dyDescent="0.25"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2"/>
      <c r="AZ240" s="2"/>
      <c r="BA240" s="2"/>
    </row>
    <row r="241" spans="3:53" x14ac:dyDescent="0.25"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2"/>
      <c r="AZ241" s="2"/>
      <c r="BA241" s="2"/>
    </row>
    <row r="242" spans="3:53" x14ac:dyDescent="0.25"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2"/>
      <c r="AZ242" s="2"/>
      <c r="BA242" s="2"/>
    </row>
    <row r="243" spans="3:53" x14ac:dyDescent="0.25"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2"/>
      <c r="AZ243" s="2"/>
      <c r="BA243" s="2"/>
    </row>
    <row r="244" spans="3:53" x14ac:dyDescent="0.25"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2"/>
      <c r="AZ244" s="2"/>
      <c r="BA244" s="2"/>
    </row>
    <row r="245" spans="3:53" x14ac:dyDescent="0.25"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2"/>
      <c r="AZ245" s="2"/>
      <c r="BA245" s="2"/>
    </row>
    <row r="246" spans="3:53" x14ac:dyDescent="0.25"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2"/>
      <c r="AZ246" s="2"/>
      <c r="BA246" s="2"/>
    </row>
    <row r="247" spans="3:53" x14ac:dyDescent="0.25"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2"/>
      <c r="AZ247" s="2"/>
      <c r="BA247" s="2"/>
    </row>
    <row r="248" spans="3:53" x14ac:dyDescent="0.25"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2"/>
      <c r="AZ248" s="2"/>
      <c r="BA248" s="2"/>
    </row>
    <row r="249" spans="3:53" x14ac:dyDescent="0.25"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2"/>
      <c r="AZ249" s="2"/>
      <c r="BA249" s="2"/>
    </row>
    <row r="250" spans="3:53" x14ac:dyDescent="0.25"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2"/>
      <c r="AZ250" s="2"/>
      <c r="BA250" s="2"/>
    </row>
    <row r="251" spans="3:53" x14ac:dyDescent="0.25"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2"/>
      <c r="AZ251" s="2"/>
      <c r="BA251" s="2"/>
    </row>
    <row r="252" spans="3:53" x14ac:dyDescent="0.25"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2"/>
      <c r="AZ252" s="2"/>
      <c r="BA252" s="2"/>
    </row>
    <row r="253" spans="3:53" x14ac:dyDescent="0.25"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2"/>
      <c r="AZ253" s="2"/>
      <c r="BA253" s="2"/>
    </row>
    <row r="254" spans="3:53" x14ac:dyDescent="0.25"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2"/>
      <c r="AZ254" s="2"/>
      <c r="BA254" s="2"/>
    </row>
    <row r="255" spans="3:53" x14ac:dyDescent="0.25"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2"/>
      <c r="AZ255" s="2"/>
      <c r="BA255" s="2"/>
    </row>
    <row r="256" spans="3:53" x14ac:dyDescent="0.25"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2"/>
      <c r="AZ256" s="2"/>
      <c r="BA256" s="2"/>
    </row>
    <row r="257" spans="3:53" x14ac:dyDescent="0.25"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2"/>
      <c r="AZ257" s="2"/>
      <c r="BA257" s="2"/>
    </row>
    <row r="258" spans="3:53" x14ac:dyDescent="0.25"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2"/>
      <c r="AZ258" s="2"/>
      <c r="BA258" s="2"/>
    </row>
    <row r="259" spans="3:53" x14ac:dyDescent="0.25"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2"/>
      <c r="AZ259" s="2"/>
      <c r="BA259" s="2"/>
    </row>
    <row r="260" spans="3:53" x14ac:dyDescent="0.25"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2"/>
      <c r="AZ260" s="2"/>
      <c r="BA260" s="2"/>
    </row>
    <row r="261" spans="3:53" x14ac:dyDescent="0.25"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2"/>
      <c r="AZ261" s="2"/>
      <c r="BA261" s="2"/>
    </row>
    <row r="262" spans="3:53" x14ac:dyDescent="0.25"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2"/>
      <c r="AZ262" s="2"/>
      <c r="BA262" s="2"/>
    </row>
    <row r="263" spans="3:53" x14ac:dyDescent="0.25"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2"/>
      <c r="AZ263" s="2"/>
      <c r="BA263" s="2"/>
    </row>
    <row r="264" spans="3:53" x14ac:dyDescent="0.25"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2"/>
      <c r="AZ264" s="2"/>
      <c r="BA264" s="2"/>
    </row>
    <row r="265" spans="3:53" x14ac:dyDescent="0.25"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2"/>
      <c r="AZ265" s="2"/>
      <c r="BA265" s="2"/>
    </row>
    <row r="266" spans="3:53" x14ac:dyDescent="0.25"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2"/>
      <c r="AZ266" s="2"/>
      <c r="BA266" s="2"/>
    </row>
    <row r="267" spans="3:53" x14ac:dyDescent="0.25"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2"/>
      <c r="AZ267" s="2"/>
      <c r="BA267" s="2"/>
    </row>
    <row r="268" spans="3:53" x14ac:dyDescent="0.25"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2"/>
      <c r="AZ268" s="2"/>
      <c r="BA268" s="2"/>
    </row>
    <row r="269" spans="3:53" x14ac:dyDescent="0.25"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2"/>
      <c r="AZ269" s="2"/>
      <c r="BA269" s="2"/>
    </row>
    <row r="270" spans="3:53" x14ac:dyDescent="0.25"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2"/>
      <c r="AZ270" s="2"/>
      <c r="BA270" s="2"/>
    </row>
    <row r="271" spans="3:53" x14ac:dyDescent="0.25"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2"/>
      <c r="AZ271" s="2"/>
      <c r="BA271" s="2"/>
    </row>
    <row r="272" spans="3:53" x14ac:dyDescent="0.25"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2"/>
      <c r="AZ272" s="2"/>
      <c r="BA272" s="2"/>
    </row>
    <row r="273" spans="3:53" x14ac:dyDescent="0.25"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2"/>
      <c r="AZ273" s="2"/>
      <c r="BA273" s="2"/>
    </row>
    <row r="274" spans="3:53" x14ac:dyDescent="0.25"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2"/>
      <c r="AZ274" s="2"/>
      <c r="BA274" s="2"/>
    </row>
    <row r="275" spans="3:53" x14ac:dyDescent="0.25"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2"/>
      <c r="AZ275" s="2"/>
      <c r="BA275" s="2"/>
    </row>
    <row r="276" spans="3:53" x14ac:dyDescent="0.25"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2"/>
      <c r="AZ276" s="2"/>
      <c r="BA276" s="2"/>
    </row>
    <row r="277" spans="3:53" x14ac:dyDescent="0.25"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2"/>
      <c r="AZ277" s="2"/>
      <c r="BA277" s="2"/>
    </row>
    <row r="278" spans="3:53" x14ac:dyDescent="0.25"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2"/>
      <c r="AZ278" s="2"/>
      <c r="BA278" s="2"/>
    </row>
    <row r="279" spans="3:53" x14ac:dyDescent="0.25"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2"/>
      <c r="AZ279" s="2"/>
      <c r="BA279" s="2"/>
    </row>
    <row r="280" spans="3:53" x14ac:dyDescent="0.25"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2"/>
      <c r="AZ280" s="2"/>
      <c r="BA280" s="2"/>
    </row>
    <row r="281" spans="3:53" x14ac:dyDescent="0.25"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2"/>
      <c r="AZ281" s="2"/>
      <c r="BA281" s="2"/>
    </row>
    <row r="282" spans="3:53" x14ac:dyDescent="0.25"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2"/>
      <c r="AZ282" s="2"/>
      <c r="BA282" s="2"/>
    </row>
    <row r="283" spans="3:53" x14ac:dyDescent="0.25"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2"/>
      <c r="AZ283" s="2"/>
      <c r="BA283" s="2"/>
    </row>
    <row r="284" spans="3:53" x14ac:dyDescent="0.25"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2"/>
      <c r="AZ284" s="2"/>
      <c r="BA284" s="2"/>
    </row>
    <row r="285" spans="3:53" x14ac:dyDescent="0.25"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2"/>
      <c r="AZ285" s="2"/>
      <c r="BA285" s="2"/>
    </row>
    <row r="286" spans="3:53" x14ac:dyDescent="0.25"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2"/>
      <c r="AZ286" s="2"/>
      <c r="BA286" s="2"/>
    </row>
    <row r="287" spans="3:53" x14ac:dyDescent="0.25"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2"/>
      <c r="AZ287" s="2"/>
      <c r="BA287" s="2"/>
    </row>
    <row r="288" spans="3:53" x14ac:dyDescent="0.25"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2"/>
      <c r="AZ288" s="2"/>
      <c r="BA288" s="2"/>
    </row>
    <row r="289" spans="3:53" x14ac:dyDescent="0.25"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2"/>
      <c r="AZ289" s="2"/>
      <c r="BA289" s="2"/>
    </row>
    <row r="290" spans="3:53" x14ac:dyDescent="0.25"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2"/>
      <c r="AZ290" s="2"/>
      <c r="BA290" s="2"/>
    </row>
    <row r="291" spans="3:53" x14ac:dyDescent="0.25"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2"/>
      <c r="AZ291" s="2"/>
      <c r="BA291" s="2"/>
    </row>
    <row r="292" spans="3:53" x14ac:dyDescent="0.25"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2"/>
      <c r="AZ292" s="2"/>
      <c r="BA292" s="2"/>
    </row>
    <row r="293" spans="3:53" x14ac:dyDescent="0.25"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2"/>
      <c r="AZ293" s="2"/>
      <c r="BA293" s="2"/>
    </row>
    <row r="294" spans="3:53" x14ac:dyDescent="0.25"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2"/>
      <c r="AZ294" s="2"/>
      <c r="BA294" s="2"/>
    </row>
    <row r="295" spans="3:53" x14ac:dyDescent="0.25"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2"/>
      <c r="AZ295" s="2"/>
      <c r="BA295" s="2"/>
    </row>
    <row r="296" spans="3:53" x14ac:dyDescent="0.25"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2"/>
      <c r="AZ296" s="2"/>
      <c r="BA296" s="2"/>
    </row>
    <row r="297" spans="3:53" x14ac:dyDescent="0.25"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2"/>
      <c r="AZ297" s="2"/>
      <c r="BA297" s="2"/>
    </row>
    <row r="298" spans="3:53" x14ac:dyDescent="0.25"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2"/>
      <c r="AZ298" s="2"/>
      <c r="BA298" s="2"/>
    </row>
    <row r="299" spans="3:53" x14ac:dyDescent="0.25"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2"/>
      <c r="AZ299" s="2"/>
      <c r="BA299" s="2"/>
    </row>
    <row r="300" spans="3:53" x14ac:dyDescent="0.25"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2"/>
      <c r="AZ300" s="2"/>
      <c r="BA300" s="2"/>
    </row>
    <row r="301" spans="3:53" x14ac:dyDescent="0.25"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2"/>
      <c r="AZ301" s="2"/>
      <c r="BA301" s="2"/>
    </row>
    <row r="302" spans="3:53" x14ac:dyDescent="0.25"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2"/>
      <c r="AZ302" s="2"/>
      <c r="BA302" s="2"/>
    </row>
    <row r="303" spans="3:53" x14ac:dyDescent="0.25"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2"/>
      <c r="AZ303" s="2"/>
      <c r="BA303" s="2"/>
    </row>
    <row r="304" spans="3:53" x14ac:dyDescent="0.25"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2"/>
      <c r="AZ304" s="2"/>
      <c r="BA304" s="2"/>
    </row>
    <row r="305" spans="3:53" x14ac:dyDescent="0.25"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2"/>
      <c r="AZ305" s="2"/>
      <c r="BA305" s="2"/>
    </row>
    <row r="306" spans="3:53" x14ac:dyDescent="0.25"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2"/>
      <c r="AZ306" s="2"/>
      <c r="BA306" s="2"/>
    </row>
    <row r="307" spans="3:53" x14ac:dyDescent="0.25"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2"/>
      <c r="AZ307" s="2"/>
      <c r="BA307" s="2"/>
    </row>
    <row r="308" spans="3:53" x14ac:dyDescent="0.25"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2"/>
      <c r="AZ308" s="2"/>
      <c r="BA308" s="2"/>
    </row>
    <row r="309" spans="3:53" x14ac:dyDescent="0.25"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2"/>
      <c r="AZ309" s="2"/>
      <c r="BA309" s="2"/>
    </row>
    <row r="310" spans="3:53" x14ac:dyDescent="0.25"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2"/>
      <c r="AZ310" s="2"/>
      <c r="BA310" s="2"/>
    </row>
    <row r="311" spans="3:53" x14ac:dyDescent="0.25"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2"/>
      <c r="AZ311" s="2"/>
      <c r="BA311" s="2"/>
    </row>
    <row r="312" spans="3:53" x14ac:dyDescent="0.25"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2"/>
      <c r="AZ312" s="2"/>
      <c r="BA312" s="2"/>
    </row>
    <row r="313" spans="3:53" x14ac:dyDescent="0.25"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2"/>
      <c r="AZ313" s="2"/>
      <c r="BA313" s="2"/>
    </row>
    <row r="314" spans="3:53" x14ac:dyDescent="0.25"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2"/>
      <c r="AZ314" s="2"/>
      <c r="BA314" s="2"/>
    </row>
    <row r="315" spans="3:53" x14ac:dyDescent="0.25"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2"/>
      <c r="AZ315" s="2"/>
      <c r="BA315" s="2"/>
    </row>
    <row r="316" spans="3:53" x14ac:dyDescent="0.25"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2"/>
      <c r="AZ316" s="2"/>
      <c r="BA316" s="2"/>
    </row>
    <row r="317" spans="3:53" x14ac:dyDescent="0.25"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2"/>
      <c r="AZ317" s="2"/>
      <c r="BA317" s="2"/>
    </row>
    <row r="318" spans="3:53" x14ac:dyDescent="0.25"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2"/>
      <c r="AZ318" s="2"/>
      <c r="BA318" s="2"/>
    </row>
    <row r="319" spans="3:53" x14ac:dyDescent="0.25"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2"/>
      <c r="AZ319" s="2"/>
      <c r="BA319" s="2"/>
    </row>
    <row r="320" spans="3:53" x14ac:dyDescent="0.25"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2"/>
      <c r="AZ320" s="2"/>
      <c r="BA320" s="2"/>
    </row>
    <row r="321" spans="3:53" x14ac:dyDescent="0.25"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2"/>
      <c r="AZ321" s="2"/>
      <c r="BA321" s="2"/>
    </row>
    <row r="322" spans="3:53" x14ac:dyDescent="0.25"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2"/>
      <c r="AZ322" s="2"/>
      <c r="BA322" s="2"/>
    </row>
    <row r="323" spans="3:53" x14ac:dyDescent="0.25"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2"/>
      <c r="AZ323" s="2"/>
      <c r="BA323" s="2"/>
    </row>
    <row r="324" spans="3:53" x14ac:dyDescent="0.25"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2"/>
      <c r="AZ324" s="2"/>
      <c r="BA324" s="2"/>
    </row>
    <row r="325" spans="3:53" x14ac:dyDescent="0.25"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2"/>
      <c r="AZ325" s="2"/>
      <c r="BA325" s="2"/>
    </row>
    <row r="326" spans="3:53" x14ac:dyDescent="0.25"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2"/>
      <c r="AZ326" s="2"/>
      <c r="BA326" s="2"/>
    </row>
    <row r="327" spans="3:53" x14ac:dyDescent="0.25"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2"/>
      <c r="AZ327" s="2"/>
      <c r="BA327" s="2"/>
    </row>
    <row r="328" spans="3:53" x14ac:dyDescent="0.25"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2"/>
      <c r="AZ328" s="2"/>
      <c r="BA328" s="2"/>
    </row>
    <row r="329" spans="3:53" x14ac:dyDescent="0.25"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2"/>
      <c r="AZ329" s="2"/>
      <c r="BA329" s="2"/>
    </row>
    <row r="330" spans="3:53" x14ac:dyDescent="0.25"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2"/>
      <c r="AZ330" s="2"/>
      <c r="BA330" s="2"/>
    </row>
    <row r="331" spans="3:53" x14ac:dyDescent="0.25"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2"/>
      <c r="AZ331" s="2"/>
      <c r="BA331" s="2"/>
    </row>
    <row r="332" spans="3:53" x14ac:dyDescent="0.25"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2"/>
      <c r="AZ332" s="2"/>
      <c r="BA332" s="2"/>
    </row>
    <row r="333" spans="3:53" x14ac:dyDescent="0.25"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2"/>
      <c r="AZ333" s="2"/>
      <c r="BA333" s="2"/>
    </row>
    <row r="334" spans="3:53" x14ac:dyDescent="0.25"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2"/>
      <c r="AZ334" s="2"/>
      <c r="BA334" s="2"/>
    </row>
    <row r="335" spans="3:53" x14ac:dyDescent="0.25"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2"/>
      <c r="AZ335" s="2"/>
      <c r="BA335" s="2"/>
    </row>
    <row r="336" spans="3:53" x14ac:dyDescent="0.25"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2"/>
      <c r="AZ336" s="2"/>
      <c r="BA336" s="2"/>
    </row>
    <row r="337" spans="3:53" x14ac:dyDescent="0.25"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2"/>
      <c r="AZ337" s="2"/>
      <c r="BA337" s="2"/>
    </row>
    <row r="338" spans="3:53" x14ac:dyDescent="0.25"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2"/>
      <c r="AZ338" s="2"/>
      <c r="BA338" s="2"/>
    </row>
    <row r="339" spans="3:53" x14ac:dyDescent="0.25"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2"/>
      <c r="AZ339" s="2"/>
      <c r="BA339" s="2"/>
    </row>
    <row r="340" spans="3:53" x14ac:dyDescent="0.25"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2"/>
      <c r="AZ340" s="2"/>
      <c r="BA340" s="2"/>
    </row>
    <row r="341" spans="3:53" x14ac:dyDescent="0.25"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2"/>
      <c r="AZ341" s="2"/>
      <c r="BA341" s="2"/>
    </row>
    <row r="342" spans="3:53" x14ac:dyDescent="0.25"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2"/>
      <c r="AZ342" s="2"/>
    </row>
    <row r="343" spans="3:53" x14ac:dyDescent="0.25"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2"/>
      <c r="AZ343" s="2"/>
    </row>
    <row r="344" spans="3:53" x14ac:dyDescent="0.25"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2"/>
      <c r="AZ344" s="2"/>
    </row>
    <row r="345" spans="3:53" x14ac:dyDescent="0.25"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2"/>
      <c r="AZ345" s="2"/>
    </row>
    <row r="346" spans="3:53" x14ac:dyDescent="0.25"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2"/>
      <c r="AZ346" s="2"/>
    </row>
    <row r="347" spans="3:53" x14ac:dyDescent="0.25"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2"/>
      <c r="AZ347" s="2"/>
    </row>
    <row r="348" spans="3:53" x14ac:dyDescent="0.25"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2"/>
      <c r="AZ348" s="2"/>
    </row>
    <row r="349" spans="3:53" x14ac:dyDescent="0.25"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2"/>
      <c r="AZ349" s="2"/>
    </row>
    <row r="350" spans="3:53" x14ac:dyDescent="0.25"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2"/>
      <c r="AZ350" s="2"/>
    </row>
    <row r="351" spans="3:53" x14ac:dyDescent="0.25"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2"/>
      <c r="AZ351" s="2"/>
    </row>
    <row r="352" spans="3:53" x14ac:dyDescent="0.25"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2"/>
      <c r="AZ352" s="2"/>
    </row>
    <row r="353" spans="3:52" x14ac:dyDescent="0.25"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2"/>
      <c r="AZ353" s="2"/>
    </row>
    <row r="354" spans="3:52" x14ac:dyDescent="0.25"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2"/>
      <c r="AZ354" s="2"/>
    </row>
    <row r="355" spans="3:52" x14ac:dyDescent="0.25"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2"/>
      <c r="AZ355" s="2"/>
    </row>
    <row r="356" spans="3:52" x14ac:dyDescent="0.25"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2"/>
      <c r="AZ356" s="2"/>
    </row>
    <row r="357" spans="3:52" x14ac:dyDescent="0.25"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2"/>
      <c r="AZ357" s="2"/>
    </row>
    <row r="358" spans="3:52" x14ac:dyDescent="0.25"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2"/>
      <c r="AZ358" s="2"/>
    </row>
    <row r="359" spans="3:52" x14ac:dyDescent="0.25"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2"/>
      <c r="AZ359" s="2"/>
    </row>
    <row r="360" spans="3:52" x14ac:dyDescent="0.25"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2"/>
      <c r="AZ360" s="2"/>
    </row>
    <row r="361" spans="3:52" x14ac:dyDescent="0.25"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2"/>
      <c r="AZ361" s="2"/>
    </row>
    <row r="362" spans="3:52" x14ac:dyDescent="0.25"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2"/>
      <c r="AZ362" s="2"/>
    </row>
    <row r="363" spans="3:52" x14ac:dyDescent="0.25"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2"/>
      <c r="AZ363" s="2"/>
    </row>
    <row r="364" spans="3:52" x14ac:dyDescent="0.25"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2"/>
      <c r="AZ364" s="2"/>
    </row>
    <row r="365" spans="3:52" x14ac:dyDescent="0.25"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2"/>
      <c r="AZ365" s="2"/>
    </row>
    <row r="366" spans="3:52" x14ac:dyDescent="0.25"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2"/>
      <c r="AZ366" s="2"/>
    </row>
    <row r="367" spans="3:52" x14ac:dyDescent="0.25"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2"/>
      <c r="AZ367" s="2"/>
    </row>
    <row r="368" spans="3:52" x14ac:dyDescent="0.25"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2"/>
      <c r="AZ368" s="2"/>
    </row>
    <row r="369" spans="3:52" x14ac:dyDescent="0.25"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2"/>
      <c r="AZ369" s="2"/>
    </row>
    <row r="370" spans="3:52" x14ac:dyDescent="0.25"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2"/>
      <c r="AZ370" s="2"/>
    </row>
    <row r="371" spans="3:52" x14ac:dyDescent="0.25"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2"/>
      <c r="AZ371" s="2"/>
    </row>
    <row r="372" spans="3:52" x14ac:dyDescent="0.25"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2"/>
      <c r="AZ372" s="2"/>
    </row>
    <row r="373" spans="3:52" x14ac:dyDescent="0.25"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2"/>
      <c r="AZ373" s="2"/>
    </row>
    <row r="374" spans="3:52" x14ac:dyDescent="0.25"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2"/>
      <c r="AZ374" s="2"/>
    </row>
    <row r="375" spans="3:52" x14ac:dyDescent="0.25"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2"/>
      <c r="AZ375" s="2"/>
    </row>
    <row r="376" spans="3:52" x14ac:dyDescent="0.25"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2"/>
      <c r="AZ376" s="2"/>
    </row>
    <row r="377" spans="3:52" x14ac:dyDescent="0.25"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2"/>
      <c r="AZ377" s="2"/>
    </row>
    <row r="378" spans="3:52" x14ac:dyDescent="0.25"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2"/>
      <c r="AZ378" s="2"/>
    </row>
    <row r="379" spans="3:52" x14ac:dyDescent="0.25"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2"/>
      <c r="AZ379" s="2"/>
    </row>
    <row r="380" spans="3:52" x14ac:dyDescent="0.25"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2"/>
      <c r="AZ380" s="2"/>
    </row>
    <row r="381" spans="3:52" x14ac:dyDescent="0.25"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2"/>
      <c r="AZ381" s="2"/>
    </row>
    <row r="382" spans="3:52" x14ac:dyDescent="0.25"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2"/>
      <c r="AZ382" s="2"/>
    </row>
    <row r="383" spans="3:52" x14ac:dyDescent="0.25"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2"/>
      <c r="AZ383" s="2"/>
    </row>
    <row r="384" spans="3:52" x14ac:dyDescent="0.25"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2"/>
      <c r="AZ384" s="2"/>
    </row>
    <row r="385" spans="3:52" x14ac:dyDescent="0.25"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2"/>
      <c r="AZ385" s="2"/>
    </row>
    <row r="386" spans="3:52" x14ac:dyDescent="0.25"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2"/>
      <c r="AZ386" s="2"/>
    </row>
    <row r="387" spans="3:52" x14ac:dyDescent="0.25"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2"/>
      <c r="AZ387" s="2"/>
    </row>
    <row r="388" spans="3:52" x14ac:dyDescent="0.25"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2"/>
      <c r="AZ388" s="2"/>
    </row>
    <row r="389" spans="3:52" x14ac:dyDescent="0.25"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2"/>
      <c r="AZ389" s="2"/>
    </row>
    <row r="390" spans="3:52" x14ac:dyDescent="0.25"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2"/>
      <c r="AZ390" s="2"/>
    </row>
    <row r="391" spans="3:52" x14ac:dyDescent="0.25"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2"/>
      <c r="AZ391" s="2"/>
    </row>
    <row r="392" spans="3:52" x14ac:dyDescent="0.25"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2"/>
      <c r="AZ392" s="2"/>
    </row>
    <row r="393" spans="3:52" x14ac:dyDescent="0.25"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2"/>
      <c r="AZ393" s="2"/>
    </row>
    <row r="394" spans="3:52" x14ac:dyDescent="0.25"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2"/>
      <c r="AZ394" s="2"/>
    </row>
    <row r="395" spans="3:52" x14ac:dyDescent="0.25"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2"/>
      <c r="AZ395" s="2"/>
    </row>
    <row r="396" spans="3:52" x14ac:dyDescent="0.25"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2"/>
      <c r="AZ396" s="2"/>
    </row>
    <row r="397" spans="3:52" x14ac:dyDescent="0.25"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2"/>
      <c r="AZ397" s="2"/>
    </row>
    <row r="398" spans="3:52" x14ac:dyDescent="0.25"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2"/>
      <c r="AZ398" s="2"/>
    </row>
    <row r="399" spans="3:52" x14ac:dyDescent="0.25"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2"/>
      <c r="AZ399" s="2"/>
    </row>
    <row r="400" spans="3:52" x14ac:dyDescent="0.25"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2"/>
      <c r="AZ400" s="2"/>
    </row>
    <row r="401" spans="3:52" x14ac:dyDescent="0.25"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2"/>
      <c r="AZ401" s="2"/>
    </row>
    <row r="402" spans="3:52" x14ac:dyDescent="0.25"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2"/>
      <c r="AZ402" s="2"/>
    </row>
    <row r="403" spans="3:52" x14ac:dyDescent="0.25"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2"/>
      <c r="AZ403" s="2"/>
    </row>
    <row r="404" spans="3:52" x14ac:dyDescent="0.25"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2"/>
      <c r="AZ404" s="2"/>
    </row>
    <row r="405" spans="3:52" x14ac:dyDescent="0.25"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2"/>
      <c r="AZ405" s="2"/>
    </row>
    <row r="406" spans="3:52" x14ac:dyDescent="0.25"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2"/>
      <c r="AZ406" s="2"/>
    </row>
    <row r="407" spans="3:52" x14ac:dyDescent="0.25"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2"/>
      <c r="AZ407" s="2"/>
    </row>
    <row r="408" spans="3:52" x14ac:dyDescent="0.25"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2"/>
      <c r="AZ408" s="2"/>
    </row>
    <row r="409" spans="3:52" x14ac:dyDescent="0.25"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2"/>
      <c r="AZ409" s="2"/>
    </row>
    <row r="410" spans="3:52" x14ac:dyDescent="0.25"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2"/>
      <c r="AZ410" s="2"/>
    </row>
    <row r="411" spans="3:52" x14ac:dyDescent="0.25"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2"/>
      <c r="AZ411" s="2"/>
    </row>
    <row r="412" spans="3:52" x14ac:dyDescent="0.25"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2"/>
      <c r="AZ412" s="2"/>
    </row>
    <row r="413" spans="3:52" x14ac:dyDescent="0.25"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2"/>
      <c r="AZ413" s="2"/>
    </row>
    <row r="414" spans="3:52" x14ac:dyDescent="0.25"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2"/>
      <c r="AZ414" s="2"/>
    </row>
    <row r="415" spans="3:52" x14ac:dyDescent="0.25"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2"/>
      <c r="AZ415" s="2"/>
    </row>
    <row r="416" spans="3:52" x14ac:dyDescent="0.25"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2"/>
      <c r="AZ416" s="2"/>
    </row>
    <row r="417" spans="3:52" x14ac:dyDescent="0.25"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2"/>
      <c r="AZ417" s="2"/>
    </row>
    <row r="418" spans="3:52" x14ac:dyDescent="0.25"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2"/>
      <c r="AZ418" s="2"/>
    </row>
    <row r="419" spans="3:52" x14ac:dyDescent="0.25"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2"/>
      <c r="AZ419" s="2"/>
    </row>
    <row r="420" spans="3:52" x14ac:dyDescent="0.25"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2"/>
      <c r="AZ420" s="2"/>
    </row>
    <row r="421" spans="3:52" x14ac:dyDescent="0.25"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2"/>
      <c r="AZ421" s="2"/>
    </row>
    <row r="422" spans="3:52" x14ac:dyDescent="0.25"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2"/>
      <c r="AZ422" s="2"/>
    </row>
    <row r="423" spans="3:52" x14ac:dyDescent="0.25"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2"/>
      <c r="AZ423" s="2"/>
    </row>
    <row r="424" spans="3:52" x14ac:dyDescent="0.25"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2"/>
      <c r="AZ424" s="2"/>
    </row>
    <row r="425" spans="3:52" x14ac:dyDescent="0.25"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2"/>
      <c r="AZ425" s="2"/>
    </row>
    <row r="426" spans="3:52" x14ac:dyDescent="0.25"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2"/>
      <c r="AZ426" s="2"/>
    </row>
    <row r="427" spans="3:52" x14ac:dyDescent="0.25"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2"/>
      <c r="AZ427" s="2"/>
    </row>
    <row r="428" spans="3:52" x14ac:dyDescent="0.25"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2"/>
      <c r="AZ428" s="2"/>
    </row>
    <row r="429" spans="3:52" x14ac:dyDescent="0.25"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2"/>
      <c r="AZ429" s="2"/>
    </row>
    <row r="430" spans="3:52" x14ac:dyDescent="0.25"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2"/>
      <c r="AZ430" s="2"/>
    </row>
    <row r="431" spans="3:52" x14ac:dyDescent="0.25"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2"/>
      <c r="AZ431" s="2"/>
    </row>
    <row r="432" spans="3:52" x14ac:dyDescent="0.25"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2"/>
      <c r="AZ432" s="2"/>
    </row>
    <row r="433" spans="3:52" x14ac:dyDescent="0.25"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2"/>
      <c r="AZ433" s="2"/>
    </row>
    <row r="434" spans="3:52" x14ac:dyDescent="0.25"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2"/>
      <c r="AZ434" s="2"/>
    </row>
    <row r="435" spans="3:52" x14ac:dyDescent="0.25"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2"/>
      <c r="AZ435" s="2"/>
    </row>
    <row r="436" spans="3:52" x14ac:dyDescent="0.25"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2"/>
      <c r="AZ436" s="2"/>
    </row>
    <row r="437" spans="3:52" x14ac:dyDescent="0.25"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2"/>
      <c r="AZ437" s="2"/>
    </row>
    <row r="438" spans="3:52" x14ac:dyDescent="0.25"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2"/>
      <c r="AZ438" s="2"/>
    </row>
    <row r="439" spans="3:52" x14ac:dyDescent="0.25"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2"/>
      <c r="AZ439" s="2"/>
    </row>
    <row r="440" spans="3:52" x14ac:dyDescent="0.25"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2"/>
      <c r="AZ440" s="2"/>
    </row>
    <row r="441" spans="3:52" x14ac:dyDescent="0.25"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2"/>
      <c r="AZ441" s="2"/>
    </row>
    <row r="442" spans="3:52" x14ac:dyDescent="0.25"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2"/>
      <c r="AZ442" s="2"/>
    </row>
    <row r="443" spans="3:52" x14ac:dyDescent="0.25"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2"/>
      <c r="AZ443" s="2"/>
    </row>
    <row r="444" spans="3:52" x14ac:dyDescent="0.25"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2"/>
      <c r="AZ444" s="2"/>
    </row>
    <row r="445" spans="3:52" x14ac:dyDescent="0.25"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2"/>
      <c r="AZ445" s="2"/>
    </row>
    <row r="446" spans="3:52" x14ac:dyDescent="0.25"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2"/>
      <c r="AZ446" s="2"/>
    </row>
    <row r="447" spans="3:52" x14ac:dyDescent="0.25"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2"/>
      <c r="AZ447" s="2"/>
    </row>
    <row r="448" spans="3:52" x14ac:dyDescent="0.25"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2"/>
      <c r="AZ448" s="2"/>
    </row>
    <row r="449" spans="3:52" x14ac:dyDescent="0.25"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2"/>
      <c r="AZ449" s="2"/>
    </row>
    <row r="450" spans="3:52" x14ac:dyDescent="0.25"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2"/>
      <c r="AZ450" s="2"/>
    </row>
    <row r="451" spans="3:52" x14ac:dyDescent="0.25"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2"/>
      <c r="AZ451" s="2"/>
    </row>
    <row r="452" spans="3:52" x14ac:dyDescent="0.25"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2"/>
      <c r="AZ452" s="2"/>
    </row>
    <row r="453" spans="3:52" x14ac:dyDescent="0.25"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2"/>
      <c r="AZ453" s="2"/>
    </row>
    <row r="454" spans="3:52" x14ac:dyDescent="0.25"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2"/>
      <c r="AZ454" s="2"/>
    </row>
    <row r="455" spans="3:52" x14ac:dyDescent="0.25"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2"/>
      <c r="AZ455" s="2"/>
    </row>
    <row r="456" spans="3:52" x14ac:dyDescent="0.25"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2"/>
      <c r="AZ456" s="2"/>
    </row>
    <row r="457" spans="3:52" x14ac:dyDescent="0.25"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2"/>
      <c r="AZ457" s="2"/>
    </row>
    <row r="458" spans="3:52" x14ac:dyDescent="0.25"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2"/>
      <c r="AZ458" s="2"/>
    </row>
    <row r="459" spans="3:52" x14ac:dyDescent="0.25"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2"/>
      <c r="AZ459" s="2"/>
    </row>
    <row r="460" spans="3:52" x14ac:dyDescent="0.25"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2"/>
      <c r="AZ460" s="2"/>
    </row>
    <row r="461" spans="3:52" x14ac:dyDescent="0.25"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2"/>
      <c r="AZ461" s="2"/>
    </row>
    <row r="462" spans="3:52" x14ac:dyDescent="0.25"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2"/>
      <c r="AZ462" s="2"/>
    </row>
    <row r="463" spans="3:52" x14ac:dyDescent="0.25"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2"/>
      <c r="AZ463" s="2"/>
    </row>
    <row r="464" spans="3:52" x14ac:dyDescent="0.25"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2"/>
      <c r="AZ464" s="2"/>
    </row>
    <row r="465" spans="3:52" x14ac:dyDescent="0.25"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2"/>
      <c r="AZ465" s="2"/>
    </row>
    <row r="466" spans="3:52" x14ac:dyDescent="0.25"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2"/>
      <c r="AZ466" s="2"/>
    </row>
    <row r="467" spans="3:52" x14ac:dyDescent="0.25"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2"/>
      <c r="AZ467" s="2"/>
    </row>
    <row r="468" spans="3:52" x14ac:dyDescent="0.25"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2"/>
      <c r="AZ468" s="2"/>
    </row>
    <row r="469" spans="3:52" x14ac:dyDescent="0.25"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2"/>
      <c r="AZ469" s="2"/>
    </row>
    <row r="470" spans="3:52" x14ac:dyDescent="0.25"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2"/>
      <c r="AZ470" s="2"/>
    </row>
    <row r="471" spans="3:52" x14ac:dyDescent="0.25"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2"/>
      <c r="AZ471" s="2"/>
    </row>
    <row r="472" spans="3:52" x14ac:dyDescent="0.25"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2"/>
      <c r="AZ472" s="2"/>
    </row>
    <row r="473" spans="3:52" x14ac:dyDescent="0.25"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2"/>
      <c r="AZ473" s="2"/>
    </row>
    <row r="474" spans="3:52" x14ac:dyDescent="0.25"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2"/>
      <c r="AZ474" s="2"/>
    </row>
    <row r="475" spans="3:52" x14ac:dyDescent="0.25"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2"/>
      <c r="AZ475" s="2"/>
    </row>
    <row r="476" spans="3:52" x14ac:dyDescent="0.25"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2"/>
      <c r="AZ476" s="2"/>
    </row>
    <row r="477" spans="3:52" x14ac:dyDescent="0.25"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2"/>
      <c r="AZ477" s="2"/>
    </row>
    <row r="478" spans="3:52" x14ac:dyDescent="0.25"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2"/>
      <c r="AZ478" s="2"/>
    </row>
    <row r="479" spans="3:52" x14ac:dyDescent="0.25"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2"/>
      <c r="AZ479" s="2"/>
    </row>
    <row r="480" spans="3:52" x14ac:dyDescent="0.25"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2"/>
      <c r="AZ480" s="2"/>
    </row>
    <row r="481" spans="3:52" x14ac:dyDescent="0.25"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2"/>
      <c r="AZ481" s="2"/>
    </row>
    <row r="482" spans="3:52" x14ac:dyDescent="0.25"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2"/>
      <c r="AZ482" s="2"/>
    </row>
    <row r="483" spans="3:52" x14ac:dyDescent="0.25"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2"/>
      <c r="AZ483" s="2"/>
    </row>
    <row r="484" spans="3:52" x14ac:dyDescent="0.25"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2"/>
      <c r="AZ484" s="2"/>
    </row>
    <row r="485" spans="3:52" x14ac:dyDescent="0.25"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2"/>
      <c r="AZ485" s="2"/>
    </row>
    <row r="486" spans="3:52" x14ac:dyDescent="0.25"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2"/>
      <c r="AZ486" s="2"/>
    </row>
    <row r="487" spans="3:52" x14ac:dyDescent="0.25"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2"/>
      <c r="AZ487" s="2"/>
    </row>
    <row r="488" spans="3:52" x14ac:dyDescent="0.25"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2"/>
      <c r="AZ488" s="2"/>
    </row>
    <row r="489" spans="3:52" x14ac:dyDescent="0.25"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2"/>
      <c r="AZ489" s="2"/>
    </row>
    <row r="490" spans="3:52" x14ac:dyDescent="0.25"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2"/>
      <c r="AZ490" s="2"/>
    </row>
    <row r="491" spans="3:52" x14ac:dyDescent="0.25"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2"/>
      <c r="AZ491" s="2"/>
    </row>
    <row r="492" spans="3:52" x14ac:dyDescent="0.25"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2"/>
      <c r="AZ492" s="2"/>
    </row>
    <row r="493" spans="3:52" x14ac:dyDescent="0.25"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2"/>
      <c r="AZ493" s="2"/>
    </row>
    <row r="494" spans="3:52" x14ac:dyDescent="0.25"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2"/>
      <c r="AZ494" s="2"/>
    </row>
    <row r="495" spans="3:52" x14ac:dyDescent="0.25"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2"/>
      <c r="AZ495" s="2"/>
    </row>
    <row r="496" spans="3:52" x14ac:dyDescent="0.25"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2"/>
      <c r="AZ496" s="2"/>
    </row>
    <row r="497" spans="3:52" x14ac:dyDescent="0.25"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2"/>
      <c r="AZ497" s="2"/>
    </row>
    <row r="498" spans="3:52" x14ac:dyDescent="0.25"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2"/>
      <c r="AZ498" s="2"/>
    </row>
    <row r="499" spans="3:52" x14ac:dyDescent="0.25"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2"/>
      <c r="AZ499" s="2"/>
    </row>
    <row r="500" spans="3:52" x14ac:dyDescent="0.25"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2"/>
      <c r="AZ500" s="2"/>
    </row>
    <row r="501" spans="3:52" x14ac:dyDescent="0.25"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2"/>
      <c r="AZ501" s="2"/>
    </row>
    <row r="502" spans="3:52" x14ac:dyDescent="0.25"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2"/>
      <c r="AZ502" s="2"/>
    </row>
    <row r="503" spans="3:52" x14ac:dyDescent="0.25"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2"/>
      <c r="AZ503" s="2"/>
    </row>
    <row r="504" spans="3:52" x14ac:dyDescent="0.25"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2"/>
      <c r="AZ504" s="2"/>
    </row>
    <row r="505" spans="3:52" x14ac:dyDescent="0.25"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2"/>
      <c r="AZ505" s="2"/>
    </row>
    <row r="506" spans="3:52" x14ac:dyDescent="0.25"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2"/>
      <c r="AZ506" s="2"/>
    </row>
    <row r="507" spans="3:52" x14ac:dyDescent="0.25"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2"/>
      <c r="AZ507" s="2"/>
    </row>
    <row r="508" spans="3:52" x14ac:dyDescent="0.25"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2"/>
      <c r="AZ508" s="2"/>
    </row>
    <row r="509" spans="3:52" x14ac:dyDescent="0.25"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2"/>
      <c r="AZ509" s="2"/>
    </row>
    <row r="510" spans="3:52" x14ac:dyDescent="0.25"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2"/>
      <c r="AZ510" s="2"/>
    </row>
    <row r="511" spans="3:52" x14ac:dyDescent="0.25"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2"/>
      <c r="AZ511" s="2"/>
    </row>
    <row r="512" spans="3:52" x14ac:dyDescent="0.25"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2"/>
      <c r="AZ512" s="2"/>
    </row>
    <row r="513" spans="3:52" x14ac:dyDescent="0.25"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2"/>
      <c r="AZ513" s="2"/>
    </row>
    <row r="514" spans="3:52" x14ac:dyDescent="0.25"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2"/>
      <c r="AZ514" s="2"/>
    </row>
    <row r="515" spans="3:52" x14ac:dyDescent="0.25"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2"/>
      <c r="AZ515" s="2"/>
    </row>
    <row r="516" spans="3:52" x14ac:dyDescent="0.25"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2"/>
      <c r="AZ516" s="2"/>
    </row>
    <row r="517" spans="3:52" x14ac:dyDescent="0.25"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2"/>
      <c r="AZ517" s="2"/>
    </row>
    <row r="518" spans="3:52" x14ac:dyDescent="0.25"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2"/>
      <c r="AZ518" s="2"/>
    </row>
    <row r="519" spans="3:52" x14ac:dyDescent="0.25"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2"/>
      <c r="AZ519" s="2"/>
    </row>
    <row r="520" spans="3:52" x14ac:dyDescent="0.25"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2"/>
      <c r="AZ520" s="2"/>
    </row>
    <row r="521" spans="3:52" x14ac:dyDescent="0.25"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2"/>
      <c r="AZ521" s="2"/>
    </row>
    <row r="522" spans="3:52" x14ac:dyDescent="0.25"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2"/>
      <c r="AZ522" s="2"/>
    </row>
    <row r="523" spans="3:52" x14ac:dyDescent="0.25"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2"/>
      <c r="AZ523" s="2"/>
    </row>
    <row r="524" spans="3:52" x14ac:dyDescent="0.25"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2"/>
      <c r="AZ524" s="2"/>
    </row>
    <row r="525" spans="3:52" x14ac:dyDescent="0.25"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2"/>
      <c r="AZ525" s="2"/>
    </row>
    <row r="526" spans="3:52" x14ac:dyDescent="0.25"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2"/>
      <c r="AZ526" s="2"/>
    </row>
    <row r="527" spans="3:52" x14ac:dyDescent="0.25"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2"/>
      <c r="AZ527" s="2"/>
    </row>
    <row r="528" spans="3:52" x14ac:dyDescent="0.25"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2"/>
      <c r="AZ528" s="2"/>
    </row>
    <row r="529" spans="3:52" x14ac:dyDescent="0.25"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2"/>
      <c r="AZ529" s="2"/>
    </row>
    <row r="530" spans="3:52" x14ac:dyDescent="0.25"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2"/>
      <c r="AZ530" s="2"/>
    </row>
    <row r="531" spans="3:52" x14ac:dyDescent="0.25"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2"/>
      <c r="AZ531" s="2"/>
    </row>
    <row r="532" spans="3:52" x14ac:dyDescent="0.25"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2"/>
      <c r="AZ532" s="2"/>
    </row>
    <row r="533" spans="3:52" x14ac:dyDescent="0.25"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2"/>
      <c r="AZ533" s="2"/>
    </row>
    <row r="534" spans="3:52" x14ac:dyDescent="0.25"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2"/>
      <c r="AZ534" s="2"/>
    </row>
    <row r="535" spans="3:52" x14ac:dyDescent="0.25"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2"/>
      <c r="AZ535" s="2"/>
    </row>
    <row r="536" spans="3:52" x14ac:dyDescent="0.25"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2"/>
      <c r="AZ536" s="2"/>
    </row>
    <row r="537" spans="3:52" x14ac:dyDescent="0.25"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2"/>
      <c r="AZ537" s="2"/>
    </row>
    <row r="538" spans="3:52" x14ac:dyDescent="0.25"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2"/>
      <c r="AZ538" s="2"/>
    </row>
    <row r="539" spans="3:52" x14ac:dyDescent="0.25"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2"/>
      <c r="AZ539" s="2"/>
    </row>
    <row r="540" spans="3:52" x14ac:dyDescent="0.25"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2"/>
      <c r="AZ540" s="2"/>
    </row>
    <row r="541" spans="3:52" x14ac:dyDescent="0.25"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2"/>
      <c r="AZ541" s="2"/>
    </row>
    <row r="542" spans="3:52" x14ac:dyDescent="0.25"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2"/>
      <c r="AZ542" s="2"/>
    </row>
    <row r="543" spans="3:52" x14ac:dyDescent="0.25"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2"/>
      <c r="AZ543" s="2"/>
    </row>
    <row r="544" spans="3:52" x14ac:dyDescent="0.25"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2"/>
      <c r="AZ544" s="2"/>
    </row>
    <row r="545" spans="3:52" x14ac:dyDescent="0.25"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2"/>
      <c r="AZ545" s="2"/>
    </row>
    <row r="546" spans="3:52" x14ac:dyDescent="0.25"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2"/>
      <c r="AZ546" s="2"/>
    </row>
    <row r="547" spans="3:52" x14ac:dyDescent="0.25"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2"/>
      <c r="AZ547" s="2"/>
    </row>
    <row r="548" spans="3:52" x14ac:dyDescent="0.25"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2"/>
      <c r="AZ548" s="2"/>
    </row>
    <row r="549" spans="3:52" x14ac:dyDescent="0.25"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2"/>
      <c r="AZ549" s="2"/>
    </row>
    <row r="550" spans="3:52" x14ac:dyDescent="0.25"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2"/>
      <c r="AZ550" s="2"/>
    </row>
    <row r="551" spans="3:52" x14ac:dyDescent="0.25"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2"/>
      <c r="AZ551" s="2"/>
    </row>
    <row r="552" spans="3:52" x14ac:dyDescent="0.25"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2"/>
      <c r="AZ552" s="2"/>
    </row>
    <row r="553" spans="3:52" x14ac:dyDescent="0.25"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2"/>
      <c r="AZ553" s="2"/>
    </row>
    <row r="554" spans="3:52" x14ac:dyDescent="0.25"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2"/>
      <c r="AZ554" s="2"/>
    </row>
    <row r="555" spans="3:52" x14ac:dyDescent="0.25"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2"/>
      <c r="AZ555" s="2"/>
    </row>
    <row r="556" spans="3:52" x14ac:dyDescent="0.25"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2"/>
      <c r="AZ556" s="2"/>
    </row>
    <row r="557" spans="3:52" x14ac:dyDescent="0.25"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2"/>
      <c r="AZ557" s="2"/>
    </row>
    <row r="558" spans="3:52" x14ac:dyDescent="0.25"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2"/>
      <c r="AZ558" s="2"/>
    </row>
    <row r="559" spans="3:52" x14ac:dyDescent="0.25"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2"/>
      <c r="AZ559" s="2"/>
    </row>
    <row r="560" spans="3:52" x14ac:dyDescent="0.25"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2"/>
      <c r="AZ560" s="2"/>
    </row>
    <row r="561" spans="3:52" x14ac:dyDescent="0.25"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2"/>
      <c r="AZ561" s="2"/>
    </row>
    <row r="562" spans="3:52" x14ac:dyDescent="0.25"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2"/>
      <c r="AZ562" s="2"/>
    </row>
    <row r="563" spans="3:52" x14ac:dyDescent="0.25"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2"/>
      <c r="AZ563" s="2"/>
    </row>
    <row r="564" spans="3:52" x14ac:dyDescent="0.25"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2"/>
      <c r="AZ564" s="2"/>
    </row>
    <row r="565" spans="3:52" x14ac:dyDescent="0.25"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2"/>
      <c r="AZ565" s="2"/>
    </row>
    <row r="566" spans="3:52" x14ac:dyDescent="0.25"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2"/>
      <c r="AZ566" s="2"/>
    </row>
    <row r="567" spans="3:52" x14ac:dyDescent="0.25"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2"/>
      <c r="AZ567" s="2"/>
    </row>
    <row r="568" spans="3:52" x14ac:dyDescent="0.25"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2"/>
      <c r="AZ568" s="2"/>
    </row>
    <row r="569" spans="3:52" x14ac:dyDescent="0.25"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2"/>
      <c r="AZ569" s="2"/>
    </row>
    <row r="570" spans="3:52" x14ac:dyDescent="0.25"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2"/>
      <c r="AZ570" s="2"/>
    </row>
    <row r="571" spans="3:52" x14ac:dyDescent="0.25"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2"/>
      <c r="AZ571" s="2"/>
    </row>
    <row r="572" spans="3:52" x14ac:dyDescent="0.25"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2"/>
      <c r="AZ572" s="2"/>
    </row>
    <row r="573" spans="3:52" x14ac:dyDescent="0.25"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2"/>
      <c r="AZ573" s="2"/>
    </row>
    <row r="574" spans="3:52" x14ac:dyDescent="0.25"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2"/>
      <c r="AZ574" s="2"/>
    </row>
    <row r="575" spans="3:52" x14ac:dyDescent="0.25"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2"/>
      <c r="AZ575" s="2"/>
    </row>
    <row r="576" spans="3:52" x14ac:dyDescent="0.25"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2"/>
      <c r="AZ576" s="2"/>
    </row>
    <row r="577" spans="3:52" x14ac:dyDescent="0.25"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2"/>
      <c r="AZ577" s="2"/>
    </row>
    <row r="578" spans="3:52" x14ac:dyDescent="0.25"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2"/>
      <c r="AZ578" s="2"/>
    </row>
    <row r="579" spans="3:52" x14ac:dyDescent="0.25"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2"/>
      <c r="AZ579" s="2"/>
    </row>
    <row r="580" spans="3:52" x14ac:dyDescent="0.25"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2"/>
      <c r="AZ580" s="2"/>
    </row>
    <row r="581" spans="3:52" x14ac:dyDescent="0.25"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2"/>
      <c r="AZ581" s="2"/>
    </row>
    <row r="582" spans="3:52" x14ac:dyDescent="0.25"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2"/>
      <c r="AZ582" s="2"/>
    </row>
    <row r="583" spans="3:52" x14ac:dyDescent="0.25"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2"/>
      <c r="AZ583" s="2"/>
    </row>
    <row r="584" spans="3:52" x14ac:dyDescent="0.25"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2"/>
      <c r="AZ584" s="2"/>
    </row>
    <row r="585" spans="3:52" x14ac:dyDescent="0.25"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2"/>
      <c r="AZ585" s="2"/>
    </row>
    <row r="586" spans="3:52" x14ac:dyDescent="0.25"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2"/>
      <c r="AZ586" s="2"/>
    </row>
    <row r="587" spans="3:52" x14ac:dyDescent="0.25"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2"/>
      <c r="AZ587" s="2"/>
    </row>
    <row r="588" spans="3:52" x14ac:dyDescent="0.25"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2"/>
      <c r="AZ588" s="2"/>
    </row>
    <row r="589" spans="3:52" x14ac:dyDescent="0.25"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2"/>
      <c r="AZ589" s="2"/>
    </row>
    <row r="590" spans="3:52" x14ac:dyDescent="0.25"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2"/>
      <c r="AZ590" s="2"/>
    </row>
    <row r="591" spans="3:52" x14ac:dyDescent="0.25"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2"/>
      <c r="AZ591" s="2"/>
    </row>
    <row r="592" spans="3:52" x14ac:dyDescent="0.25"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2"/>
      <c r="AZ592" s="2"/>
    </row>
    <row r="593" spans="3:52" x14ac:dyDescent="0.25"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2"/>
      <c r="AZ593" s="2"/>
    </row>
    <row r="594" spans="3:52" x14ac:dyDescent="0.25"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2"/>
      <c r="AZ594" s="2"/>
    </row>
    <row r="595" spans="3:52" x14ac:dyDescent="0.25"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2"/>
      <c r="AZ595" s="2"/>
    </row>
    <row r="596" spans="3:52" x14ac:dyDescent="0.25"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2"/>
      <c r="AZ596" s="2"/>
    </row>
    <row r="597" spans="3:52" x14ac:dyDescent="0.25"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2"/>
      <c r="AZ597" s="2"/>
    </row>
    <row r="598" spans="3:52" x14ac:dyDescent="0.25"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2"/>
      <c r="AZ598" s="2"/>
    </row>
    <row r="599" spans="3:52" x14ac:dyDescent="0.25"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2"/>
      <c r="AZ599" s="2"/>
    </row>
    <row r="600" spans="3:52" x14ac:dyDescent="0.25"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2"/>
      <c r="AZ600" s="2"/>
    </row>
    <row r="601" spans="3:52" x14ac:dyDescent="0.25"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2"/>
      <c r="AZ601" s="2"/>
    </row>
    <row r="602" spans="3:52" x14ac:dyDescent="0.25"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2"/>
      <c r="AZ602" s="2"/>
    </row>
    <row r="603" spans="3:52" x14ac:dyDescent="0.25"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2"/>
      <c r="AZ603" s="2"/>
    </row>
    <row r="604" spans="3:52" x14ac:dyDescent="0.25"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2"/>
      <c r="AZ604" s="2"/>
    </row>
    <row r="605" spans="3:52" x14ac:dyDescent="0.25"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2"/>
      <c r="AZ605" s="2"/>
    </row>
    <row r="606" spans="3:52" x14ac:dyDescent="0.25"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2"/>
      <c r="AZ606" s="2"/>
    </row>
    <row r="607" spans="3:52" x14ac:dyDescent="0.25"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2"/>
      <c r="AZ607" s="2"/>
    </row>
    <row r="608" spans="3:52" x14ac:dyDescent="0.25"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2"/>
      <c r="AZ608" s="2"/>
    </row>
    <row r="609" spans="3:52" x14ac:dyDescent="0.25"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2"/>
      <c r="AZ609" s="2"/>
    </row>
    <row r="610" spans="3:52" x14ac:dyDescent="0.25"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2"/>
      <c r="AZ610" s="2"/>
    </row>
    <row r="611" spans="3:52" x14ac:dyDescent="0.25">
      <c r="C611" s="2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2"/>
      <c r="AZ611" s="2"/>
    </row>
    <row r="612" spans="3:52" x14ac:dyDescent="0.25"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2"/>
      <c r="AZ612" s="2"/>
    </row>
    <row r="613" spans="3:52" x14ac:dyDescent="0.25"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2"/>
      <c r="AZ613" s="2"/>
    </row>
    <row r="614" spans="3:52" x14ac:dyDescent="0.25"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2"/>
      <c r="AZ614" s="2"/>
    </row>
    <row r="615" spans="3:52" x14ac:dyDescent="0.25"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2"/>
      <c r="AZ615" s="2"/>
    </row>
    <row r="616" spans="3:52" x14ac:dyDescent="0.25"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2"/>
      <c r="AZ616" s="2"/>
    </row>
    <row r="617" spans="3:52" x14ac:dyDescent="0.25"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2"/>
      <c r="AZ617" s="2"/>
    </row>
    <row r="618" spans="3:52" x14ac:dyDescent="0.25"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2"/>
      <c r="AZ618" s="2"/>
    </row>
    <row r="619" spans="3:52" x14ac:dyDescent="0.25"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2"/>
      <c r="AZ619" s="2"/>
    </row>
    <row r="620" spans="3:52" x14ac:dyDescent="0.25"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2"/>
      <c r="AZ620" s="2"/>
    </row>
    <row r="621" spans="3:52" x14ac:dyDescent="0.25"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2"/>
      <c r="AZ621" s="2"/>
    </row>
    <row r="622" spans="3:52" x14ac:dyDescent="0.25"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2"/>
      <c r="AZ622" s="2"/>
    </row>
    <row r="623" spans="3:52" x14ac:dyDescent="0.25"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2"/>
      <c r="AZ623" s="2"/>
    </row>
    <row r="624" spans="3:52" x14ac:dyDescent="0.25"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2"/>
      <c r="AZ624" s="2"/>
    </row>
    <row r="625" spans="3:52" x14ac:dyDescent="0.25"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2"/>
      <c r="AZ625" s="2"/>
    </row>
    <row r="626" spans="3:52" x14ac:dyDescent="0.25"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2"/>
      <c r="AZ626" s="2"/>
    </row>
    <row r="627" spans="3:52" x14ac:dyDescent="0.25"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2"/>
      <c r="AZ627" s="2"/>
    </row>
    <row r="628" spans="3:52" x14ac:dyDescent="0.25"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2"/>
      <c r="AZ628" s="2"/>
    </row>
    <row r="629" spans="3:52" x14ac:dyDescent="0.25"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2"/>
      <c r="AZ629" s="2"/>
    </row>
    <row r="630" spans="3:52" x14ac:dyDescent="0.25">
      <c r="C630" s="2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2"/>
      <c r="AZ630" s="2"/>
    </row>
    <row r="631" spans="3:52" x14ac:dyDescent="0.25">
      <c r="C631" s="2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2"/>
      <c r="AZ631" s="2"/>
    </row>
    <row r="632" spans="3:52" x14ac:dyDescent="0.25">
      <c r="C632" s="2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2"/>
      <c r="AZ632" s="2"/>
    </row>
    <row r="633" spans="3:52" x14ac:dyDescent="0.25">
      <c r="C633" s="2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2"/>
      <c r="AZ633" s="2"/>
    </row>
    <row r="634" spans="3:52" x14ac:dyDescent="0.25">
      <c r="C634" s="2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2"/>
      <c r="AZ634" s="2"/>
    </row>
    <row r="635" spans="3:52" x14ac:dyDescent="0.25">
      <c r="C635" s="2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2"/>
      <c r="AZ635" s="2"/>
    </row>
    <row r="636" spans="3:52" x14ac:dyDescent="0.25">
      <c r="C636" s="2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2"/>
      <c r="AZ636" s="2"/>
    </row>
    <row r="637" spans="3:52" x14ac:dyDescent="0.25">
      <c r="C637" s="2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2"/>
      <c r="AZ637" s="2"/>
    </row>
    <row r="638" spans="3:52" x14ac:dyDescent="0.25">
      <c r="C638" s="2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2"/>
      <c r="AZ638" s="2"/>
    </row>
    <row r="639" spans="3:52" x14ac:dyDescent="0.25">
      <c r="C639" s="2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2"/>
      <c r="AZ639" s="2"/>
    </row>
    <row r="640" spans="3:52" x14ac:dyDescent="0.25">
      <c r="C640" s="2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2"/>
      <c r="AZ640" s="2"/>
    </row>
    <row r="641" spans="3:52" x14ac:dyDescent="0.25">
      <c r="C641" s="2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2"/>
      <c r="AZ641" s="2"/>
    </row>
    <row r="642" spans="3:52" x14ac:dyDescent="0.25">
      <c r="C642" s="2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2"/>
      <c r="AZ642" s="2"/>
    </row>
    <row r="643" spans="3:52" x14ac:dyDescent="0.25">
      <c r="C643" s="2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2"/>
      <c r="AZ643" s="2"/>
    </row>
    <row r="644" spans="3:52" x14ac:dyDescent="0.25">
      <c r="C644" s="2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2"/>
      <c r="AZ644" s="2"/>
    </row>
    <row r="645" spans="3:52" x14ac:dyDescent="0.25">
      <c r="C645" s="2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2"/>
      <c r="AZ645" s="2"/>
    </row>
    <row r="646" spans="3:52" x14ac:dyDescent="0.25">
      <c r="C646" s="2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2"/>
      <c r="AZ646" s="2"/>
    </row>
    <row r="647" spans="3:52" x14ac:dyDescent="0.25">
      <c r="C647" s="2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2"/>
      <c r="AZ647" s="2"/>
    </row>
    <row r="648" spans="3:52" x14ac:dyDescent="0.25">
      <c r="C648" s="2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2"/>
      <c r="AZ648" s="2"/>
    </row>
    <row r="649" spans="3:52" x14ac:dyDescent="0.25">
      <c r="C649" s="2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2"/>
      <c r="AZ649" s="2"/>
    </row>
    <row r="650" spans="3:52" x14ac:dyDescent="0.25">
      <c r="C650" s="2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2"/>
      <c r="AZ650" s="2"/>
    </row>
    <row r="651" spans="3:52" x14ac:dyDescent="0.25"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2"/>
      <c r="AZ651" s="2"/>
    </row>
    <row r="652" spans="3:52" x14ac:dyDescent="0.25"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2"/>
      <c r="AZ652" s="2"/>
    </row>
    <row r="653" spans="3:52" x14ac:dyDescent="0.25"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2"/>
      <c r="AZ653" s="2"/>
    </row>
    <row r="654" spans="3:52" x14ac:dyDescent="0.25"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2"/>
      <c r="AZ654" s="2"/>
    </row>
    <row r="655" spans="3:52" x14ac:dyDescent="0.25"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2"/>
      <c r="AZ655" s="2"/>
    </row>
    <row r="656" spans="3:52" x14ac:dyDescent="0.25"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2"/>
      <c r="AZ656" s="2"/>
    </row>
    <row r="657" spans="3:52" x14ac:dyDescent="0.25"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2"/>
      <c r="AZ657" s="2"/>
    </row>
    <row r="658" spans="3:52" x14ac:dyDescent="0.25"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2"/>
      <c r="AZ658" s="2"/>
    </row>
    <row r="659" spans="3:52" x14ac:dyDescent="0.25"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2"/>
      <c r="AZ659" s="2"/>
    </row>
    <row r="660" spans="3:52" x14ac:dyDescent="0.25"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2"/>
      <c r="AZ660" s="2"/>
    </row>
    <row r="661" spans="3:52" x14ac:dyDescent="0.25"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2"/>
      <c r="AZ661" s="2"/>
    </row>
    <row r="662" spans="3:52" x14ac:dyDescent="0.25"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2"/>
      <c r="AZ662" s="2"/>
    </row>
    <row r="663" spans="3:52" x14ac:dyDescent="0.25"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2"/>
      <c r="AZ663" s="2"/>
    </row>
    <row r="664" spans="3:52" x14ac:dyDescent="0.25"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2"/>
      <c r="AZ664" s="2"/>
    </row>
    <row r="665" spans="3:52" x14ac:dyDescent="0.25"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2"/>
      <c r="AZ665" s="2"/>
    </row>
    <row r="666" spans="3:52" x14ac:dyDescent="0.25"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2"/>
      <c r="AZ666" s="2"/>
    </row>
    <row r="667" spans="3:52" x14ac:dyDescent="0.25"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2"/>
      <c r="AZ667" s="2"/>
    </row>
    <row r="668" spans="3:52" x14ac:dyDescent="0.25"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2"/>
      <c r="AZ668" s="2"/>
    </row>
    <row r="669" spans="3:52" x14ac:dyDescent="0.25"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2"/>
      <c r="AZ669" s="2"/>
    </row>
    <row r="670" spans="3:52" x14ac:dyDescent="0.25"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2"/>
      <c r="AZ670" s="2"/>
    </row>
    <row r="671" spans="3:52" x14ac:dyDescent="0.25"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2"/>
      <c r="AZ671" s="2"/>
    </row>
    <row r="672" spans="3:52" x14ac:dyDescent="0.25"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2"/>
      <c r="AZ672" s="2"/>
    </row>
    <row r="673" spans="3:52" x14ac:dyDescent="0.25"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2"/>
      <c r="AZ673" s="2"/>
    </row>
    <row r="674" spans="3:52" x14ac:dyDescent="0.25"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2"/>
      <c r="AZ674" s="2"/>
    </row>
    <row r="675" spans="3:52" x14ac:dyDescent="0.25"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2"/>
      <c r="AZ675" s="2"/>
    </row>
    <row r="676" spans="3:52" x14ac:dyDescent="0.25"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2"/>
      <c r="AZ676" s="2"/>
    </row>
    <row r="677" spans="3:52" x14ac:dyDescent="0.25"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2"/>
      <c r="AZ677" s="2"/>
    </row>
    <row r="678" spans="3:52" x14ac:dyDescent="0.25"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2"/>
      <c r="AZ678" s="2"/>
    </row>
    <row r="679" spans="3:52" x14ac:dyDescent="0.25"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2"/>
      <c r="AZ679" s="2"/>
    </row>
    <row r="680" spans="3:52" x14ac:dyDescent="0.25"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2"/>
      <c r="AZ680" s="2"/>
    </row>
    <row r="681" spans="3:52" x14ac:dyDescent="0.25"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2"/>
      <c r="AZ681" s="2"/>
    </row>
    <row r="682" spans="3:52" x14ac:dyDescent="0.25"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2"/>
      <c r="AZ682" s="2"/>
    </row>
    <row r="683" spans="3:52" x14ac:dyDescent="0.25"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2"/>
      <c r="AZ683" s="2"/>
    </row>
    <row r="684" spans="3:52" x14ac:dyDescent="0.25"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2"/>
      <c r="AZ684" s="2"/>
    </row>
    <row r="685" spans="3:52" x14ac:dyDescent="0.25"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2"/>
      <c r="AZ685" s="2"/>
    </row>
    <row r="686" spans="3:52" x14ac:dyDescent="0.25"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2"/>
      <c r="AZ686" s="2"/>
    </row>
    <row r="687" spans="3:52" x14ac:dyDescent="0.25"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2"/>
      <c r="AZ687" s="2"/>
    </row>
    <row r="688" spans="3:52" x14ac:dyDescent="0.25"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2"/>
      <c r="AZ688" s="2"/>
    </row>
    <row r="689" spans="3:52" x14ac:dyDescent="0.25"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2"/>
      <c r="AZ689" s="2"/>
    </row>
    <row r="690" spans="3:52" x14ac:dyDescent="0.25"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2"/>
      <c r="AZ690" s="2"/>
    </row>
    <row r="691" spans="3:52" x14ac:dyDescent="0.25"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2"/>
      <c r="AZ691" s="2"/>
    </row>
    <row r="692" spans="3:52" x14ac:dyDescent="0.25"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2"/>
      <c r="AZ692" s="2"/>
    </row>
    <row r="693" spans="3:52" x14ac:dyDescent="0.25"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2"/>
      <c r="AZ693" s="2"/>
    </row>
    <row r="694" spans="3:52" x14ac:dyDescent="0.25"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2"/>
      <c r="AZ694" s="2"/>
    </row>
    <row r="695" spans="3:52" x14ac:dyDescent="0.25"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2"/>
      <c r="AZ695" s="2"/>
    </row>
    <row r="696" spans="3:52" x14ac:dyDescent="0.25"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2"/>
      <c r="AZ696" s="2"/>
    </row>
    <row r="697" spans="3:52" x14ac:dyDescent="0.25"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2"/>
      <c r="AZ697" s="2"/>
    </row>
    <row r="698" spans="3:52" x14ac:dyDescent="0.25"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2"/>
      <c r="AZ698" s="2"/>
    </row>
    <row r="699" spans="3:52" x14ac:dyDescent="0.25"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2"/>
      <c r="AZ699" s="2"/>
    </row>
    <row r="700" spans="3:52" x14ac:dyDescent="0.25"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2"/>
      <c r="AZ700" s="2"/>
    </row>
    <row r="701" spans="3:52" x14ac:dyDescent="0.25"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2"/>
      <c r="AZ701" s="2"/>
    </row>
    <row r="702" spans="3:52" x14ac:dyDescent="0.25"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2"/>
      <c r="AZ702" s="2"/>
    </row>
    <row r="703" spans="3:52" x14ac:dyDescent="0.25"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2"/>
      <c r="AZ703" s="2"/>
    </row>
    <row r="704" spans="3:52" x14ac:dyDescent="0.25"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2"/>
      <c r="AZ704" s="2"/>
    </row>
    <row r="705" spans="3:52" x14ac:dyDescent="0.25"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2"/>
      <c r="AZ705" s="2"/>
    </row>
    <row r="706" spans="3:52" x14ac:dyDescent="0.25"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2"/>
      <c r="AZ706" s="2"/>
    </row>
    <row r="707" spans="3:52" x14ac:dyDescent="0.25"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2"/>
      <c r="AZ707" s="2"/>
    </row>
    <row r="708" spans="3:52" x14ac:dyDescent="0.25"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2"/>
      <c r="AZ708" s="2"/>
    </row>
    <row r="709" spans="3:52" x14ac:dyDescent="0.25"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2"/>
      <c r="AZ709" s="2"/>
    </row>
    <row r="710" spans="3:52" x14ac:dyDescent="0.25"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2"/>
      <c r="AZ710" s="2"/>
    </row>
    <row r="711" spans="3:52" x14ac:dyDescent="0.25"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2"/>
      <c r="AZ711" s="2"/>
    </row>
    <row r="712" spans="3:52" x14ac:dyDescent="0.25"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2"/>
      <c r="AZ712" s="2"/>
    </row>
    <row r="713" spans="3:52" x14ac:dyDescent="0.25"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2"/>
      <c r="AZ713" s="2"/>
    </row>
    <row r="714" spans="3:52" x14ac:dyDescent="0.25"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2"/>
      <c r="AZ714" s="2"/>
    </row>
    <row r="715" spans="3:52" x14ac:dyDescent="0.25"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2"/>
      <c r="AZ715" s="2"/>
    </row>
    <row r="716" spans="3:52" x14ac:dyDescent="0.25"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2"/>
      <c r="AZ716" s="2"/>
    </row>
    <row r="717" spans="3:52" x14ac:dyDescent="0.25"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2"/>
      <c r="AZ717" s="2"/>
    </row>
    <row r="718" spans="3:52" x14ac:dyDescent="0.25"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2"/>
      <c r="AZ718" s="2"/>
    </row>
    <row r="719" spans="3:52" x14ac:dyDescent="0.25"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2"/>
      <c r="AZ719" s="2"/>
    </row>
    <row r="720" spans="3:52" x14ac:dyDescent="0.25"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2"/>
      <c r="AZ720" s="2"/>
    </row>
    <row r="721" spans="3:52" x14ac:dyDescent="0.25"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2"/>
      <c r="AZ721" s="2"/>
    </row>
    <row r="722" spans="3:52" x14ac:dyDescent="0.25"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2"/>
      <c r="AZ722" s="2"/>
    </row>
    <row r="723" spans="3:52" x14ac:dyDescent="0.25"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2"/>
      <c r="AZ723" s="2"/>
    </row>
    <row r="724" spans="3:52" x14ac:dyDescent="0.25"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2"/>
      <c r="AZ724" s="2"/>
    </row>
    <row r="725" spans="3:52" x14ac:dyDescent="0.25"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2"/>
      <c r="AZ725" s="2"/>
    </row>
    <row r="726" spans="3:52" x14ac:dyDescent="0.25"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2"/>
      <c r="AZ726" s="2"/>
    </row>
    <row r="727" spans="3:52" x14ac:dyDescent="0.25"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2"/>
      <c r="AZ727" s="2"/>
    </row>
    <row r="728" spans="3:52" x14ac:dyDescent="0.25"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2"/>
      <c r="AZ728" s="2"/>
    </row>
    <row r="729" spans="3:52" x14ac:dyDescent="0.25"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2"/>
      <c r="AZ729" s="2"/>
    </row>
    <row r="730" spans="3:52" x14ac:dyDescent="0.25"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2"/>
      <c r="AZ730" s="2"/>
    </row>
    <row r="731" spans="3:52" x14ac:dyDescent="0.25"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2"/>
      <c r="AZ731" s="2"/>
    </row>
    <row r="732" spans="3:52" x14ac:dyDescent="0.25"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2"/>
      <c r="AZ732" s="2"/>
    </row>
    <row r="733" spans="3:52" x14ac:dyDescent="0.25"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2"/>
      <c r="AZ733" s="2"/>
    </row>
    <row r="734" spans="3:52" x14ac:dyDescent="0.25"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2"/>
      <c r="AZ734" s="2"/>
    </row>
    <row r="735" spans="3:52" x14ac:dyDescent="0.25"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2"/>
      <c r="AZ735" s="2"/>
    </row>
    <row r="736" spans="3:52" x14ac:dyDescent="0.25"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2"/>
      <c r="AZ736" s="2"/>
    </row>
    <row r="737" spans="3:52" x14ac:dyDescent="0.25"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2"/>
      <c r="AZ737" s="2"/>
    </row>
    <row r="738" spans="3:52" x14ac:dyDescent="0.25"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2"/>
      <c r="AZ738" s="2"/>
    </row>
    <row r="739" spans="3:52" x14ac:dyDescent="0.25"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2"/>
      <c r="AZ739" s="2"/>
    </row>
    <row r="740" spans="3:52" x14ac:dyDescent="0.25"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2"/>
      <c r="AZ740" s="2"/>
    </row>
    <row r="741" spans="3:52" x14ac:dyDescent="0.25"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2"/>
      <c r="AZ741" s="2"/>
    </row>
    <row r="742" spans="3:52" x14ac:dyDescent="0.25"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2"/>
      <c r="AZ742" s="2"/>
    </row>
    <row r="743" spans="3:52" x14ac:dyDescent="0.25"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2"/>
      <c r="AZ743" s="2"/>
    </row>
    <row r="744" spans="3:52" x14ac:dyDescent="0.25"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2"/>
      <c r="AZ744" s="2"/>
    </row>
    <row r="745" spans="3:52" x14ac:dyDescent="0.25"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2"/>
      <c r="AZ745" s="2"/>
    </row>
    <row r="746" spans="3:52" x14ac:dyDescent="0.25"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2"/>
      <c r="AZ746" s="2"/>
    </row>
    <row r="747" spans="3:52" x14ac:dyDescent="0.25"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2"/>
      <c r="AZ747" s="2"/>
    </row>
    <row r="748" spans="3:52" x14ac:dyDescent="0.25">
      <c r="C748" s="3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1"/>
      <c r="AZ748" s="2"/>
    </row>
    <row r="749" spans="3:52" x14ac:dyDescent="0.25"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2"/>
    </row>
    <row r="750" spans="3:52" x14ac:dyDescent="0.25"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2"/>
    </row>
    <row r="751" spans="3:52" x14ac:dyDescent="0.25"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2"/>
    </row>
    <row r="752" spans="3:52" x14ac:dyDescent="0.25"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2"/>
    </row>
    <row r="753" spans="3:52" x14ac:dyDescent="0.25"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2"/>
    </row>
    <row r="754" spans="3:52" x14ac:dyDescent="0.25"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2"/>
    </row>
    <row r="755" spans="3:52" x14ac:dyDescent="0.25"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2"/>
    </row>
    <row r="756" spans="3:52" x14ac:dyDescent="0.25"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2"/>
    </row>
    <row r="757" spans="3:52" x14ac:dyDescent="0.25"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2"/>
    </row>
    <row r="758" spans="3:52" x14ac:dyDescent="0.25"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2"/>
    </row>
    <row r="759" spans="3:52" x14ac:dyDescent="0.25"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2"/>
    </row>
    <row r="760" spans="3:52" x14ac:dyDescent="0.25"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2"/>
    </row>
    <row r="761" spans="3:52" x14ac:dyDescent="0.25"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2"/>
    </row>
    <row r="762" spans="3:52" x14ac:dyDescent="0.25"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2"/>
    </row>
    <row r="763" spans="3:52" x14ac:dyDescent="0.25"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2"/>
    </row>
    <row r="764" spans="3:52" x14ac:dyDescent="0.25"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2"/>
    </row>
    <row r="765" spans="3:52" x14ac:dyDescent="0.25"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2"/>
    </row>
    <row r="766" spans="3:52" x14ac:dyDescent="0.25"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2"/>
    </row>
    <row r="767" spans="3:52" x14ac:dyDescent="0.25"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2"/>
    </row>
    <row r="768" spans="3:52" x14ac:dyDescent="0.25"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2"/>
    </row>
    <row r="769" spans="3:52" x14ac:dyDescent="0.25"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2"/>
    </row>
    <row r="770" spans="3:52" x14ac:dyDescent="0.25"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2"/>
    </row>
    <row r="771" spans="3:52" x14ac:dyDescent="0.25"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2"/>
    </row>
    <row r="772" spans="3:52" x14ac:dyDescent="0.25"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2"/>
    </row>
    <row r="773" spans="3:52" x14ac:dyDescent="0.25"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2"/>
    </row>
    <row r="774" spans="3:52" x14ac:dyDescent="0.25"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2"/>
    </row>
    <row r="775" spans="3:52" x14ac:dyDescent="0.25"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2"/>
    </row>
    <row r="776" spans="3:52" x14ac:dyDescent="0.25"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2"/>
    </row>
    <row r="777" spans="3:52" x14ac:dyDescent="0.25"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2"/>
    </row>
    <row r="778" spans="3:52" x14ac:dyDescent="0.25"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2"/>
    </row>
    <row r="779" spans="3:52" x14ac:dyDescent="0.25"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2"/>
    </row>
    <row r="780" spans="3:52" x14ac:dyDescent="0.25"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2"/>
    </row>
    <row r="781" spans="3:52" x14ac:dyDescent="0.25"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2"/>
    </row>
    <row r="782" spans="3:52" x14ac:dyDescent="0.25"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2"/>
    </row>
    <row r="783" spans="3:52" x14ac:dyDescent="0.25"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2"/>
    </row>
    <row r="784" spans="3:52" x14ac:dyDescent="0.25"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2"/>
    </row>
    <row r="785" spans="3:52" x14ac:dyDescent="0.25"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2"/>
    </row>
    <row r="786" spans="3:52" x14ac:dyDescent="0.25"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2"/>
    </row>
    <row r="787" spans="3:52" x14ac:dyDescent="0.25"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2"/>
    </row>
    <row r="788" spans="3:52" x14ac:dyDescent="0.25"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2"/>
    </row>
    <row r="789" spans="3:52" x14ac:dyDescent="0.25"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2"/>
    </row>
    <row r="790" spans="3:52" x14ac:dyDescent="0.25"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2"/>
    </row>
    <row r="791" spans="3:52" x14ac:dyDescent="0.25"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2"/>
    </row>
    <row r="792" spans="3:52" x14ac:dyDescent="0.25"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2"/>
    </row>
    <row r="793" spans="3:52" x14ac:dyDescent="0.25"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2"/>
    </row>
    <row r="794" spans="3:52" x14ac:dyDescent="0.25"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2"/>
    </row>
    <row r="795" spans="3:52" x14ac:dyDescent="0.25"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2"/>
    </row>
    <row r="796" spans="3:52" x14ac:dyDescent="0.25"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2"/>
    </row>
    <row r="797" spans="3:52" x14ac:dyDescent="0.25"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2"/>
    </row>
    <row r="798" spans="3:52" x14ac:dyDescent="0.25"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2"/>
    </row>
    <row r="799" spans="3:52" x14ac:dyDescent="0.25"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2"/>
    </row>
    <row r="800" spans="3:52" x14ac:dyDescent="0.25"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2"/>
    </row>
    <row r="801" spans="3:52" x14ac:dyDescent="0.25"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2"/>
    </row>
    <row r="802" spans="3:52" x14ac:dyDescent="0.25"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2"/>
    </row>
    <row r="803" spans="3:52" x14ac:dyDescent="0.25"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2"/>
    </row>
    <row r="804" spans="3:52" x14ac:dyDescent="0.25"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2"/>
    </row>
    <row r="805" spans="3:52" x14ac:dyDescent="0.25"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2"/>
    </row>
    <row r="806" spans="3:52" x14ac:dyDescent="0.25"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2"/>
    </row>
    <row r="807" spans="3:52" x14ac:dyDescent="0.25"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2"/>
    </row>
    <row r="808" spans="3:52" x14ac:dyDescent="0.25"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2"/>
    </row>
    <row r="809" spans="3:52" x14ac:dyDescent="0.25"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2"/>
    </row>
    <row r="810" spans="3:52" x14ac:dyDescent="0.25"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2"/>
    </row>
    <row r="811" spans="3:52" x14ac:dyDescent="0.25"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2"/>
    </row>
    <row r="812" spans="3:52" x14ac:dyDescent="0.25"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2"/>
    </row>
    <row r="813" spans="3:52" x14ac:dyDescent="0.25"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2"/>
    </row>
    <row r="814" spans="3:52" x14ac:dyDescent="0.25"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2"/>
    </row>
    <row r="815" spans="3:52" x14ac:dyDescent="0.25"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2"/>
    </row>
    <row r="816" spans="3:52" x14ac:dyDescent="0.25"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2"/>
    </row>
    <row r="817" spans="3:52" x14ac:dyDescent="0.25"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2"/>
    </row>
    <row r="818" spans="3:52" x14ac:dyDescent="0.25"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2"/>
    </row>
    <row r="819" spans="3:52" x14ac:dyDescent="0.25"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2"/>
    </row>
    <row r="820" spans="3:52" x14ac:dyDescent="0.25"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2"/>
    </row>
    <row r="821" spans="3:52" x14ac:dyDescent="0.25"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2"/>
    </row>
    <row r="822" spans="3:52" x14ac:dyDescent="0.25"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2"/>
    </row>
    <row r="823" spans="3:52" x14ac:dyDescent="0.25"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2"/>
    </row>
    <row r="824" spans="3:52" x14ac:dyDescent="0.25"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2"/>
    </row>
    <row r="825" spans="3:52" x14ac:dyDescent="0.25"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2"/>
    </row>
    <row r="826" spans="3:52" x14ac:dyDescent="0.25"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2"/>
    </row>
    <row r="827" spans="3:52" x14ac:dyDescent="0.25"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2"/>
    </row>
    <row r="828" spans="3:52" x14ac:dyDescent="0.25"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2"/>
    </row>
    <row r="829" spans="3:52" x14ac:dyDescent="0.25"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2"/>
    </row>
    <row r="830" spans="3:52" x14ac:dyDescent="0.25"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2"/>
    </row>
    <row r="831" spans="3:52" x14ac:dyDescent="0.25"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2"/>
    </row>
    <row r="832" spans="3:52" x14ac:dyDescent="0.25"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2"/>
    </row>
    <row r="833" spans="3:52" x14ac:dyDescent="0.25"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2"/>
    </row>
    <row r="834" spans="3:52" x14ac:dyDescent="0.25"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2"/>
    </row>
    <row r="835" spans="3:52" x14ac:dyDescent="0.25"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2"/>
    </row>
    <row r="836" spans="3:52" x14ac:dyDescent="0.25"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2"/>
    </row>
    <row r="837" spans="3:52" x14ac:dyDescent="0.25"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2"/>
    </row>
    <row r="838" spans="3:52" x14ac:dyDescent="0.25"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2"/>
    </row>
    <row r="839" spans="3:52" x14ac:dyDescent="0.25"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2"/>
    </row>
    <row r="840" spans="3:52" x14ac:dyDescent="0.25"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2"/>
    </row>
    <row r="841" spans="3:52" x14ac:dyDescent="0.25"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2"/>
    </row>
    <row r="842" spans="3:52" x14ac:dyDescent="0.25"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2"/>
    </row>
    <row r="843" spans="3:52" x14ac:dyDescent="0.25"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2"/>
    </row>
    <row r="844" spans="3:52" x14ac:dyDescent="0.25"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2"/>
    </row>
    <row r="845" spans="3:52" x14ac:dyDescent="0.25"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2"/>
    </row>
    <row r="846" spans="3:52" x14ac:dyDescent="0.25"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2"/>
    </row>
    <row r="847" spans="3:52" x14ac:dyDescent="0.25"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2"/>
    </row>
    <row r="848" spans="3:52" x14ac:dyDescent="0.25"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2"/>
    </row>
    <row r="849" spans="3:52" x14ac:dyDescent="0.25"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2"/>
    </row>
    <row r="850" spans="3:52" x14ac:dyDescent="0.25"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2"/>
    </row>
    <row r="851" spans="3:52" x14ac:dyDescent="0.25"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2"/>
    </row>
    <row r="852" spans="3:52" x14ac:dyDescent="0.25"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2"/>
    </row>
    <row r="853" spans="3:52" x14ac:dyDescent="0.25"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2"/>
    </row>
    <row r="854" spans="3:52" x14ac:dyDescent="0.25"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2"/>
    </row>
    <row r="855" spans="3:52" x14ac:dyDescent="0.25"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2"/>
    </row>
    <row r="856" spans="3:52" x14ac:dyDescent="0.25"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2"/>
    </row>
    <row r="857" spans="3:52" x14ac:dyDescent="0.25"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2"/>
    </row>
    <row r="858" spans="3:52" x14ac:dyDescent="0.25"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2"/>
    </row>
    <row r="859" spans="3:52" x14ac:dyDescent="0.25"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2"/>
    </row>
    <row r="860" spans="3:52" x14ac:dyDescent="0.25"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2"/>
    </row>
    <row r="861" spans="3:52" x14ac:dyDescent="0.25"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2"/>
    </row>
    <row r="862" spans="3:52" x14ac:dyDescent="0.25"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2"/>
    </row>
    <row r="863" spans="3:52" x14ac:dyDescent="0.25"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2"/>
    </row>
    <row r="864" spans="3:52" x14ac:dyDescent="0.25"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2"/>
    </row>
    <row r="865" spans="3:52" x14ac:dyDescent="0.25"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2"/>
    </row>
    <row r="866" spans="3:52" x14ac:dyDescent="0.25"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2"/>
    </row>
    <row r="867" spans="3:52" x14ac:dyDescent="0.25"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2"/>
    </row>
    <row r="868" spans="3:52" x14ac:dyDescent="0.25"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2"/>
    </row>
    <row r="869" spans="3:52" x14ac:dyDescent="0.25"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2"/>
    </row>
    <row r="870" spans="3:52" x14ac:dyDescent="0.25"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2"/>
    </row>
    <row r="871" spans="3:52" x14ac:dyDescent="0.25"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2"/>
    </row>
    <row r="872" spans="3:52" x14ac:dyDescent="0.25"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2"/>
    </row>
    <row r="873" spans="3:52" x14ac:dyDescent="0.25"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2"/>
    </row>
    <row r="874" spans="3:52" x14ac:dyDescent="0.25"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2"/>
    </row>
    <row r="875" spans="3:52" x14ac:dyDescent="0.25"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2"/>
    </row>
    <row r="876" spans="3:52" x14ac:dyDescent="0.25"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2"/>
    </row>
    <row r="877" spans="3:52" x14ac:dyDescent="0.25"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2"/>
    </row>
    <row r="878" spans="3:52" x14ac:dyDescent="0.25"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2"/>
    </row>
    <row r="879" spans="3:52" x14ac:dyDescent="0.25"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2"/>
    </row>
    <row r="880" spans="3:52" x14ac:dyDescent="0.25"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2"/>
    </row>
    <row r="881" spans="3:52" x14ac:dyDescent="0.25"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2"/>
    </row>
    <row r="882" spans="3:52" x14ac:dyDescent="0.25"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2"/>
    </row>
    <row r="883" spans="3:52" x14ac:dyDescent="0.25"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2"/>
    </row>
    <row r="884" spans="3:52" x14ac:dyDescent="0.25"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2"/>
    </row>
    <row r="885" spans="3:52" x14ac:dyDescent="0.25"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2"/>
    </row>
    <row r="886" spans="3:52" x14ac:dyDescent="0.25"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2"/>
    </row>
    <row r="887" spans="3:52" x14ac:dyDescent="0.25"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2"/>
    </row>
    <row r="888" spans="3:52" x14ac:dyDescent="0.25"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2"/>
    </row>
    <row r="889" spans="3:52" x14ac:dyDescent="0.25"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2"/>
    </row>
    <row r="890" spans="3:52" x14ac:dyDescent="0.25"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2"/>
    </row>
    <row r="891" spans="3:52" x14ac:dyDescent="0.25"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2"/>
    </row>
    <row r="892" spans="3:52" x14ac:dyDescent="0.25"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2"/>
    </row>
    <row r="893" spans="3:52" x14ac:dyDescent="0.25"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2"/>
    </row>
    <row r="894" spans="3:52" x14ac:dyDescent="0.25"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2"/>
    </row>
    <row r="895" spans="3:52" x14ac:dyDescent="0.25"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2"/>
    </row>
    <row r="896" spans="3:52" x14ac:dyDescent="0.25"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2"/>
    </row>
    <row r="897" spans="3:52" x14ac:dyDescent="0.25"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2"/>
    </row>
    <row r="898" spans="3:52" x14ac:dyDescent="0.25"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2"/>
    </row>
    <row r="899" spans="3:52" x14ac:dyDescent="0.25"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2"/>
    </row>
    <row r="900" spans="3:52" x14ac:dyDescent="0.25"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2"/>
    </row>
    <row r="901" spans="3:52" x14ac:dyDescent="0.25"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2"/>
    </row>
    <row r="902" spans="3:52" x14ac:dyDescent="0.25"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2"/>
    </row>
    <row r="903" spans="3:52" x14ac:dyDescent="0.25"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2"/>
    </row>
    <row r="904" spans="3:52" x14ac:dyDescent="0.25"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2"/>
    </row>
    <row r="905" spans="3:52" x14ac:dyDescent="0.25"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2"/>
    </row>
    <row r="906" spans="3:52" x14ac:dyDescent="0.25"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2"/>
    </row>
    <row r="907" spans="3:52" x14ac:dyDescent="0.25"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2"/>
    </row>
    <row r="908" spans="3:52" x14ac:dyDescent="0.25"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2"/>
    </row>
    <row r="909" spans="3:52" x14ac:dyDescent="0.25"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2"/>
    </row>
    <row r="910" spans="3:52" x14ac:dyDescent="0.25"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2"/>
    </row>
    <row r="911" spans="3:52" x14ac:dyDescent="0.25"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2"/>
    </row>
    <row r="912" spans="3:52" x14ac:dyDescent="0.25"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2"/>
    </row>
    <row r="913" spans="3:52" x14ac:dyDescent="0.25"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2"/>
    </row>
    <row r="914" spans="3:52" x14ac:dyDescent="0.25"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2"/>
    </row>
    <row r="915" spans="3:52" x14ac:dyDescent="0.25"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2"/>
    </row>
    <row r="916" spans="3:52" x14ac:dyDescent="0.25"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2"/>
    </row>
    <row r="917" spans="3:52" x14ac:dyDescent="0.25"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2"/>
    </row>
    <row r="918" spans="3:52" x14ac:dyDescent="0.25"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2"/>
    </row>
    <row r="919" spans="3:52" x14ac:dyDescent="0.25"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2"/>
    </row>
    <row r="920" spans="3:52" x14ac:dyDescent="0.25"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2"/>
    </row>
    <row r="921" spans="3:52" x14ac:dyDescent="0.25"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2"/>
    </row>
    <row r="922" spans="3:52" x14ac:dyDescent="0.25"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2"/>
    </row>
    <row r="923" spans="3:52" x14ac:dyDescent="0.25"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2"/>
    </row>
    <row r="924" spans="3:52" x14ac:dyDescent="0.25"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2"/>
    </row>
    <row r="925" spans="3:52" x14ac:dyDescent="0.25"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2"/>
    </row>
    <row r="926" spans="3:52" x14ac:dyDescent="0.25"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2"/>
    </row>
    <row r="927" spans="3:52" x14ac:dyDescent="0.25"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2"/>
    </row>
    <row r="928" spans="3:52" x14ac:dyDescent="0.25"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2"/>
    </row>
    <row r="929" spans="3:52" x14ac:dyDescent="0.25"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2"/>
    </row>
    <row r="930" spans="3:52" x14ac:dyDescent="0.25"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2"/>
    </row>
    <row r="931" spans="3:52" x14ac:dyDescent="0.25"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2"/>
    </row>
    <row r="932" spans="3:52" x14ac:dyDescent="0.25"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2"/>
    </row>
    <row r="933" spans="3:52" x14ac:dyDescent="0.25"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2"/>
    </row>
    <row r="934" spans="3:52" x14ac:dyDescent="0.25"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2"/>
    </row>
    <row r="935" spans="3:52" x14ac:dyDescent="0.25"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2"/>
    </row>
    <row r="936" spans="3:52" x14ac:dyDescent="0.25"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2"/>
    </row>
    <row r="937" spans="3:52" x14ac:dyDescent="0.25"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2"/>
    </row>
    <row r="938" spans="3:52" x14ac:dyDescent="0.25"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2"/>
    </row>
    <row r="939" spans="3:52" x14ac:dyDescent="0.25"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2"/>
    </row>
    <row r="940" spans="3:52" x14ac:dyDescent="0.25"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2"/>
    </row>
    <row r="941" spans="3:52" x14ac:dyDescent="0.25"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2"/>
    </row>
    <row r="942" spans="3:52" x14ac:dyDescent="0.25"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2"/>
    </row>
    <row r="943" spans="3:52" x14ac:dyDescent="0.25"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2"/>
    </row>
    <row r="944" spans="3:52" x14ac:dyDescent="0.25"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2"/>
    </row>
    <row r="945" spans="3:52" x14ac:dyDescent="0.25"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2"/>
    </row>
    <row r="946" spans="3:52" x14ac:dyDescent="0.25"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2"/>
    </row>
    <row r="947" spans="3:52" x14ac:dyDescent="0.25"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2"/>
    </row>
    <row r="948" spans="3:52" x14ac:dyDescent="0.25"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2"/>
    </row>
    <row r="949" spans="3:52" x14ac:dyDescent="0.25"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2"/>
    </row>
    <row r="950" spans="3:52" x14ac:dyDescent="0.25"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2"/>
    </row>
    <row r="951" spans="3:52" x14ac:dyDescent="0.25"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2"/>
    </row>
    <row r="952" spans="3:52" x14ac:dyDescent="0.25"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2"/>
    </row>
    <row r="953" spans="3:52" x14ac:dyDescent="0.25"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2"/>
    </row>
    <row r="954" spans="3:52" x14ac:dyDescent="0.25"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2"/>
    </row>
    <row r="955" spans="3:52" x14ac:dyDescent="0.25"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2"/>
    </row>
    <row r="956" spans="3:52" x14ac:dyDescent="0.25"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2"/>
    </row>
    <row r="957" spans="3:52" x14ac:dyDescent="0.25"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2"/>
    </row>
    <row r="958" spans="3:52" x14ac:dyDescent="0.25"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2"/>
    </row>
    <row r="959" spans="3:52" x14ac:dyDescent="0.25"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2"/>
    </row>
    <row r="960" spans="3:52" x14ac:dyDescent="0.25"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2"/>
    </row>
    <row r="961" spans="3:52" x14ac:dyDescent="0.25"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2"/>
    </row>
    <row r="962" spans="3:52" x14ac:dyDescent="0.25"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2"/>
    </row>
    <row r="963" spans="3:52" x14ac:dyDescent="0.25"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2"/>
    </row>
    <row r="964" spans="3:52" x14ac:dyDescent="0.25"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2"/>
    </row>
    <row r="965" spans="3:52" x14ac:dyDescent="0.25"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2"/>
    </row>
    <row r="966" spans="3:52" x14ac:dyDescent="0.25"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2"/>
    </row>
    <row r="967" spans="3:52" x14ac:dyDescent="0.25"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2"/>
    </row>
    <row r="968" spans="3:52" x14ac:dyDescent="0.25"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2"/>
    </row>
    <row r="969" spans="3:52" x14ac:dyDescent="0.25"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2"/>
    </row>
    <row r="970" spans="3:52" x14ac:dyDescent="0.25"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2"/>
    </row>
    <row r="971" spans="3:52" x14ac:dyDescent="0.25"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2"/>
    </row>
    <row r="972" spans="3:52" x14ac:dyDescent="0.25"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2"/>
    </row>
    <row r="973" spans="3:52" x14ac:dyDescent="0.25"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2"/>
    </row>
    <row r="974" spans="3:52" x14ac:dyDescent="0.25"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2"/>
    </row>
    <row r="975" spans="3:52" x14ac:dyDescent="0.25"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2"/>
    </row>
    <row r="976" spans="3:52" x14ac:dyDescent="0.25"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2"/>
    </row>
    <row r="977" spans="3:52" x14ac:dyDescent="0.25"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2"/>
    </row>
    <row r="978" spans="3:52" x14ac:dyDescent="0.25"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2"/>
    </row>
    <row r="979" spans="3:52" x14ac:dyDescent="0.25"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2"/>
    </row>
    <row r="980" spans="3:52" x14ac:dyDescent="0.25"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2"/>
    </row>
    <row r="981" spans="3:52" x14ac:dyDescent="0.25"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2"/>
    </row>
    <row r="982" spans="3:52" x14ac:dyDescent="0.25"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2"/>
    </row>
    <row r="983" spans="3:52" x14ac:dyDescent="0.25"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2"/>
    </row>
    <row r="984" spans="3:52" x14ac:dyDescent="0.25"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2"/>
    </row>
    <row r="985" spans="3:52" x14ac:dyDescent="0.25"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2"/>
    </row>
    <row r="986" spans="3:52" x14ac:dyDescent="0.25"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2"/>
    </row>
    <row r="987" spans="3:52" x14ac:dyDescent="0.25"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2"/>
    </row>
    <row r="988" spans="3:52" x14ac:dyDescent="0.25"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2"/>
    </row>
    <row r="989" spans="3:52" x14ac:dyDescent="0.25"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2"/>
    </row>
    <row r="990" spans="3:52" x14ac:dyDescent="0.25"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2"/>
    </row>
    <row r="991" spans="3:52" x14ac:dyDescent="0.25"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2"/>
    </row>
    <row r="992" spans="3:52" x14ac:dyDescent="0.25"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2"/>
    </row>
    <row r="993" spans="3:52" x14ac:dyDescent="0.25"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2"/>
    </row>
    <row r="994" spans="3:52" x14ac:dyDescent="0.25"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2"/>
    </row>
    <row r="995" spans="3:52" x14ac:dyDescent="0.25"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2"/>
    </row>
    <row r="996" spans="3:52" x14ac:dyDescent="0.25"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2"/>
    </row>
    <row r="997" spans="3:52" x14ac:dyDescent="0.25"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2"/>
    </row>
    <row r="998" spans="3:52" x14ac:dyDescent="0.25"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2"/>
    </row>
    <row r="999" spans="3:52" x14ac:dyDescent="0.25"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2"/>
    </row>
    <row r="1000" spans="3:52" x14ac:dyDescent="0.25"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2"/>
    </row>
  </sheetData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Limit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Amr.Saad-Aly@vodafone.com.eg</dc:creator>
  <cp:lastModifiedBy>Ahmed Sameh-Rizk, Vodafone</cp:lastModifiedBy>
  <cp:lastPrinted>2021-06-19T21:49:15Z</cp:lastPrinted>
  <dcterms:created xsi:type="dcterms:W3CDTF">2021-06-19T18:16:13Z</dcterms:created>
  <dcterms:modified xsi:type="dcterms:W3CDTF">2025-11-13T23:10:46Z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2022-12-15T21:28:22Z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43d62951-b5ec-4902-8b5f-0e26fc8edf48</vt:lpwstr>
  </property>
  <property fmtid="{D5CDD505-2E9C-101B-9397-08002B2CF9AE}" pid="8" name="MSIP_Label_7f373536-36c5-4fd9-8140-7ddebb8b4638_ContentBits">
    <vt:lpwstr>2</vt:lpwstr>
  </property>
</Properties>
</file>