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24Sfattah\AppData\Roaming\Microsoft\Windows\Network Shortcuts\"/>
    </mc:Choice>
  </mc:AlternateContent>
  <xr:revisionPtr revIDLastSave="0" documentId="8_{E0D2300F-2179-4444-8C94-BD90FF222BD1}" xr6:coauthVersionLast="47" xr6:coauthVersionMax="47" xr10:uidLastSave="{00000000-0000-0000-0000-000000000000}"/>
  <bookViews>
    <workbookView xWindow="-120" yWindow="-120" windowWidth="19440" windowHeight="14880" activeTab="2" xr2:uid="{00000000-000D-0000-FFFF-FFFF00000000}"/>
  </bookViews>
  <sheets>
    <sheet name="Master" sheetId="7" r:id="rId1"/>
    <sheet name="EU" sheetId="2" r:id="rId2"/>
    <sheet name="R.EU" sheetId="5" r:id="rId3"/>
    <sheet name="Red Cash" sheetId="6" r:id="rId4"/>
    <sheet name="Aspiring" sheetId="1" r:id="rId5"/>
    <sheet name="ICC" sheetId="4" r:id="rId6"/>
    <sheet name="SME-CM" sheetId="3" r:id="rId7"/>
    <sheet name="Validation" sheetId="9" r:id="rId8"/>
    <sheet name="Clint V" sheetId="13" r:id="rId9"/>
  </sheets>
  <externalReferences>
    <externalReference r:id="rId10"/>
  </externalReferences>
  <definedNames>
    <definedName name="_xlnm._FilterDatabase" localSheetId="1" hidden="1">EU!$C$1:$Z$50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X1" i="7" l="1"/>
  <c r="AK3" i="7" l="1"/>
  <c r="AP3" i="7"/>
  <c r="AO3" i="7"/>
  <c r="AN3" i="7"/>
  <c r="AM3" i="7"/>
  <c r="AL3" i="7"/>
  <c r="B22" i="5"/>
  <c r="B22" i="3"/>
  <c r="B22" i="4"/>
  <c r="B22" i="1"/>
  <c r="B22" i="6"/>
  <c r="B22" i="2"/>
  <c r="G32" i="4" l="1"/>
  <c r="G33" i="4"/>
  <c r="G34" i="4"/>
  <c r="G35" i="4"/>
  <c r="G36" i="4"/>
  <c r="I24" i="4" l="1"/>
  <c r="I25" i="4"/>
  <c r="I26" i="4"/>
  <c r="P50" i="2" l="1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E44" i="4" l="1"/>
  <c r="AG16" i="9" l="1"/>
  <c r="I22" i="4" l="1"/>
  <c r="I23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E46" i="6"/>
  <c r="Q9" i="9" l="1"/>
  <c r="Q8" i="9"/>
  <c r="E48" i="4" l="1"/>
  <c r="E3" i="2"/>
  <c r="G3" i="2"/>
  <c r="I3" i="2"/>
  <c r="J3" i="2"/>
  <c r="L3" i="2"/>
  <c r="E4" i="2"/>
  <c r="G4" i="2"/>
  <c r="I4" i="2"/>
  <c r="J4" i="2"/>
  <c r="L4" i="2"/>
  <c r="E5" i="2"/>
  <c r="G5" i="2"/>
  <c r="I5" i="2"/>
  <c r="J5" i="2"/>
  <c r="L5" i="2"/>
  <c r="E6" i="2"/>
  <c r="G6" i="2"/>
  <c r="I6" i="2"/>
  <c r="J6" i="2"/>
  <c r="L6" i="2"/>
  <c r="E7" i="2"/>
  <c r="G7" i="2"/>
  <c r="I7" i="2"/>
  <c r="J7" i="2"/>
  <c r="L7" i="2"/>
  <c r="E8" i="2"/>
  <c r="G8" i="2"/>
  <c r="I8" i="2"/>
  <c r="J8" i="2"/>
  <c r="L8" i="2"/>
  <c r="E9" i="2"/>
  <c r="G9" i="2"/>
  <c r="I9" i="2"/>
  <c r="J9" i="2"/>
  <c r="L9" i="2"/>
  <c r="E10" i="2"/>
  <c r="G10" i="2"/>
  <c r="I10" i="2"/>
  <c r="J10" i="2"/>
  <c r="L10" i="2"/>
  <c r="E11" i="2"/>
  <c r="G11" i="2"/>
  <c r="I11" i="2"/>
  <c r="J11" i="2"/>
  <c r="L11" i="2"/>
  <c r="E12" i="2"/>
  <c r="G12" i="2"/>
  <c r="I12" i="2"/>
  <c r="J12" i="2"/>
  <c r="L12" i="2"/>
  <c r="E13" i="2"/>
  <c r="G13" i="2"/>
  <c r="I13" i="2"/>
  <c r="J13" i="2"/>
  <c r="L13" i="2"/>
  <c r="E14" i="2"/>
  <c r="G14" i="2"/>
  <c r="I14" i="2"/>
  <c r="J14" i="2"/>
  <c r="L14" i="2"/>
  <c r="E15" i="2"/>
  <c r="G15" i="2"/>
  <c r="I15" i="2"/>
  <c r="J15" i="2"/>
  <c r="L15" i="2"/>
  <c r="E16" i="2"/>
  <c r="G16" i="2"/>
  <c r="I16" i="2"/>
  <c r="J16" i="2"/>
  <c r="L16" i="2"/>
  <c r="E17" i="2"/>
  <c r="G17" i="2"/>
  <c r="I17" i="2"/>
  <c r="J17" i="2"/>
  <c r="L17" i="2"/>
  <c r="E18" i="2"/>
  <c r="G18" i="2"/>
  <c r="I18" i="2"/>
  <c r="J18" i="2"/>
  <c r="L18" i="2"/>
  <c r="E19" i="2"/>
  <c r="G19" i="2"/>
  <c r="I19" i="2"/>
  <c r="J19" i="2"/>
  <c r="L19" i="2"/>
  <c r="E20" i="2"/>
  <c r="G20" i="2"/>
  <c r="I20" i="2"/>
  <c r="J20" i="2"/>
  <c r="L20" i="2"/>
  <c r="E21" i="2"/>
  <c r="G21" i="2"/>
  <c r="I21" i="2"/>
  <c r="J21" i="2"/>
  <c r="L21" i="2"/>
  <c r="E22" i="2"/>
  <c r="G22" i="2"/>
  <c r="I22" i="2"/>
  <c r="J22" i="2"/>
  <c r="L22" i="2"/>
  <c r="E23" i="2"/>
  <c r="G23" i="2"/>
  <c r="I23" i="2"/>
  <c r="J23" i="2"/>
  <c r="L23" i="2"/>
  <c r="E24" i="2"/>
  <c r="G24" i="2"/>
  <c r="I24" i="2"/>
  <c r="J24" i="2"/>
  <c r="L24" i="2"/>
  <c r="E25" i="2"/>
  <c r="G25" i="2"/>
  <c r="I25" i="2"/>
  <c r="J25" i="2"/>
  <c r="L25" i="2"/>
  <c r="E26" i="2"/>
  <c r="G26" i="2"/>
  <c r="I26" i="2"/>
  <c r="J26" i="2"/>
  <c r="L26" i="2"/>
  <c r="E27" i="2"/>
  <c r="G27" i="2"/>
  <c r="I27" i="2"/>
  <c r="J27" i="2"/>
  <c r="L27" i="2"/>
  <c r="E28" i="2"/>
  <c r="G28" i="2"/>
  <c r="I28" i="2"/>
  <c r="J28" i="2"/>
  <c r="L28" i="2"/>
  <c r="E29" i="2"/>
  <c r="G29" i="2"/>
  <c r="I29" i="2"/>
  <c r="J29" i="2"/>
  <c r="L29" i="2"/>
  <c r="E30" i="2"/>
  <c r="G30" i="2"/>
  <c r="I30" i="2"/>
  <c r="J30" i="2"/>
  <c r="L30" i="2"/>
  <c r="E31" i="2"/>
  <c r="G31" i="2"/>
  <c r="I31" i="2"/>
  <c r="J31" i="2"/>
  <c r="L31" i="2"/>
  <c r="E32" i="2"/>
  <c r="G32" i="2"/>
  <c r="I32" i="2"/>
  <c r="J32" i="2"/>
  <c r="L32" i="2"/>
  <c r="E33" i="2"/>
  <c r="G33" i="2"/>
  <c r="I33" i="2"/>
  <c r="J33" i="2"/>
  <c r="L33" i="2"/>
  <c r="E34" i="2"/>
  <c r="G34" i="2"/>
  <c r="I34" i="2"/>
  <c r="J34" i="2"/>
  <c r="L34" i="2"/>
  <c r="E35" i="2"/>
  <c r="G35" i="2"/>
  <c r="I35" i="2"/>
  <c r="J35" i="2"/>
  <c r="L35" i="2"/>
  <c r="E36" i="2"/>
  <c r="G36" i="2"/>
  <c r="I36" i="2"/>
  <c r="J36" i="2"/>
  <c r="L36" i="2"/>
  <c r="E37" i="2"/>
  <c r="G37" i="2"/>
  <c r="I37" i="2"/>
  <c r="J37" i="2"/>
  <c r="L37" i="2"/>
  <c r="E38" i="2"/>
  <c r="G38" i="2"/>
  <c r="I38" i="2"/>
  <c r="J38" i="2"/>
  <c r="L38" i="2"/>
  <c r="E39" i="2"/>
  <c r="G39" i="2"/>
  <c r="I39" i="2"/>
  <c r="J39" i="2"/>
  <c r="L39" i="2"/>
  <c r="E40" i="2"/>
  <c r="G40" i="2"/>
  <c r="I40" i="2"/>
  <c r="J40" i="2"/>
  <c r="L40" i="2"/>
  <c r="E41" i="2"/>
  <c r="G41" i="2"/>
  <c r="I41" i="2"/>
  <c r="J41" i="2"/>
  <c r="L41" i="2"/>
  <c r="E42" i="2"/>
  <c r="G42" i="2"/>
  <c r="I42" i="2"/>
  <c r="J42" i="2"/>
  <c r="L42" i="2"/>
  <c r="E43" i="2"/>
  <c r="G43" i="2"/>
  <c r="I43" i="2"/>
  <c r="J43" i="2"/>
  <c r="L43" i="2"/>
  <c r="E44" i="2"/>
  <c r="G44" i="2"/>
  <c r="I44" i="2"/>
  <c r="J44" i="2"/>
  <c r="L44" i="2"/>
  <c r="E45" i="2"/>
  <c r="G45" i="2"/>
  <c r="I45" i="2"/>
  <c r="J45" i="2"/>
  <c r="L45" i="2"/>
  <c r="E46" i="2"/>
  <c r="G46" i="2"/>
  <c r="I46" i="2"/>
  <c r="J46" i="2"/>
  <c r="L46" i="2"/>
  <c r="E47" i="2"/>
  <c r="G47" i="2"/>
  <c r="I47" i="2"/>
  <c r="J47" i="2"/>
  <c r="L47" i="2"/>
  <c r="E48" i="2"/>
  <c r="G48" i="2"/>
  <c r="I48" i="2"/>
  <c r="J48" i="2"/>
  <c r="L48" i="2"/>
  <c r="E49" i="2"/>
  <c r="G49" i="2"/>
  <c r="I49" i="2"/>
  <c r="J49" i="2"/>
  <c r="L49" i="2"/>
  <c r="E3" i="3"/>
  <c r="G3" i="3"/>
  <c r="I3" i="3"/>
  <c r="J3" i="3"/>
  <c r="L3" i="3"/>
  <c r="M3" i="3" s="1"/>
  <c r="E4" i="3"/>
  <c r="G4" i="3"/>
  <c r="I4" i="3"/>
  <c r="J4" i="3"/>
  <c r="L4" i="3"/>
  <c r="M4" i="3" s="1"/>
  <c r="E5" i="3"/>
  <c r="G5" i="3"/>
  <c r="I5" i="3"/>
  <c r="J5" i="3"/>
  <c r="L5" i="3"/>
  <c r="M5" i="3" s="1"/>
  <c r="E6" i="3"/>
  <c r="G6" i="3"/>
  <c r="I6" i="3"/>
  <c r="J6" i="3"/>
  <c r="L6" i="3"/>
  <c r="M6" i="3" s="1"/>
  <c r="E7" i="3"/>
  <c r="G7" i="3"/>
  <c r="I7" i="3"/>
  <c r="J7" i="3"/>
  <c r="L7" i="3"/>
  <c r="M7" i="3" s="1"/>
  <c r="E8" i="3"/>
  <c r="G8" i="3"/>
  <c r="I8" i="3"/>
  <c r="J8" i="3"/>
  <c r="L8" i="3"/>
  <c r="M8" i="3" s="1"/>
  <c r="E9" i="3"/>
  <c r="G9" i="3"/>
  <c r="I9" i="3"/>
  <c r="J9" i="3"/>
  <c r="L9" i="3"/>
  <c r="M9" i="3" s="1"/>
  <c r="E10" i="3"/>
  <c r="G10" i="3"/>
  <c r="I10" i="3"/>
  <c r="J10" i="3"/>
  <c r="L10" i="3"/>
  <c r="M10" i="3" s="1"/>
  <c r="E11" i="3"/>
  <c r="G11" i="3"/>
  <c r="I11" i="3"/>
  <c r="J11" i="3"/>
  <c r="L11" i="3"/>
  <c r="M11" i="3" s="1"/>
  <c r="E12" i="3"/>
  <c r="G12" i="3"/>
  <c r="I12" i="3"/>
  <c r="J12" i="3"/>
  <c r="L12" i="3"/>
  <c r="M12" i="3" s="1"/>
  <c r="E13" i="3"/>
  <c r="G13" i="3"/>
  <c r="I13" i="3"/>
  <c r="J13" i="3"/>
  <c r="L13" i="3"/>
  <c r="M13" i="3" s="1"/>
  <c r="E14" i="3"/>
  <c r="G14" i="3"/>
  <c r="I14" i="3"/>
  <c r="J14" i="3"/>
  <c r="L14" i="3"/>
  <c r="M14" i="3" s="1"/>
  <c r="E15" i="3"/>
  <c r="F15" i="3" s="1"/>
  <c r="G15" i="3"/>
  <c r="I15" i="3"/>
  <c r="J15" i="3"/>
  <c r="L15" i="3"/>
  <c r="M15" i="3" s="1"/>
  <c r="E16" i="3"/>
  <c r="F16" i="3" s="1"/>
  <c r="G16" i="3"/>
  <c r="I16" i="3"/>
  <c r="J16" i="3"/>
  <c r="L16" i="3"/>
  <c r="M16" i="3" s="1"/>
  <c r="E17" i="3"/>
  <c r="F17" i="3" s="1"/>
  <c r="G17" i="3"/>
  <c r="I17" i="3"/>
  <c r="J17" i="3"/>
  <c r="L17" i="3"/>
  <c r="M17" i="3" s="1"/>
  <c r="E18" i="3"/>
  <c r="G18" i="3"/>
  <c r="I18" i="3"/>
  <c r="J18" i="3"/>
  <c r="L18" i="3"/>
  <c r="E19" i="3"/>
  <c r="G19" i="3"/>
  <c r="I19" i="3"/>
  <c r="J19" i="3"/>
  <c r="L19" i="3"/>
  <c r="E20" i="3"/>
  <c r="G20" i="3"/>
  <c r="I20" i="3"/>
  <c r="J20" i="3"/>
  <c r="L20" i="3"/>
  <c r="E21" i="3"/>
  <c r="G21" i="3"/>
  <c r="I21" i="3"/>
  <c r="J21" i="3"/>
  <c r="L21" i="3"/>
  <c r="E22" i="3"/>
  <c r="G22" i="3"/>
  <c r="I22" i="3"/>
  <c r="J22" i="3"/>
  <c r="L22" i="3"/>
  <c r="E23" i="3"/>
  <c r="G23" i="3"/>
  <c r="I23" i="3"/>
  <c r="J23" i="3"/>
  <c r="L23" i="3"/>
  <c r="E24" i="3"/>
  <c r="G24" i="3"/>
  <c r="I24" i="3"/>
  <c r="J24" i="3"/>
  <c r="L24" i="3"/>
  <c r="E25" i="3"/>
  <c r="G25" i="3"/>
  <c r="I25" i="3"/>
  <c r="J25" i="3"/>
  <c r="L25" i="3"/>
  <c r="E26" i="3"/>
  <c r="G26" i="3"/>
  <c r="I26" i="3"/>
  <c r="J26" i="3"/>
  <c r="L26" i="3"/>
  <c r="E27" i="3"/>
  <c r="G27" i="3"/>
  <c r="I27" i="3"/>
  <c r="J27" i="3"/>
  <c r="L27" i="3"/>
  <c r="E28" i="3"/>
  <c r="G28" i="3"/>
  <c r="I28" i="3"/>
  <c r="J28" i="3"/>
  <c r="L28" i="3"/>
  <c r="E29" i="3"/>
  <c r="G29" i="3"/>
  <c r="I29" i="3"/>
  <c r="J29" i="3"/>
  <c r="L29" i="3"/>
  <c r="E30" i="3"/>
  <c r="G30" i="3"/>
  <c r="I30" i="3"/>
  <c r="J30" i="3"/>
  <c r="L30" i="3"/>
  <c r="E31" i="3"/>
  <c r="G31" i="3"/>
  <c r="I31" i="3"/>
  <c r="J31" i="3"/>
  <c r="L31" i="3"/>
  <c r="E32" i="3"/>
  <c r="G32" i="3"/>
  <c r="I32" i="3"/>
  <c r="J32" i="3"/>
  <c r="L32" i="3"/>
  <c r="E33" i="3"/>
  <c r="G33" i="3"/>
  <c r="I33" i="3"/>
  <c r="J33" i="3"/>
  <c r="L33" i="3"/>
  <c r="E34" i="3"/>
  <c r="G34" i="3"/>
  <c r="I34" i="3"/>
  <c r="J34" i="3"/>
  <c r="L34" i="3"/>
  <c r="E35" i="3"/>
  <c r="G35" i="3"/>
  <c r="I35" i="3"/>
  <c r="J35" i="3"/>
  <c r="L35" i="3"/>
  <c r="E36" i="3"/>
  <c r="G36" i="3"/>
  <c r="I36" i="3"/>
  <c r="J36" i="3"/>
  <c r="L36" i="3"/>
  <c r="E37" i="3"/>
  <c r="G37" i="3"/>
  <c r="I37" i="3"/>
  <c r="J37" i="3"/>
  <c r="L37" i="3"/>
  <c r="E38" i="3"/>
  <c r="G38" i="3"/>
  <c r="I38" i="3"/>
  <c r="J38" i="3"/>
  <c r="L38" i="3"/>
  <c r="E39" i="3"/>
  <c r="G39" i="3"/>
  <c r="I39" i="3"/>
  <c r="J39" i="3"/>
  <c r="L39" i="3"/>
  <c r="E40" i="3"/>
  <c r="G40" i="3"/>
  <c r="I40" i="3"/>
  <c r="J40" i="3"/>
  <c r="L40" i="3"/>
  <c r="E41" i="3"/>
  <c r="G41" i="3"/>
  <c r="I41" i="3"/>
  <c r="J41" i="3"/>
  <c r="L41" i="3"/>
  <c r="E42" i="3"/>
  <c r="G42" i="3"/>
  <c r="I42" i="3"/>
  <c r="J42" i="3"/>
  <c r="L42" i="3"/>
  <c r="E43" i="3"/>
  <c r="G43" i="3"/>
  <c r="I43" i="3"/>
  <c r="J43" i="3"/>
  <c r="L43" i="3"/>
  <c r="E44" i="3"/>
  <c r="G44" i="3"/>
  <c r="I44" i="3"/>
  <c r="J44" i="3"/>
  <c r="L44" i="3"/>
  <c r="E45" i="3"/>
  <c r="G45" i="3"/>
  <c r="I45" i="3"/>
  <c r="J45" i="3"/>
  <c r="L45" i="3"/>
  <c r="E46" i="3"/>
  <c r="G46" i="3"/>
  <c r="I46" i="3"/>
  <c r="J46" i="3"/>
  <c r="L46" i="3"/>
  <c r="E47" i="3"/>
  <c r="G47" i="3"/>
  <c r="I47" i="3"/>
  <c r="J47" i="3"/>
  <c r="L47" i="3"/>
  <c r="E48" i="3"/>
  <c r="G48" i="3"/>
  <c r="I48" i="3"/>
  <c r="J48" i="3"/>
  <c r="L48" i="3"/>
  <c r="E49" i="3"/>
  <c r="G49" i="3"/>
  <c r="I49" i="3"/>
  <c r="J49" i="3"/>
  <c r="L49" i="3"/>
  <c r="E3" i="4"/>
  <c r="G3" i="4"/>
  <c r="I3" i="4"/>
  <c r="J3" i="4"/>
  <c r="L3" i="4"/>
  <c r="E4" i="4"/>
  <c r="G4" i="4"/>
  <c r="I4" i="4"/>
  <c r="J4" i="4"/>
  <c r="L4" i="4"/>
  <c r="E5" i="4"/>
  <c r="G5" i="4"/>
  <c r="I5" i="4"/>
  <c r="J5" i="4"/>
  <c r="L5" i="4"/>
  <c r="E6" i="4"/>
  <c r="G6" i="4"/>
  <c r="I6" i="4"/>
  <c r="J6" i="4"/>
  <c r="L6" i="4"/>
  <c r="E7" i="4"/>
  <c r="G7" i="4"/>
  <c r="I7" i="4"/>
  <c r="J7" i="4"/>
  <c r="L7" i="4"/>
  <c r="E8" i="4"/>
  <c r="F8" i="4" s="1"/>
  <c r="G8" i="4"/>
  <c r="I8" i="4"/>
  <c r="J8" i="4"/>
  <c r="L8" i="4"/>
  <c r="M8" i="4" s="1"/>
  <c r="E9" i="4"/>
  <c r="G9" i="4"/>
  <c r="I9" i="4"/>
  <c r="J9" i="4"/>
  <c r="L9" i="4"/>
  <c r="M9" i="4" s="1"/>
  <c r="E10" i="4"/>
  <c r="G10" i="4"/>
  <c r="I10" i="4"/>
  <c r="J10" i="4"/>
  <c r="L10" i="4"/>
  <c r="M10" i="4" s="1"/>
  <c r="E11" i="4"/>
  <c r="N11" i="4" s="1"/>
  <c r="G11" i="4"/>
  <c r="I11" i="4"/>
  <c r="J11" i="4"/>
  <c r="L11" i="4"/>
  <c r="M11" i="4" s="1"/>
  <c r="E12" i="4"/>
  <c r="G12" i="4"/>
  <c r="I12" i="4"/>
  <c r="J12" i="4"/>
  <c r="L12" i="4"/>
  <c r="M12" i="4" s="1"/>
  <c r="E13" i="4"/>
  <c r="N13" i="4" s="1"/>
  <c r="G13" i="4"/>
  <c r="I13" i="4"/>
  <c r="J13" i="4"/>
  <c r="L13" i="4"/>
  <c r="M13" i="4" s="1"/>
  <c r="E14" i="4"/>
  <c r="G14" i="4"/>
  <c r="I14" i="4"/>
  <c r="J14" i="4"/>
  <c r="L14" i="4"/>
  <c r="M14" i="4" s="1"/>
  <c r="E15" i="4"/>
  <c r="G15" i="4"/>
  <c r="I15" i="4"/>
  <c r="J15" i="4"/>
  <c r="L15" i="4"/>
  <c r="M15" i="4" s="1"/>
  <c r="E16" i="4"/>
  <c r="G16" i="4"/>
  <c r="I16" i="4"/>
  <c r="J16" i="4"/>
  <c r="L16" i="4"/>
  <c r="E17" i="4"/>
  <c r="G17" i="4"/>
  <c r="I17" i="4"/>
  <c r="J17" i="4"/>
  <c r="L17" i="4"/>
  <c r="E18" i="4"/>
  <c r="G18" i="4"/>
  <c r="I18" i="4"/>
  <c r="J18" i="4"/>
  <c r="L18" i="4"/>
  <c r="E19" i="4"/>
  <c r="G19" i="4"/>
  <c r="I19" i="4"/>
  <c r="J19" i="4"/>
  <c r="L19" i="4"/>
  <c r="E20" i="4"/>
  <c r="G20" i="4"/>
  <c r="I20" i="4"/>
  <c r="J20" i="4"/>
  <c r="L20" i="4"/>
  <c r="E21" i="4"/>
  <c r="G21" i="4"/>
  <c r="I21" i="4"/>
  <c r="J21" i="4"/>
  <c r="L21" i="4"/>
  <c r="E22" i="4"/>
  <c r="H22" i="4" s="1"/>
  <c r="G22" i="4"/>
  <c r="J22" i="4"/>
  <c r="L22" i="4"/>
  <c r="E23" i="4"/>
  <c r="H23" i="4" s="1"/>
  <c r="G23" i="4"/>
  <c r="J23" i="4"/>
  <c r="L23" i="4"/>
  <c r="E24" i="4"/>
  <c r="H24" i="4" s="1"/>
  <c r="G24" i="4"/>
  <c r="J24" i="4"/>
  <c r="L24" i="4"/>
  <c r="E25" i="4"/>
  <c r="H25" i="4" s="1"/>
  <c r="G25" i="4"/>
  <c r="J25" i="4"/>
  <c r="L25" i="4"/>
  <c r="E26" i="4"/>
  <c r="H26" i="4" s="1"/>
  <c r="G26" i="4"/>
  <c r="J26" i="4"/>
  <c r="L26" i="4"/>
  <c r="E27" i="4"/>
  <c r="G27" i="4"/>
  <c r="J27" i="4"/>
  <c r="L27" i="4"/>
  <c r="E28" i="4"/>
  <c r="G28" i="4"/>
  <c r="J28" i="4"/>
  <c r="L28" i="4"/>
  <c r="E29" i="4"/>
  <c r="G29" i="4"/>
  <c r="J29" i="4"/>
  <c r="L29" i="4"/>
  <c r="E30" i="4"/>
  <c r="G30" i="4"/>
  <c r="J30" i="4"/>
  <c r="L30" i="4"/>
  <c r="E31" i="4"/>
  <c r="G31" i="4"/>
  <c r="J31" i="4"/>
  <c r="L31" i="4"/>
  <c r="E32" i="4"/>
  <c r="J32" i="4"/>
  <c r="L32" i="4"/>
  <c r="E33" i="4"/>
  <c r="J33" i="4"/>
  <c r="L33" i="4"/>
  <c r="E34" i="4"/>
  <c r="J34" i="4"/>
  <c r="L34" i="4"/>
  <c r="E35" i="4"/>
  <c r="J35" i="4"/>
  <c r="L35" i="4"/>
  <c r="E36" i="4"/>
  <c r="J36" i="4"/>
  <c r="L36" i="4"/>
  <c r="E37" i="4"/>
  <c r="G37" i="4"/>
  <c r="J37" i="4"/>
  <c r="L37" i="4"/>
  <c r="E38" i="4"/>
  <c r="G38" i="4"/>
  <c r="J38" i="4"/>
  <c r="L38" i="4"/>
  <c r="E39" i="4"/>
  <c r="G39" i="4"/>
  <c r="J39" i="4"/>
  <c r="L39" i="4"/>
  <c r="E40" i="4"/>
  <c r="G40" i="4"/>
  <c r="J40" i="4"/>
  <c r="L40" i="4"/>
  <c r="E41" i="4"/>
  <c r="G41" i="4"/>
  <c r="J41" i="4"/>
  <c r="L41" i="4"/>
  <c r="E42" i="4"/>
  <c r="G42" i="4"/>
  <c r="J42" i="4"/>
  <c r="L42" i="4"/>
  <c r="E43" i="4"/>
  <c r="G43" i="4"/>
  <c r="J43" i="4"/>
  <c r="L43" i="4"/>
  <c r="H44" i="4"/>
  <c r="G44" i="4"/>
  <c r="J44" i="4"/>
  <c r="Q44" i="4" s="1"/>
  <c r="L44" i="4"/>
  <c r="E45" i="4"/>
  <c r="G45" i="4"/>
  <c r="J45" i="4"/>
  <c r="L45" i="4"/>
  <c r="E46" i="4"/>
  <c r="G46" i="4"/>
  <c r="J46" i="4"/>
  <c r="L46" i="4"/>
  <c r="E47" i="4"/>
  <c r="G47" i="4"/>
  <c r="J47" i="4"/>
  <c r="L47" i="4"/>
  <c r="G48" i="4"/>
  <c r="J48" i="4"/>
  <c r="L48" i="4"/>
  <c r="E49" i="4"/>
  <c r="G49" i="4"/>
  <c r="J49" i="4"/>
  <c r="L49" i="4"/>
  <c r="E3" i="1"/>
  <c r="G3" i="1"/>
  <c r="I3" i="1"/>
  <c r="J3" i="1"/>
  <c r="L3" i="1"/>
  <c r="E4" i="1"/>
  <c r="G4" i="1"/>
  <c r="I4" i="1"/>
  <c r="J4" i="1"/>
  <c r="L4" i="1"/>
  <c r="E5" i="1"/>
  <c r="G5" i="1"/>
  <c r="I5" i="1"/>
  <c r="J5" i="1"/>
  <c r="L5" i="1"/>
  <c r="E6" i="1"/>
  <c r="G6" i="1"/>
  <c r="I6" i="1"/>
  <c r="J6" i="1"/>
  <c r="L6" i="1"/>
  <c r="E7" i="1"/>
  <c r="G7" i="1"/>
  <c r="I7" i="1"/>
  <c r="J7" i="1"/>
  <c r="L7" i="1"/>
  <c r="E8" i="1"/>
  <c r="G8" i="1"/>
  <c r="I8" i="1"/>
  <c r="J8" i="1"/>
  <c r="L8" i="1"/>
  <c r="E9" i="1"/>
  <c r="G9" i="1"/>
  <c r="I9" i="1"/>
  <c r="J9" i="1"/>
  <c r="L9" i="1"/>
  <c r="E10" i="1"/>
  <c r="G10" i="1"/>
  <c r="I10" i="1"/>
  <c r="J10" i="1"/>
  <c r="L10" i="1"/>
  <c r="E11" i="1"/>
  <c r="G11" i="1"/>
  <c r="I11" i="1"/>
  <c r="J11" i="1"/>
  <c r="L11" i="1"/>
  <c r="E12" i="1"/>
  <c r="G12" i="1"/>
  <c r="I12" i="1"/>
  <c r="J12" i="1"/>
  <c r="L12" i="1"/>
  <c r="E13" i="1"/>
  <c r="G13" i="1"/>
  <c r="I13" i="1"/>
  <c r="J13" i="1"/>
  <c r="L13" i="1"/>
  <c r="E14" i="1"/>
  <c r="G14" i="1"/>
  <c r="I14" i="1"/>
  <c r="J14" i="1"/>
  <c r="L14" i="1"/>
  <c r="E15" i="1"/>
  <c r="G15" i="1"/>
  <c r="I15" i="1"/>
  <c r="J15" i="1"/>
  <c r="L15" i="1"/>
  <c r="E16" i="1"/>
  <c r="G16" i="1"/>
  <c r="I16" i="1"/>
  <c r="J16" i="1"/>
  <c r="L16" i="1"/>
  <c r="E17" i="1"/>
  <c r="G17" i="1"/>
  <c r="I17" i="1"/>
  <c r="J17" i="1"/>
  <c r="L17" i="1"/>
  <c r="E18" i="1"/>
  <c r="G18" i="1"/>
  <c r="I18" i="1"/>
  <c r="J18" i="1"/>
  <c r="L18" i="1"/>
  <c r="E19" i="1"/>
  <c r="G19" i="1"/>
  <c r="I19" i="1"/>
  <c r="J19" i="1"/>
  <c r="L19" i="1"/>
  <c r="E20" i="1"/>
  <c r="G20" i="1"/>
  <c r="I20" i="1"/>
  <c r="J20" i="1"/>
  <c r="L20" i="1"/>
  <c r="E21" i="1"/>
  <c r="G21" i="1"/>
  <c r="I21" i="1"/>
  <c r="J21" i="1"/>
  <c r="L21" i="1"/>
  <c r="E22" i="1"/>
  <c r="G22" i="1"/>
  <c r="I22" i="1"/>
  <c r="J22" i="1"/>
  <c r="L22" i="1"/>
  <c r="E23" i="1"/>
  <c r="G23" i="1"/>
  <c r="I23" i="1"/>
  <c r="J23" i="1"/>
  <c r="L23" i="1"/>
  <c r="E24" i="1"/>
  <c r="G24" i="1"/>
  <c r="I24" i="1"/>
  <c r="J24" i="1"/>
  <c r="L24" i="1"/>
  <c r="E25" i="1"/>
  <c r="G25" i="1"/>
  <c r="I25" i="1"/>
  <c r="J25" i="1"/>
  <c r="L25" i="1"/>
  <c r="E26" i="1"/>
  <c r="G26" i="1"/>
  <c r="I26" i="1"/>
  <c r="J26" i="1"/>
  <c r="L26" i="1"/>
  <c r="E27" i="1"/>
  <c r="G27" i="1"/>
  <c r="I27" i="1"/>
  <c r="J27" i="1"/>
  <c r="L27" i="1"/>
  <c r="E28" i="1"/>
  <c r="G28" i="1"/>
  <c r="I28" i="1"/>
  <c r="J28" i="1"/>
  <c r="L28" i="1"/>
  <c r="E29" i="1"/>
  <c r="G29" i="1"/>
  <c r="I29" i="1"/>
  <c r="J29" i="1"/>
  <c r="L29" i="1"/>
  <c r="E30" i="1"/>
  <c r="G30" i="1"/>
  <c r="I30" i="1"/>
  <c r="J30" i="1"/>
  <c r="L30" i="1"/>
  <c r="E31" i="1"/>
  <c r="G31" i="1"/>
  <c r="I31" i="1"/>
  <c r="J31" i="1"/>
  <c r="L31" i="1"/>
  <c r="E32" i="1"/>
  <c r="G32" i="1"/>
  <c r="I32" i="1"/>
  <c r="J32" i="1"/>
  <c r="L32" i="1"/>
  <c r="E33" i="1"/>
  <c r="G33" i="1"/>
  <c r="I33" i="1"/>
  <c r="J33" i="1"/>
  <c r="L33" i="1"/>
  <c r="E34" i="1"/>
  <c r="G34" i="1"/>
  <c r="I34" i="1"/>
  <c r="J34" i="1"/>
  <c r="L34" i="1"/>
  <c r="E35" i="1"/>
  <c r="G35" i="1"/>
  <c r="I35" i="1"/>
  <c r="J35" i="1"/>
  <c r="L35" i="1"/>
  <c r="E36" i="1"/>
  <c r="G36" i="1"/>
  <c r="I36" i="1"/>
  <c r="J36" i="1"/>
  <c r="L36" i="1"/>
  <c r="E37" i="1"/>
  <c r="G37" i="1"/>
  <c r="I37" i="1"/>
  <c r="J37" i="1"/>
  <c r="L37" i="1"/>
  <c r="E38" i="1"/>
  <c r="G38" i="1"/>
  <c r="I38" i="1"/>
  <c r="J38" i="1"/>
  <c r="L38" i="1"/>
  <c r="E39" i="1"/>
  <c r="G39" i="1"/>
  <c r="I39" i="1"/>
  <c r="J39" i="1"/>
  <c r="L39" i="1"/>
  <c r="E40" i="1"/>
  <c r="G40" i="1"/>
  <c r="I40" i="1"/>
  <c r="J40" i="1"/>
  <c r="L40" i="1"/>
  <c r="E41" i="1"/>
  <c r="G41" i="1"/>
  <c r="I41" i="1"/>
  <c r="J41" i="1"/>
  <c r="L41" i="1"/>
  <c r="E42" i="1"/>
  <c r="G42" i="1"/>
  <c r="I42" i="1"/>
  <c r="J42" i="1"/>
  <c r="L42" i="1"/>
  <c r="E43" i="1"/>
  <c r="G43" i="1"/>
  <c r="I43" i="1"/>
  <c r="J43" i="1"/>
  <c r="L43" i="1"/>
  <c r="E44" i="1"/>
  <c r="G44" i="1"/>
  <c r="I44" i="1"/>
  <c r="J44" i="1"/>
  <c r="L44" i="1"/>
  <c r="E45" i="1"/>
  <c r="G45" i="1"/>
  <c r="I45" i="1"/>
  <c r="J45" i="1"/>
  <c r="L45" i="1"/>
  <c r="E46" i="1"/>
  <c r="G46" i="1"/>
  <c r="I46" i="1"/>
  <c r="J46" i="1"/>
  <c r="L46" i="1"/>
  <c r="E47" i="1"/>
  <c r="G47" i="1"/>
  <c r="I47" i="1"/>
  <c r="J47" i="1"/>
  <c r="L47" i="1"/>
  <c r="E48" i="1"/>
  <c r="G48" i="1"/>
  <c r="I48" i="1"/>
  <c r="J48" i="1"/>
  <c r="L48" i="1"/>
  <c r="E49" i="1"/>
  <c r="G49" i="1"/>
  <c r="I49" i="1"/>
  <c r="J49" i="1"/>
  <c r="L49" i="1"/>
  <c r="E3" i="6"/>
  <c r="G3" i="6"/>
  <c r="I3" i="6"/>
  <c r="J3" i="6"/>
  <c r="L3" i="6"/>
  <c r="E4" i="6"/>
  <c r="G4" i="6"/>
  <c r="I4" i="6"/>
  <c r="J4" i="6"/>
  <c r="L4" i="6"/>
  <c r="E5" i="6"/>
  <c r="G5" i="6"/>
  <c r="I5" i="6"/>
  <c r="J5" i="6"/>
  <c r="L5" i="6"/>
  <c r="E6" i="6"/>
  <c r="G6" i="6"/>
  <c r="I6" i="6"/>
  <c r="J6" i="6"/>
  <c r="L6" i="6"/>
  <c r="E7" i="6"/>
  <c r="G7" i="6"/>
  <c r="I7" i="6"/>
  <c r="J7" i="6"/>
  <c r="L7" i="6"/>
  <c r="E8" i="6"/>
  <c r="F8" i="6" s="1"/>
  <c r="G8" i="6"/>
  <c r="I8" i="6"/>
  <c r="J8" i="6"/>
  <c r="L8" i="6"/>
  <c r="M8" i="6" s="1"/>
  <c r="E9" i="6"/>
  <c r="F9" i="6" s="1"/>
  <c r="G9" i="6"/>
  <c r="I9" i="6"/>
  <c r="J9" i="6"/>
  <c r="L9" i="6"/>
  <c r="M9" i="6" s="1"/>
  <c r="E10" i="6"/>
  <c r="F10" i="6" s="1"/>
  <c r="G10" i="6"/>
  <c r="I10" i="6"/>
  <c r="J10" i="6"/>
  <c r="L10" i="6"/>
  <c r="M10" i="6" s="1"/>
  <c r="E11" i="6"/>
  <c r="F11" i="6" s="1"/>
  <c r="G11" i="6"/>
  <c r="I11" i="6"/>
  <c r="J11" i="6"/>
  <c r="L11" i="6"/>
  <c r="M11" i="6" s="1"/>
  <c r="E12" i="6"/>
  <c r="N12" i="6" s="1"/>
  <c r="G12" i="6"/>
  <c r="I12" i="6"/>
  <c r="J12" i="6"/>
  <c r="L12" i="6"/>
  <c r="M12" i="6" s="1"/>
  <c r="E13" i="6"/>
  <c r="G13" i="6"/>
  <c r="I13" i="6"/>
  <c r="J13" i="6"/>
  <c r="L13" i="6"/>
  <c r="M13" i="6" s="1"/>
  <c r="E14" i="6"/>
  <c r="F14" i="6" s="1"/>
  <c r="G14" i="6"/>
  <c r="I14" i="6"/>
  <c r="J14" i="6"/>
  <c r="L14" i="6"/>
  <c r="M14" i="6" s="1"/>
  <c r="E15" i="6"/>
  <c r="F15" i="6" s="1"/>
  <c r="G15" i="6"/>
  <c r="I15" i="6"/>
  <c r="J15" i="6"/>
  <c r="L15" i="6"/>
  <c r="M15" i="6" s="1"/>
  <c r="E16" i="6"/>
  <c r="F16" i="6" s="1"/>
  <c r="G16" i="6"/>
  <c r="I16" i="6"/>
  <c r="J16" i="6"/>
  <c r="L16" i="6"/>
  <c r="M16" i="6" s="1"/>
  <c r="E17" i="6"/>
  <c r="F17" i="6" s="1"/>
  <c r="G17" i="6"/>
  <c r="I17" i="6"/>
  <c r="J17" i="6"/>
  <c r="L17" i="6"/>
  <c r="M17" i="6" s="1"/>
  <c r="E18" i="6"/>
  <c r="G18" i="6"/>
  <c r="I18" i="6"/>
  <c r="J18" i="6"/>
  <c r="L18" i="6"/>
  <c r="E19" i="6"/>
  <c r="G19" i="6"/>
  <c r="I19" i="6"/>
  <c r="J19" i="6"/>
  <c r="L19" i="6"/>
  <c r="E20" i="6"/>
  <c r="G20" i="6"/>
  <c r="I20" i="6"/>
  <c r="J20" i="6"/>
  <c r="L20" i="6"/>
  <c r="E21" i="6"/>
  <c r="G21" i="6"/>
  <c r="I21" i="6"/>
  <c r="J21" i="6"/>
  <c r="L21" i="6"/>
  <c r="E22" i="6"/>
  <c r="G22" i="6"/>
  <c r="I22" i="6"/>
  <c r="J22" i="6"/>
  <c r="L22" i="6"/>
  <c r="E23" i="6"/>
  <c r="G23" i="6"/>
  <c r="I23" i="6"/>
  <c r="J23" i="6"/>
  <c r="L23" i="6"/>
  <c r="E24" i="6"/>
  <c r="G24" i="6"/>
  <c r="I24" i="6"/>
  <c r="J24" i="6"/>
  <c r="L24" i="6"/>
  <c r="E25" i="6"/>
  <c r="G25" i="6"/>
  <c r="I25" i="6"/>
  <c r="J25" i="6"/>
  <c r="L25" i="6"/>
  <c r="E26" i="6"/>
  <c r="G26" i="6"/>
  <c r="I26" i="6"/>
  <c r="J26" i="6"/>
  <c r="L26" i="6"/>
  <c r="E27" i="6"/>
  <c r="G27" i="6"/>
  <c r="I27" i="6"/>
  <c r="J27" i="6"/>
  <c r="L27" i="6"/>
  <c r="E28" i="6"/>
  <c r="G28" i="6"/>
  <c r="I28" i="6"/>
  <c r="J28" i="6"/>
  <c r="L28" i="6"/>
  <c r="E29" i="6"/>
  <c r="G29" i="6"/>
  <c r="I29" i="6"/>
  <c r="J29" i="6"/>
  <c r="L29" i="6"/>
  <c r="E30" i="6"/>
  <c r="G30" i="6"/>
  <c r="I30" i="6"/>
  <c r="J30" i="6"/>
  <c r="L30" i="6"/>
  <c r="E31" i="6"/>
  <c r="G31" i="6"/>
  <c r="I31" i="6"/>
  <c r="J31" i="6"/>
  <c r="L31" i="6"/>
  <c r="E32" i="6"/>
  <c r="G32" i="6"/>
  <c r="I32" i="6"/>
  <c r="J32" i="6"/>
  <c r="L32" i="6"/>
  <c r="E33" i="6"/>
  <c r="G33" i="6"/>
  <c r="I33" i="6"/>
  <c r="J33" i="6"/>
  <c r="L33" i="6"/>
  <c r="E34" i="6"/>
  <c r="G34" i="6"/>
  <c r="I34" i="6"/>
  <c r="J34" i="6"/>
  <c r="L34" i="6"/>
  <c r="E35" i="6"/>
  <c r="G35" i="6"/>
  <c r="I35" i="6"/>
  <c r="J35" i="6"/>
  <c r="L35" i="6"/>
  <c r="E36" i="6"/>
  <c r="G36" i="6"/>
  <c r="I36" i="6"/>
  <c r="J36" i="6"/>
  <c r="L36" i="6"/>
  <c r="E37" i="6"/>
  <c r="G37" i="6"/>
  <c r="I37" i="6"/>
  <c r="J37" i="6"/>
  <c r="L37" i="6"/>
  <c r="E38" i="6"/>
  <c r="G38" i="6"/>
  <c r="I38" i="6"/>
  <c r="J38" i="6"/>
  <c r="L38" i="6"/>
  <c r="E39" i="6"/>
  <c r="G39" i="6"/>
  <c r="I39" i="6"/>
  <c r="J39" i="6"/>
  <c r="L39" i="6"/>
  <c r="E40" i="6"/>
  <c r="G40" i="6"/>
  <c r="I40" i="6"/>
  <c r="J40" i="6"/>
  <c r="L40" i="6"/>
  <c r="E41" i="6"/>
  <c r="G41" i="6"/>
  <c r="I41" i="6"/>
  <c r="J41" i="6"/>
  <c r="L41" i="6"/>
  <c r="E42" i="6"/>
  <c r="G42" i="6"/>
  <c r="I42" i="6"/>
  <c r="J42" i="6"/>
  <c r="L42" i="6"/>
  <c r="E43" i="6"/>
  <c r="G43" i="6"/>
  <c r="I43" i="6"/>
  <c r="J43" i="6"/>
  <c r="L43" i="6"/>
  <c r="E44" i="6"/>
  <c r="G44" i="6"/>
  <c r="I44" i="6"/>
  <c r="J44" i="6"/>
  <c r="L44" i="6"/>
  <c r="E45" i="6"/>
  <c r="G45" i="6"/>
  <c r="I45" i="6"/>
  <c r="J45" i="6"/>
  <c r="L45" i="6"/>
  <c r="G46" i="6"/>
  <c r="I46" i="6"/>
  <c r="J46" i="6"/>
  <c r="L46" i="6"/>
  <c r="E47" i="6"/>
  <c r="G47" i="6"/>
  <c r="I47" i="6"/>
  <c r="J47" i="6"/>
  <c r="L47" i="6"/>
  <c r="E48" i="6"/>
  <c r="G48" i="6"/>
  <c r="I48" i="6"/>
  <c r="J48" i="6"/>
  <c r="L48" i="6"/>
  <c r="E49" i="6"/>
  <c r="G49" i="6"/>
  <c r="I49" i="6"/>
  <c r="J49" i="6"/>
  <c r="L49" i="6"/>
  <c r="E3" i="5"/>
  <c r="G3" i="5"/>
  <c r="I3" i="5"/>
  <c r="J3" i="5"/>
  <c r="L3" i="5"/>
  <c r="E4" i="5"/>
  <c r="G4" i="5"/>
  <c r="I4" i="5"/>
  <c r="J4" i="5"/>
  <c r="L4" i="5"/>
  <c r="E5" i="5"/>
  <c r="G5" i="5"/>
  <c r="I5" i="5"/>
  <c r="J5" i="5"/>
  <c r="L5" i="5"/>
  <c r="E6" i="5"/>
  <c r="G6" i="5"/>
  <c r="I6" i="5"/>
  <c r="J6" i="5"/>
  <c r="L6" i="5"/>
  <c r="E7" i="5"/>
  <c r="G7" i="5"/>
  <c r="I7" i="5"/>
  <c r="J7" i="5"/>
  <c r="L7" i="5"/>
  <c r="E8" i="5"/>
  <c r="G8" i="5"/>
  <c r="I8" i="5"/>
  <c r="J8" i="5"/>
  <c r="L8" i="5"/>
  <c r="E9" i="5"/>
  <c r="G9" i="5"/>
  <c r="I9" i="5"/>
  <c r="J9" i="5"/>
  <c r="L9" i="5"/>
  <c r="E10" i="5"/>
  <c r="G10" i="5"/>
  <c r="I10" i="5"/>
  <c r="J10" i="5"/>
  <c r="L10" i="5"/>
  <c r="E11" i="5"/>
  <c r="G11" i="5"/>
  <c r="I11" i="5"/>
  <c r="J11" i="5"/>
  <c r="L11" i="5"/>
  <c r="E12" i="5"/>
  <c r="G12" i="5"/>
  <c r="I12" i="5"/>
  <c r="J12" i="5"/>
  <c r="L12" i="5"/>
  <c r="E13" i="5"/>
  <c r="G13" i="5"/>
  <c r="I13" i="5"/>
  <c r="J13" i="5"/>
  <c r="L13" i="5"/>
  <c r="E14" i="5"/>
  <c r="G14" i="5"/>
  <c r="I14" i="5"/>
  <c r="J14" i="5"/>
  <c r="L14" i="5"/>
  <c r="E15" i="5"/>
  <c r="G15" i="5"/>
  <c r="I15" i="5"/>
  <c r="J15" i="5"/>
  <c r="L15" i="5"/>
  <c r="E16" i="5"/>
  <c r="G16" i="5"/>
  <c r="I16" i="5"/>
  <c r="J16" i="5"/>
  <c r="L16" i="5"/>
  <c r="E17" i="5"/>
  <c r="G17" i="5"/>
  <c r="I17" i="5"/>
  <c r="J17" i="5"/>
  <c r="L17" i="5"/>
  <c r="E18" i="5"/>
  <c r="G18" i="5"/>
  <c r="I18" i="5"/>
  <c r="J18" i="5"/>
  <c r="L18" i="5"/>
  <c r="E19" i="5"/>
  <c r="G19" i="5"/>
  <c r="I19" i="5"/>
  <c r="J19" i="5"/>
  <c r="L19" i="5"/>
  <c r="E20" i="5"/>
  <c r="G20" i="5"/>
  <c r="I20" i="5"/>
  <c r="J20" i="5"/>
  <c r="L20" i="5"/>
  <c r="E21" i="5"/>
  <c r="G21" i="5"/>
  <c r="I21" i="5"/>
  <c r="J21" i="5"/>
  <c r="L21" i="5"/>
  <c r="E22" i="5"/>
  <c r="G22" i="5"/>
  <c r="I22" i="5"/>
  <c r="J22" i="5"/>
  <c r="L22" i="5"/>
  <c r="E23" i="5"/>
  <c r="G23" i="5"/>
  <c r="I23" i="5"/>
  <c r="J23" i="5"/>
  <c r="L23" i="5"/>
  <c r="E24" i="5"/>
  <c r="G24" i="5"/>
  <c r="I24" i="5"/>
  <c r="J24" i="5"/>
  <c r="L24" i="5"/>
  <c r="E25" i="5"/>
  <c r="G25" i="5"/>
  <c r="I25" i="5"/>
  <c r="J25" i="5"/>
  <c r="L25" i="5"/>
  <c r="E26" i="5"/>
  <c r="G26" i="5"/>
  <c r="I26" i="5"/>
  <c r="J26" i="5"/>
  <c r="L26" i="5"/>
  <c r="E27" i="5"/>
  <c r="G27" i="5"/>
  <c r="I27" i="5"/>
  <c r="J27" i="5"/>
  <c r="L27" i="5"/>
  <c r="E28" i="5"/>
  <c r="G28" i="5"/>
  <c r="I28" i="5"/>
  <c r="J28" i="5"/>
  <c r="L28" i="5"/>
  <c r="E29" i="5"/>
  <c r="G29" i="5"/>
  <c r="I29" i="5"/>
  <c r="J29" i="5"/>
  <c r="L29" i="5"/>
  <c r="E30" i="5"/>
  <c r="G30" i="5"/>
  <c r="I30" i="5"/>
  <c r="J30" i="5"/>
  <c r="L30" i="5"/>
  <c r="E31" i="5"/>
  <c r="G31" i="5"/>
  <c r="I31" i="5"/>
  <c r="J31" i="5"/>
  <c r="L31" i="5"/>
  <c r="E32" i="5"/>
  <c r="G32" i="5"/>
  <c r="I32" i="5"/>
  <c r="J32" i="5"/>
  <c r="L32" i="5"/>
  <c r="E33" i="5"/>
  <c r="G33" i="5"/>
  <c r="I33" i="5"/>
  <c r="J33" i="5"/>
  <c r="L33" i="5"/>
  <c r="E34" i="5"/>
  <c r="G34" i="5"/>
  <c r="I34" i="5"/>
  <c r="J34" i="5"/>
  <c r="L34" i="5"/>
  <c r="E35" i="5"/>
  <c r="G35" i="5"/>
  <c r="I35" i="5"/>
  <c r="J35" i="5"/>
  <c r="L35" i="5"/>
  <c r="E36" i="5"/>
  <c r="G36" i="5"/>
  <c r="I36" i="5"/>
  <c r="J36" i="5"/>
  <c r="L36" i="5"/>
  <c r="E37" i="5"/>
  <c r="G37" i="5"/>
  <c r="I37" i="5"/>
  <c r="J37" i="5"/>
  <c r="L37" i="5"/>
  <c r="E38" i="5"/>
  <c r="G38" i="5"/>
  <c r="I38" i="5"/>
  <c r="J38" i="5"/>
  <c r="L38" i="5"/>
  <c r="E39" i="5"/>
  <c r="G39" i="5"/>
  <c r="I39" i="5"/>
  <c r="J39" i="5"/>
  <c r="L39" i="5"/>
  <c r="E40" i="5"/>
  <c r="G40" i="5"/>
  <c r="I40" i="5"/>
  <c r="J40" i="5"/>
  <c r="L40" i="5"/>
  <c r="E41" i="5"/>
  <c r="G41" i="5"/>
  <c r="I41" i="5"/>
  <c r="J41" i="5"/>
  <c r="L41" i="5"/>
  <c r="E42" i="5"/>
  <c r="G42" i="5"/>
  <c r="I42" i="5"/>
  <c r="J42" i="5"/>
  <c r="L42" i="5"/>
  <c r="E43" i="5"/>
  <c r="G43" i="5"/>
  <c r="I43" i="5"/>
  <c r="J43" i="5"/>
  <c r="L43" i="5"/>
  <c r="E44" i="5"/>
  <c r="G44" i="5"/>
  <c r="I44" i="5"/>
  <c r="J44" i="5"/>
  <c r="L44" i="5"/>
  <c r="E45" i="5"/>
  <c r="G45" i="5"/>
  <c r="I45" i="5"/>
  <c r="J45" i="5"/>
  <c r="L45" i="5"/>
  <c r="E46" i="5"/>
  <c r="G46" i="5"/>
  <c r="I46" i="5"/>
  <c r="J46" i="5"/>
  <c r="L46" i="5"/>
  <c r="E47" i="5"/>
  <c r="G47" i="5"/>
  <c r="I47" i="5"/>
  <c r="J47" i="5"/>
  <c r="L47" i="5"/>
  <c r="E48" i="5"/>
  <c r="G48" i="5"/>
  <c r="I48" i="5"/>
  <c r="J48" i="5"/>
  <c r="L48" i="5"/>
  <c r="E49" i="5"/>
  <c r="G49" i="5"/>
  <c r="I49" i="5"/>
  <c r="J49" i="5"/>
  <c r="L49" i="5"/>
  <c r="Q8" i="3" l="1"/>
  <c r="Q43" i="2"/>
  <c r="Q11" i="3"/>
  <c r="Q44" i="1"/>
  <c r="Q48" i="1"/>
  <c r="Q36" i="1"/>
  <c r="Q4" i="3"/>
  <c r="Q39" i="2"/>
  <c r="Q27" i="2"/>
  <c r="Q15" i="2"/>
  <c r="Q3" i="2"/>
  <c r="Q34" i="5"/>
  <c r="Q40" i="6"/>
  <c r="Q46" i="5"/>
  <c r="Q19" i="2"/>
  <c r="Q7" i="2"/>
  <c r="Q38" i="5"/>
  <c r="Q49" i="6"/>
  <c r="Q44" i="6"/>
  <c r="Q32" i="6"/>
  <c r="Q46" i="3"/>
  <c r="Q34" i="3"/>
  <c r="Q44" i="2"/>
  <c r="Q32" i="2"/>
  <c r="Q20" i="2"/>
  <c r="Q32" i="1"/>
  <c r="Q42" i="3"/>
  <c r="Q40" i="2"/>
  <c r="Q28" i="2"/>
  <c r="Q16" i="2"/>
  <c r="Q46" i="6"/>
  <c r="Q40" i="1"/>
  <c r="Q47" i="2"/>
  <c r="Q35" i="2"/>
  <c r="Q23" i="2"/>
  <c r="Q11" i="2"/>
  <c r="Q42" i="5"/>
  <c r="Q48" i="2"/>
  <c r="Q36" i="2"/>
  <c r="Q24" i="2"/>
  <c r="Q38" i="3"/>
  <c r="Q36" i="6"/>
  <c r="Q31" i="2"/>
  <c r="Q7" i="4"/>
  <c r="Q3" i="4"/>
  <c r="Q30" i="3"/>
  <c r="Q26" i="3"/>
  <c r="Q18" i="3"/>
  <c r="Q22" i="1"/>
  <c r="Q30" i="5"/>
  <c r="Q26" i="5"/>
  <c r="Q18" i="5"/>
  <c r="Q14" i="5"/>
  <c r="Q10" i="5"/>
  <c r="Q6" i="5"/>
  <c r="Q28" i="6"/>
  <c r="Q24" i="6"/>
  <c r="Q22" i="6"/>
  <c r="Q14" i="3"/>
  <c r="Q12" i="2"/>
  <c r="Q13" i="6"/>
  <c r="Q9" i="6"/>
  <c r="Q5" i="6"/>
  <c r="Q28" i="1"/>
  <c r="Q24" i="1"/>
  <c r="Q20" i="1"/>
  <c r="Q12" i="1"/>
  <c r="Q8" i="1"/>
  <c r="Q4" i="1"/>
  <c r="Q18" i="4"/>
  <c r="Q14" i="4"/>
  <c r="Q10" i="4"/>
  <c r="Q20" i="6"/>
  <c r="Q8" i="2"/>
  <c r="Q16" i="1"/>
  <c r="N8" i="4"/>
  <c r="N16" i="6"/>
  <c r="Q4" i="2"/>
  <c r="Q45" i="5"/>
  <c r="Q41" i="5"/>
  <c r="Q37" i="5"/>
  <c r="Q33" i="5"/>
  <c r="Q29" i="5"/>
  <c r="Q25" i="5"/>
  <c r="Q21" i="5"/>
  <c r="Q17" i="5"/>
  <c r="Q13" i="5"/>
  <c r="Q9" i="5"/>
  <c r="Q5" i="5"/>
  <c r="Q48" i="6"/>
  <c r="Q43" i="6"/>
  <c r="Q39" i="6"/>
  <c r="Q35" i="6"/>
  <c r="Q31" i="6"/>
  <c r="Q27" i="6"/>
  <c r="Q23" i="6"/>
  <c r="Q19" i="6"/>
  <c r="Q12" i="6"/>
  <c r="Q8" i="6"/>
  <c r="Q4" i="6"/>
  <c r="Q47" i="1"/>
  <c r="Q43" i="1"/>
  <c r="Q39" i="1"/>
  <c r="Q35" i="1"/>
  <c r="Q31" i="1"/>
  <c r="Q27" i="1"/>
  <c r="Q23" i="1"/>
  <c r="Q19" i="1"/>
  <c r="Q15" i="1"/>
  <c r="Q11" i="1"/>
  <c r="Q7" i="1"/>
  <c r="Q3" i="1"/>
  <c r="Q21" i="4"/>
  <c r="Q17" i="4"/>
  <c r="Q13" i="4"/>
  <c r="Q9" i="4"/>
  <c r="Q6" i="4"/>
  <c r="Q49" i="3"/>
  <c r="Q45" i="3"/>
  <c r="Q41" i="3"/>
  <c r="Q37" i="3"/>
  <c r="Q33" i="3"/>
  <c r="Q29" i="3"/>
  <c r="Q25" i="3"/>
  <c r="Q21" i="3"/>
  <c r="Q17" i="3"/>
  <c r="Q10" i="3"/>
  <c r="Q7" i="3"/>
  <c r="Q3" i="3"/>
  <c r="Q22" i="5"/>
  <c r="Q47" i="4"/>
  <c r="Q46" i="4"/>
  <c r="Q45" i="4"/>
  <c r="Q43" i="4"/>
  <c r="Q42" i="4"/>
  <c r="Q41" i="4"/>
  <c r="Q22" i="3"/>
  <c r="Q49" i="5"/>
  <c r="Q22" i="2"/>
  <c r="Q48" i="4"/>
  <c r="F12" i="4"/>
  <c r="N12" i="4"/>
  <c r="H16" i="6"/>
  <c r="Q16" i="6"/>
  <c r="F15" i="4"/>
  <c r="N15" i="4"/>
  <c r="Q46" i="2"/>
  <c r="Q42" i="2"/>
  <c r="Q38" i="2"/>
  <c r="Q34" i="2"/>
  <c r="Q30" i="2"/>
  <c r="Q26" i="2"/>
  <c r="Q18" i="2"/>
  <c r="Q14" i="2"/>
  <c r="Q10" i="2"/>
  <c r="Q6" i="2"/>
  <c r="Q48" i="5"/>
  <c r="Q36" i="5"/>
  <c r="Q28" i="5"/>
  <c r="Q12" i="5"/>
  <c r="Q4" i="5"/>
  <c r="Q47" i="6"/>
  <c r="Q42" i="6"/>
  <c r="Q38" i="6"/>
  <c r="Q34" i="6"/>
  <c r="Q30" i="6"/>
  <c r="Q26" i="6"/>
  <c r="Q18" i="6"/>
  <c r="Q15" i="6"/>
  <c r="Q11" i="6"/>
  <c r="Q7" i="6"/>
  <c r="Q3" i="6"/>
  <c r="Q46" i="1"/>
  <c r="Q42" i="1"/>
  <c r="Q38" i="1"/>
  <c r="Q34" i="1"/>
  <c r="Q30" i="1"/>
  <c r="Q26" i="1"/>
  <c r="Q18" i="1"/>
  <c r="Q14" i="1"/>
  <c r="Q10" i="1"/>
  <c r="Q6" i="1"/>
  <c r="H40" i="4"/>
  <c r="Q40" i="4"/>
  <c r="H39" i="4"/>
  <c r="Q39" i="4"/>
  <c r="H38" i="4"/>
  <c r="Q38" i="4"/>
  <c r="H37" i="4"/>
  <c r="Q37" i="4"/>
  <c r="H36" i="4"/>
  <c r="Q36" i="4"/>
  <c r="H35" i="4"/>
  <c r="Q35" i="4"/>
  <c r="H34" i="4"/>
  <c r="Q34" i="4"/>
  <c r="H33" i="4"/>
  <c r="Q33" i="4"/>
  <c r="H32" i="4"/>
  <c r="Q32" i="4"/>
  <c r="H31" i="4"/>
  <c r="Q31" i="4"/>
  <c r="H30" i="4"/>
  <c r="Q30" i="4"/>
  <c r="H29" i="4"/>
  <c r="Q29" i="4"/>
  <c r="H28" i="4"/>
  <c r="Q28" i="4"/>
  <c r="H27" i="4"/>
  <c r="Q27" i="4"/>
  <c r="Q26" i="4"/>
  <c r="Q25" i="4"/>
  <c r="Q24" i="4"/>
  <c r="Q23" i="4"/>
  <c r="Q22" i="4"/>
  <c r="Q20" i="4"/>
  <c r="Q16" i="4"/>
  <c r="F14" i="4"/>
  <c r="N14" i="4"/>
  <c r="Q12" i="4"/>
  <c r="F10" i="4"/>
  <c r="N10" i="4"/>
  <c r="Q8" i="4"/>
  <c r="Q5" i="4"/>
  <c r="Q48" i="3"/>
  <c r="Q44" i="3"/>
  <c r="Q40" i="3"/>
  <c r="Q36" i="3"/>
  <c r="Q32" i="3"/>
  <c r="Q28" i="3"/>
  <c r="Q24" i="3"/>
  <c r="Q20" i="3"/>
  <c r="Q16" i="3"/>
  <c r="Q13" i="3"/>
  <c r="Q6" i="3"/>
  <c r="Q49" i="2"/>
  <c r="Q45" i="2"/>
  <c r="Q41" i="2"/>
  <c r="Q37" i="2"/>
  <c r="Q33" i="2"/>
  <c r="Q29" i="2"/>
  <c r="Q25" i="2"/>
  <c r="Q21" i="2"/>
  <c r="Q17" i="2"/>
  <c r="Q13" i="2"/>
  <c r="Q9" i="2"/>
  <c r="Q5" i="2"/>
  <c r="Q44" i="5"/>
  <c r="Q40" i="5"/>
  <c r="Q32" i="5"/>
  <c r="Q24" i="5"/>
  <c r="Q20" i="5"/>
  <c r="Q16" i="5"/>
  <c r="Q8" i="5"/>
  <c r="Q47" i="5"/>
  <c r="Q43" i="5"/>
  <c r="Q39" i="5"/>
  <c r="Q35" i="5"/>
  <c r="Q31" i="5"/>
  <c r="Q27" i="5"/>
  <c r="Q23" i="5"/>
  <c r="Q19" i="5"/>
  <c r="Q15" i="5"/>
  <c r="Q11" i="5"/>
  <c r="Q7" i="5"/>
  <c r="Q3" i="5"/>
  <c r="Q45" i="6"/>
  <c r="Q41" i="6"/>
  <c r="Q37" i="6"/>
  <c r="Q33" i="6"/>
  <c r="Q29" i="6"/>
  <c r="Q25" i="6"/>
  <c r="Q21" i="6"/>
  <c r="Q17" i="6"/>
  <c r="Q14" i="6"/>
  <c r="H10" i="6"/>
  <c r="Q10" i="6"/>
  <c r="Q6" i="6"/>
  <c r="Q49" i="1"/>
  <c r="Q45" i="1"/>
  <c r="Q41" i="1"/>
  <c r="Q37" i="1"/>
  <c r="Q33" i="1"/>
  <c r="Q29" i="1"/>
  <c r="Q25" i="1"/>
  <c r="Q21" i="1"/>
  <c r="Q17" i="1"/>
  <c r="Q13" i="1"/>
  <c r="Q9" i="1"/>
  <c r="Q5" i="1"/>
  <c r="Q19" i="4"/>
  <c r="Q15" i="4"/>
  <c r="Q11" i="4"/>
  <c r="F9" i="4"/>
  <c r="N9" i="4"/>
  <c r="Q4" i="4"/>
  <c r="Q47" i="3"/>
  <c r="Q43" i="3"/>
  <c r="Q39" i="3"/>
  <c r="Q35" i="3"/>
  <c r="Q31" i="3"/>
  <c r="Q27" i="3"/>
  <c r="Q23" i="3"/>
  <c r="Q19" i="3"/>
  <c r="Q15" i="3"/>
  <c r="Q12" i="3"/>
  <c r="Q9" i="3"/>
  <c r="Q5" i="3"/>
  <c r="H48" i="4"/>
  <c r="H45" i="4"/>
  <c r="H43" i="4"/>
  <c r="H42" i="4"/>
  <c r="H41" i="4"/>
  <c r="H35" i="6"/>
  <c r="H12" i="4"/>
  <c r="H5" i="4"/>
  <c r="H40" i="1"/>
  <c r="H32" i="1"/>
  <c r="H47" i="4"/>
  <c r="H46" i="4"/>
  <c r="H33" i="6"/>
  <c r="H27" i="6"/>
  <c r="H16" i="4"/>
  <c r="H5" i="6"/>
  <c r="H38" i="1"/>
  <c r="H19" i="4"/>
  <c r="H3" i="6"/>
  <c r="H14" i="4"/>
  <c r="H39" i="6"/>
  <c r="H35" i="1"/>
  <c r="H29" i="6"/>
  <c r="N11" i="6"/>
  <c r="H12" i="5"/>
  <c r="H37" i="6"/>
  <c r="H14" i="1"/>
  <c r="H6" i="1"/>
  <c r="H3" i="1"/>
  <c r="H21" i="4"/>
  <c r="H6" i="5"/>
  <c r="H45" i="1"/>
  <c r="H36" i="1"/>
  <c r="H18" i="4"/>
  <c r="H7" i="4"/>
  <c r="H6" i="4"/>
  <c r="H45" i="6"/>
  <c r="H22" i="6"/>
  <c r="H12" i="1"/>
  <c r="H5" i="1"/>
  <c r="H15" i="4"/>
  <c r="H18" i="6"/>
  <c r="H11" i="6"/>
  <c r="N10" i="6"/>
  <c r="H4" i="6"/>
  <c r="H46" i="1"/>
  <c r="H44" i="1"/>
  <c r="H41" i="1"/>
  <c r="H8" i="5"/>
  <c r="H41" i="6"/>
  <c r="H28" i="6"/>
  <c r="H21" i="6"/>
  <c r="H17" i="6"/>
  <c r="H15" i="6"/>
  <c r="H9" i="6"/>
  <c r="H47" i="1"/>
  <c r="H39" i="1"/>
  <c r="H34" i="1"/>
  <c r="H16" i="1"/>
  <c r="H20" i="4"/>
  <c r="H11" i="4"/>
  <c r="H9" i="4"/>
  <c r="H11" i="5"/>
  <c r="H4" i="5"/>
  <c r="H46" i="6"/>
  <c r="H40" i="6"/>
  <c r="H34" i="6"/>
  <c r="H23" i="6"/>
  <c r="H10" i="1"/>
  <c r="H17" i="4"/>
  <c r="N17" i="6"/>
  <c r="N15" i="6"/>
  <c r="N9" i="6"/>
  <c r="H7" i="1"/>
  <c r="H4" i="1"/>
  <c r="F11" i="4"/>
  <c r="H8" i="4"/>
  <c r="H49" i="6"/>
  <c r="H47" i="6"/>
  <c r="H45" i="5"/>
  <c r="H39" i="5"/>
  <c r="H36" i="5"/>
  <c r="H33" i="5"/>
  <c r="H30" i="5"/>
  <c r="H27" i="5"/>
  <c r="H24" i="5"/>
  <c r="H21" i="5"/>
  <c r="H15" i="5"/>
  <c r="H43" i="6"/>
  <c r="H30" i="6"/>
  <c r="H14" i="5"/>
  <c r="H10" i="5"/>
  <c r="H9" i="5"/>
  <c r="H7" i="5"/>
  <c r="H38" i="6"/>
  <c r="H25" i="6"/>
  <c r="H24" i="6"/>
  <c r="H20" i="6"/>
  <c r="H7" i="6"/>
  <c r="H6" i="6"/>
  <c r="H49" i="1"/>
  <c r="H49" i="5"/>
  <c r="H46" i="5"/>
  <c r="H43" i="5"/>
  <c r="H40" i="5"/>
  <c r="H37" i="5"/>
  <c r="H34" i="5"/>
  <c r="H31" i="5"/>
  <c r="H28" i="5"/>
  <c r="H25" i="5"/>
  <c r="H22" i="5"/>
  <c r="H19" i="5"/>
  <c r="H16" i="5"/>
  <c r="H19" i="6"/>
  <c r="H48" i="1"/>
  <c r="H3" i="5"/>
  <c r="H48" i="6"/>
  <c r="N14" i="6"/>
  <c r="H14" i="6"/>
  <c r="H42" i="1"/>
  <c r="H47" i="5"/>
  <c r="H44" i="5"/>
  <c r="H41" i="5"/>
  <c r="H38" i="5"/>
  <c r="H35" i="5"/>
  <c r="H32" i="5"/>
  <c r="H29" i="5"/>
  <c r="H26" i="5"/>
  <c r="H23" i="5"/>
  <c r="H20" i="5"/>
  <c r="H17" i="5"/>
  <c r="H13" i="6"/>
  <c r="F13" i="6"/>
  <c r="N13" i="6"/>
  <c r="H44" i="6"/>
  <c r="H42" i="6"/>
  <c r="H36" i="6"/>
  <c r="H32" i="6"/>
  <c r="H12" i="6"/>
  <c r="H48" i="5"/>
  <c r="H42" i="5"/>
  <c r="H18" i="5"/>
  <c r="H13" i="5"/>
  <c r="H5" i="5"/>
  <c r="H31" i="6"/>
  <c r="H26" i="6"/>
  <c r="N8" i="6"/>
  <c r="H8" i="6"/>
  <c r="F12" i="6"/>
  <c r="H43" i="1"/>
  <c r="H37" i="1"/>
  <c r="H33" i="1"/>
  <c r="H31" i="1"/>
  <c r="H29" i="1"/>
  <c r="H27" i="1"/>
  <c r="H25" i="1"/>
  <c r="H23" i="1"/>
  <c r="H21" i="1"/>
  <c r="H19" i="1"/>
  <c r="H17" i="1"/>
  <c r="H15" i="1"/>
  <c r="H13" i="1"/>
  <c r="H11" i="1"/>
  <c r="H9" i="1"/>
  <c r="H8" i="1"/>
  <c r="H30" i="1"/>
  <c r="H28" i="1"/>
  <c r="H26" i="1"/>
  <c r="H24" i="1"/>
  <c r="H22" i="1"/>
  <c r="H20" i="1"/>
  <c r="H18" i="1"/>
  <c r="F13" i="4"/>
  <c r="H49" i="3"/>
  <c r="H46" i="3"/>
  <c r="H43" i="3"/>
  <c r="H40" i="3"/>
  <c r="H35" i="3"/>
  <c r="H10" i="4"/>
  <c r="H34" i="3"/>
  <c r="H48" i="3"/>
  <c r="H45" i="3"/>
  <c r="H42" i="3"/>
  <c r="H39" i="3"/>
  <c r="H33" i="3"/>
  <c r="H38" i="3"/>
  <c r="H32" i="3"/>
  <c r="H13" i="4"/>
  <c r="H3" i="4"/>
  <c r="H47" i="3"/>
  <c r="H44" i="3"/>
  <c r="H41" i="3"/>
  <c r="H37" i="3"/>
  <c r="H4" i="4"/>
  <c r="H36" i="3"/>
  <c r="H31" i="3"/>
  <c r="H28" i="3"/>
  <c r="H25" i="3"/>
  <c r="H22" i="3"/>
  <c r="H19" i="3"/>
  <c r="H16" i="3"/>
  <c r="N16" i="3"/>
  <c r="F14" i="3"/>
  <c r="H14" i="3"/>
  <c r="N14" i="3"/>
  <c r="F12" i="3"/>
  <c r="H12" i="3"/>
  <c r="N12" i="3"/>
  <c r="F10" i="3"/>
  <c r="H10" i="3"/>
  <c r="N10" i="3"/>
  <c r="F8" i="3"/>
  <c r="H8" i="3"/>
  <c r="N8" i="3"/>
  <c r="F6" i="3"/>
  <c r="H6" i="3"/>
  <c r="N6" i="3"/>
  <c r="F4" i="3"/>
  <c r="H4" i="3"/>
  <c r="N4" i="3"/>
  <c r="H49" i="2"/>
  <c r="H47" i="2"/>
  <c r="H29" i="3"/>
  <c r="H26" i="3"/>
  <c r="H23" i="3"/>
  <c r="H20" i="3"/>
  <c r="H17" i="3"/>
  <c r="N17" i="3"/>
  <c r="H30" i="3"/>
  <c r="H27" i="3"/>
  <c r="H24" i="3"/>
  <c r="H21" i="3"/>
  <c r="H18" i="3"/>
  <c r="H15" i="3"/>
  <c r="N15" i="3"/>
  <c r="F13" i="3"/>
  <c r="H13" i="3"/>
  <c r="N13" i="3"/>
  <c r="F11" i="3"/>
  <c r="H11" i="3"/>
  <c r="N11" i="3"/>
  <c r="F9" i="3"/>
  <c r="H9" i="3"/>
  <c r="N9" i="3"/>
  <c r="F7" i="3"/>
  <c r="H7" i="3"/>
  <c r="N7" i="3"/>
  <c r="F5" i="3"/>
  <c r="H5" i="3"/>
  <c r="N5" i="3"/>
  <c r="F3" i="3"/>
  <c r="H3" i="3"/>
  <c r="N3" i="3"/>
  <c r="H48" i="2"/>
  <c r="H46" i="2"/>
  <c r="H43" i="2"/>
  <c r="H40" i="2"/>
  <c r="H37" i="2"/>
  <c r="H34" i="2"/>
  <c r="H31" i="2"/>
  <c r="H28" i="2"/>
  <c r="H25" i="2"/>
  <c r="H22" i="2"/>
  <c r="H19" i="2"/>
  <c r="H16" i="2"/>
  <c r="H13" i="2"/>
  <c r="H10" i="2"/>
  <c r="H7" i="2"/>
  <c r="H4" i="2"/>
  <c r="H44" i="2"/>
  <c r="H41" i="2"/>
  <c r="H38" i="2"/>
  <c r="H35" i="2"/>
  <c r="H32" i="2"/>
  <c r="H29" i="2"/>
  <c r="H26" i="2"/>
  <c r="H23" i="2"/>
  <c r="H20" i="2"/>
  <c r="H17" i="2"/>
  <c r="H14" i="2"/>
  <c r="H11" i="2"/>
  <c r="H8" i="2"/>
  <c r="H5" i="2"/>
  <c r="H45" i="2"/>
  <c r="H42" i="2"/>
  <c r="H39" i="2"/>
  <c r="H36" i="2"/>
  <c r="H33" i="2"/>
  <c r="H30" i="2"/>
  <c r="H27" i="2"/>
  <c r="H24" i="2"/>
  <c r="H21" i="2"/>
  <c r="H18" i="2"/>
  <c r="H15" i="2"/>
  <c r="H12" i="2"/>
  <c r="H9" i="2"/>
  <c r="H6" i="2"/>
  <c r="H3" i="2"/>
  <c r="B3" i="5" l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2" i="5"/>
  <c r="B2" i="6"/>
  <c r="B2" i="1"/>
  <c r="B2" i="4"/>
  <c r="B2" i="3"/>
  <c r="B2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4" i="6"/>
  <c r="A3" i="6"/>
  <c r="A2" i="6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B51" i="7" l="1"/>
  <c r="C51" i="7"/>
  <c r="E51" i="7"/>
  <c r="D51" i="7"/>
  <c r="F51" i="7"/>
  <c r="G51" i="7"/>
  <c r="L2" i="2" l="1"/>
  <c r="AI51" i="7" l="1"/>
  <c r="AH51" i="7"/>
  <c r="AG51" i="7"/>
  <c r="AF51" i="7"/>
  <c r="AE51" i="7"/>
  <c r="AD51" i="7"/>
  <c r="AB51" i="7"/>
  <c r="AA51" i="7"/>
  <c r="Z51" i="7"/>
  <c r="Y51" i="7"/>
  <c r="X51" i="7"/>
  <c r="W51" i="7"/>
  <c r="U51" i="7"/>
  <c r="T51" i="7"/>
  <c r="S51" i="7"/>
  <c r="R51" i="7"/>
  <c r="Q51" i="7"/>
  <c r="P51" i="7"/>
  <c r="N51" i="7"/>
  <c r="M51" i="7"/>
  <c r="I49" i="4" s="1"/>
  <c r="L51" i="7"/>
  <c r="K51" i="7"/>
  <c r="J51" i="7"/>
  <c r="I51" i="7"/>
  <c r="H49" i="4" l="1"/>
  <c r="Q49" i="4"/>
  <c r="T19" i="3"/>
  <c r="P50" i="3" l="1"/>
  <c r="P44" i="3"/>
  <c r="P38" i="3"/>
  <c r="P32" i="3"/>
  <c r="P26" i="3"/>
  <c r="P20" i="3"/>
  <c r="P14" i="3"/>
  <c r="P8" i="3"/>
  <c r="P2" i="3"/>
  <c r="P45" i="3"/>
  <c r="P49" i="3"/>
  <c r="P43" i="3"/>
  <c r="P37" i="3"/>
  <c r="P31" i="3"/>
  <c r="P25" i="3"/>
  <c r="P19" i="3"/>
  <c r="P13" i="3"/>
  <c r="P7" i="3"/>
  <c r="P39" i="3"/>
  <c r="P3" i="3"/>
  <c r="P48" i="3"/>
  <c r="P42" i="3"/>
  <c r="P36" i="3"/>
  <c r="P30" i="3"/>
  <c r="P24" i="3"/>
  <c r="P18" i="3"/>
  <c r="P12" i="3"/>
  <c r="P6" i="3"/>
  <c r="P27" i="3"/>
  <c r="P21" i="3"/>
  <c r="P15" i="3"/>
  <c r="P9" i="3"/>
  <c r="P47" i="3"/>
  <c r="P41" i="3"/>
  <c r="P35" i="3"/>
  <c r="P29" i="3"/>
  <c r="P23" i="3"/>
  <c r="P17" i="3"/>
  <c r="P11" i="3"/>
  <c r="P5" i="3"/>
  <c r="P33" i="3"/>
  <c r="P46" i="3"/>
  <c r="P40" i="3"/>
  <c r="P34" i="3"/>
  <c r="P28" i="3"/>
  <c r="P22" i="3"/>
  <c r="P16" i="3"/>
  <c r="P10" i="3"/>
  <c r="P4" i="3"/>
  <c r="XFD4" i="7"/>
  <c r="AL4" i="7" l="1"/>
  <c r="D3" i="5" s="1"/>
  <c r="AN4" i="7"/>
  <c r="D3" i="1" s="1"/>
  <c r="AK4" i="7"/>
  <c r="AM4" i="7"/>
  <c r="D3" i="6" s="1"/>
  <c r="AP4" i="7"/>
  <c r="D3" i="3" s="1"/>
  <c r="AO4" i="7"/>
  <c r="D3" i="4" s="1"/>
  <c r="XFD5" i="7"/>
  <c r="AL5" i="7" l="1"/>
  <c r="D4" i="5" s="1"/>
  <c r="AP5" i="7"/>
  <c r="AO5" i="7"/>
  <c r="D4" i="4" s="1"/>
  <c r="AK5" i="7"/>
  <c r="D4" i="2" s="1"/>
  <c r="AN5" i="7"/>
  <c r="D4" i="1" s="1"/>
  <c r="AM5" i="7"/>
  <c r="D4" i="6" s="1"/>
  <c r="D3" i="2"/>
  <c r="K3" i="2" s="1"/>
  <c r="M3" i="2" s="1"/>
  <c r="K3" i="4"/>
  <c r="M3" i="4" s="1"/>
  <c r="F3" i="4"/>
  <c r="N3" i="4" s="1"/>
  <c r="K3" i="1"/>
  <c r="M3" i="1" s="1"/>
  <c r="F3" i="1"/>
  <c r="N3" i="1" s="1"/>
  <c r="K3" i="6"/>
  <c r="M3" i="6" s="1"/>
  <c r="F3" i="6"/>
  <c r="N3" i="6" s="1"/>
  <c r="K3" i="5"/>
  <c r="M3" i="5" s="1"/>
  <c r="F3" i="5"/>
  <c r="K3" i="3"/>
  <c r="O3" i="3"/>
  <c r="XFD6" i="7"/>
  <c r="J2" i="4"/>
  <c r="AN6" i="7" l="1"/>
  <c r="D5" i="1" s="1"/>
  <c r="AM6" i="7"/>
  <c r="D5" i="6" s="1"/>
  <c r="AP6" i="7"/>
  <c r="D5" i="3" s="1"/>
  <c r="AL6" i="7"/>
  <c r="D5" i="5" s="1"/>
  <c r="AK6" i="7"/>
  <c r="AO6" i="7"/>
  <c r="D5" i="4" s="1"/>
  <c r="D4" i="3"/>
  <c r="K4" i="3" s="1"/>
  <c r="F3" i="2"/>
  <c r="N3" i="2" s="1"/>
  <c r="O3" i="2" s="1"/>
  <c r="N3" i="5"/>
  <c r="K4" i="5"/>
  <c r="M4" i="5" s="1"/>
  <c r="F4" i="5"/>
  <c r="K4" i="4"/>
  <c r="M4" i="4" s="1"/>
  <c r="F4" i="4"/>
  <c r="N4" i="4" s="1"/>
  <c r="K4" i="6"/>
  <c r="M4" i="6" s="1"/>
  <c r="F4" i="6"/>
  <c r="N4" i="6" s="1"/>
  <c r="O4" i="6" s="1"/>
  <c r="K4" i="2"/>
  <c r="M4" i="2" s="1"/>
  <c r="F4" i="2"/>
  <c r="N4" i="2" s="1"/>
  <c r="O4" i="2" s="1"/>
  <c r="K4" i="1"/>
  <c r="M4" i="1" s="1"/>
  <c r="F4" i="1"/>
  <c r="N4" i="1" s="1"/>
  <c r="XFD7" i="7"/>
  <c r="J2" i="2"/>
  <c r="AO7" i="7" l="1"/>
  <c r="D6" i="4" s="1"/>
  <c r="AK7" i="7"/>
  <c r="D6" i="2" s="1"/>
  <c r="AN7" i="7"/>
  <c r="D6" i="1" s="1"/>
  <c r="AM7" i="7"/>
  <c r="D6" i="6" s="1"/>
  <c r="AP7" i="7"/>
  <c r="D6" i="3" s="1"/>
  <c r="AL7" i="7"/>
  <c r="D6" i="5" s="1"/>
  <c r="O4" i="3"/>
  <c r="D5" i="2"/>
  <c r="F5" i="2" s="1"/>
  <c r="N5" i="2" s="1"/>
  <c r="O5" i="2" s="1"/>
  <c r="N4" i="5"/>
  <c r="K5" i="6"/>
  <c r="M5" i="6" s="1"/>
  <c r="F5" i="6"/>
  <c r="N5" i="6" s="1"/>
  <c r="K5" i="4"/>
  <c r="M5" i="4" s="1"/>
  <c r="F5" i="4"/>
  <c r="N5" i="4" s="1"/>
  <c r="O5" i="4" s="1"/>
  <c r="K5" i="5"/>
  <c r="M5" i="5" s="1"/>
  <c r="F5" i="5"/>
  <c r="K5" i="1"/>
  <c r="M5" i="1" s="1"/>
  <c r="F5" i="1"/>
  <c r="N5" i="1" s="1"/>
  <c r="O5" i="1" s="1"/>
  <c r="K5" i="3"/>
  <c r="O5" i="3"/>
  <c r="XFD8" i="7"/>
  <c r="E2" i="6"/>
  <c r="T3" i="4"/>
  <c r="AL8" i="7" l="1"/>
  <c r="D7" i="5" s="1"/>
  <c r="AN8" i="7"/>
  <c r="D7" i="1" s="1"/>
  <c r="AK8" i="7"/>
  <c r="D7" i="2" s="1"/>
  <c r="AM8" i="7"/>
  <c r="D7" i="6" s="1"/>
  <c r="AP8" i="7"/>
  <c r="D7" i="3" s="1"/>
  <c r="AO8" i="7"/>
  <c r="D7" i="4" s="1"/>
  <c r="K5" i="2"/>
  <c r="M5" i="2" s="1"/>
  <c r="P45" i="4"/>
  <c r="P39" i="4"/>
  <c r="P33" i="4"/>
  <c r="P27" i="4"/>
  <c r="P21" i="4"/>
  <c r="P15" i="4"/>
  <c r="P9" i="4"/>
  <c r="P3" i="4"/>
  <c r="P34" i="4"/>
  <c r="P4" i="4"/>
  <c r="P50" i="4"/>
  <c r="P44" i="4"/>
  <c r="P38" i="4"/>
  <c r="P32" i="4"/>
  <c r="P26" i="4"/>
  <c r="P20" i="4"/>
  <c r="P14" i="4"/>
  <c r="P8" i="4"/>
  <c r="P2" i="4"/>
  <c r="P40" i="4"/>
  <c r="P49" i="4"/>
  <c r="P43" i="4"/>
  <c r="P37" i="4"/>
  <c r="P31" i="4"/>
  <c r="P25" i="4"/>
  <c r="P19" i="4"/>
  <c r="P13" i="4"/>
  <c r="P7" i="4"/>
  <c r="P46" i="4"/>
  <c r="P28" i="4"/>
  <c r="P22" i="4"/>
  <c r="P16" i="4"/>
  <c r="P10" i="4"/>
  <c r="P48" i="4"/>
  <c r="P42" i="4"/>
  <c r="P36" i="4"/>
  <c r="P30" i="4"/>
  <c r="P24" i="4"/>
  <c r="P18" i="4"/>
  <c r="P12" i="4"/>
  <c r="P6" i="4"/>
  <c r="P47" i="4"/>
  <c r="P41" i="4"/>
  <c r="P35" i="4"/>
  <c r="P29" i="4"/>
  <c r="P23" i="4"/>
  <c r="P17" i="4"/>
  <c r="P11" i="4"/>
  <c r="P5" i="4"/>
  <c r="O3" i="4"/>
  <c r="O4" i="4"/>
  <c r="N5" i="5"/>
  <c r="K6" i="4"/>
  <c r="M6" i="4" s="1"/>
  <c r="F6" i="4"/>
  <c r="K6" i="6"/>
  <c r="M6" i="6" s="1"/>
  <c r="F6" i="6"/>
  <c r="N6" i="6" s="1"/>
  <c r="O6" i="6" s="1"/>
  <c r="K6" i="2"/>
  <c r="M6" i="2" s="1"/>
  <c r="F6" i="2"/>
  <c r="N6" i="2" s="1"/>
  <c r="O6" i="2" s="1"/>
  <c r="K6" i="1"/>
  <c r="M6" i="1" s="1"/>
  <c r="F6" i="1"/>
  <c r="N6" i="1" s="1"/>
  <c r="K6" i="5"/>
  <c r="M6" i="5" s="1"/>
  <c r="F6" i="5"/>
  <c r="K6" i="3"/>
  <c r="O6" i="3"/>
  <c r="XFD9" i="7"/>
  <c r="AT17" i="7"/>
  <c r="AT11" i="7"/>
  <c r="AT15" i="7"/>
  <c r="AT12" i="7"/>
  <c r="AT13" i="7"/>
  <c r="AT9" i="7"/>
  <c r="AT10" i="7"/>
  <c r="AT14" i="7"/>
  <c r="AT18" i="7"/>
  <c r="AP9" i="7" l="1"/>
  <c r="D8" i="3" s="1"/>
  <c r="AO9" i="7"/>
  <c r="D8" i="4" s="1"/>
  <c r="AK9" i="7"/>
  <c r="D8" i="2" s="1"/>
  <c r="AN9" i="7"/>
  <c r="D8" i="1" s="1"/>
  <c r="AM9" i="7"/>
  <c r="D8" i="6" s="1"/>
  <c r="AL9" i="7"/>
  <c r="D8" i="5" s="1"/>
  <c r="N6" i="4"/>
  <c r="O6" i="4" s="1"/>
  <c r="N6" i="5"/>
  <c r="K7" i="1"/>
  <c r="M7" i="1" s="1"/>
  <c r="F7" i="1"/>
  <c r="N7" i="1" s="1"/>
  <c r="O7" i="1" s="1"/>
  <c r="K7" i="4"/>
  <c r="M7" i="4" s="1"/>
  <c r="F7" i="4"/>
  <c r="K7" i="6"/>
  <c r="M7" i="6" s="1"/>
  <c r="F7" i="6"/>
  <c r="N7" i="6" s="1"/>
  <c r="O7" i="6" s="1"/>
  <c r="K7" i="5"/>
  <c r="M7" i="5" s="1"/>
  <c r="F7" i="5"/>
  <c r="K7" i="2"/>
  <c r="M7" i="2" s="1"/>
  <c r="F7" i="2"/>
  <c r="N7" i="2" s="1"/>
  <c r="O7" i="2" s="1"/>
  <c r="K7" i="3"/>
  <c r="O7" i="3"/>
  <c r="XFD10" i="7"/>
  <c r="T3" i="5"/>
  <c r="O3" i="5" s="1"/>
  <c r="T3" i="6"/>
  <c r="T3" i="1"/>
  <c r="O6" i="1" l="1"/>
  <c r="O4" i="1"/>
  <c r="AM10" i="7"/>
  <c r="D9" i="6" s="1"/>
  <c r="AP10" i="7"/>
  <c r="D9" i="3" s="1"/>
  <c r="AL10" i="7"/>
  <c r="D9" i="5" s="1"/>
  <c r="AK10" i="7"/>
  <c r="D9" i="2" s="1"/>
  <c r="AO10" i="7"/>
  <c r="D9" i="4" s="1"/>
  <c r="AN10" i="7"/>
  <c r="D9" i="1" s="1"/>
  <c r="O6" i="5"/>
  <c r="O4" i="5"/>
  <c r="P48" i="5"/>
  <c r="P42" i="5"/>
  <c r="P36" i="5"/>
  <c r="P30" i="5"/>
  <c r="P24" i="5"/>
  <c r="P18" i="5"/>
  <c r="P12" i="5"/>
  <c r="P6" i="5"/>
  <c r="P37" i="5"/>
  <c r="P47" i="5"/>
  <c r="P41" i="5"/>
  <c r="P35" i="5"/>
  <c r="P29" i="5"/>
  <c r="P23" i="5"/>
  <c r="P17" i="5"/>
  <c r="P11" i="5"/>
  <c r="P5" i="5"/>
  <c r="P31" i="5"/>
  <c r="P13" i="5"/>
  <c r="P46" i="5"/>
  <c r="P40" i="5"/>
  <c r="P34" i="5"/>
  <c r="P28" i="5"/>
  <c r="P22" i="5"/>
  <c r="P16" i="5"/>
  <c r="P10" i="5"/>
  <c r="P4" i="5"/>
  <c r="P49" i="5"/>
  <c r="P45" i="5"/>
  <c r="P39" i="5"/>
  <c r="P33" i="5"/>
  <c r="P27" i="5"/>
  <c r="P21" i="5"/>
  <c r="P15" i="5"/>
  <c r="P9" i="5"/>
  <c r="P3" i="5"/>
  <c r="P50" i="5"/>
  <c r="P44" i="5"/>
  <c r="P38" i="5"/>
  <c r="P32" i="5"/>
  <c r="P26" i="5"/>
  <c r="P20" i="5"/>
  <c r="P14" i="5"/>
  <c r="P8" i="5"/>
  <c r="P2" i="5"/>
  <c r="P43" i="5"/>
  <c r="P25" i="5"/>
  <c r="P19" i="5"/>
  <c r="P7" i="5"/>
  <c r="P46" i="1"/>
  <c r="P40" i="1"/>
  <c r="P34" i="1"/>
  <c r="P28" i="1"/>
  <c r="P22" i="1"/>
  <c r="P16" i="1"/>
  <c r="P10" i="1"/>
  <c r="P4" i="1"/>
  <c r="P41" i="1"/>
  <c r="P23" i="1"/>
  <c r="P17" i="1"/>
  <c r="P11" i="1"/>
  <c r="P45" i="1"/>
  <c r="P39" i="1"/>
  <c r="P33" i="1"/>
  <c r="P27" i="1"/>
  <c r="P21" i="1"/>
  <c r="P15" i="1"/>
  <c r="P9" i="1"/>
  <c r="P3" i="1"/>
  <c r="P29" i="1"/>
  <c r="P50" i="1"/>
  <c r="P44" i="1"/>
  <c r="P38" i="1"/>
  <c r="P32" i="1"/>
  <c r="P26" i="1"/>
  <c r="P20" i="1"/>
  <c r="P14" i="1"/>
  <c r="P8" i="1"/>
  <c r="P2" i="1"/>
  <c r="P47" i="1"/>
  <c r="P5" i="1"/>
  <c r="P49" i="1"/>
  <c r="P43" i="1"/>
  <c r="P37" i="1"/>
  <c r="P31" i="1"/>
  <c r="P25" i="1"/>
  <c r="P19" i="1"/>
  <c r="P13" i="1"/>
  <c r="P7" i="1"/>
  <c r="P48" i="1"/>
  <c r="P42" i="1"/>
  <c r="P36" i="1"/>
  <c r="P30" i="1"/>
  <c r="P24" i="1"/>
  <c r="P18" i="1"/>
  <c r="P12" i="1"/>
  <c r="P6" i="1"/>
  <c r="P35" i="1"/>
  <c r="O3" i="1"/>
  <c r="O5" i="6"/>
  <c r="P47" i="6"/>
  <c r="P41" i="6"/>
  <c r="P35" i="6"/>
  <c r="P29" i="6"/>
  <c r="P23" i="6"/>
  <c r="P17" i="6"/>
  <c r="P11" i="6"/>
  <c r="P5" i="6"/>
  <c r="P48" i="6"/>
  <c r="P6" i="6"/>
  <c r="P46" i="6"/>
  <c r="P40" i="6"/>
  <c r="P34" i="6"/>
  <c r="P28" i="6"/>
  <c r="P22" i="6"/>
  <c r="P16" i="6"/>
  <c r="P10" i="6"/>
  <c r="P4" i="6"/>
  <c r="P30" i="6"/>
  <c r="P45" i="6"/>
  <c r="P39" i="6"/>
  <c r="P33" i="6"/>
  <c r="P27" i="6"/>
  <c r="P21" i="6"/>
  <c r="P15" i="6"/>
  <c r="P9" i="6"/>
  <c r="P3" i="6"/>
  <c r="P42" i="6"/>
  <c r="P18" i="6"/>
  <c r="P50" i="6"/>
  <c r="P44" i="6"/>
  <c r="P38" i="6"/>
  <c r="P32" i="6"/>
  <c r="P26" i="6"/>
  <c r="P20" i="6"/>
  <c r="P14" i="6"/>
  <c r="P8" i="6"/>
  <c r="P2" i="6"/>
  <c r="P49" i="6"/>
  <c r="P43" i="6"/>
  <c r="P37" i="6"/>
  <c r="P31" i="6"/>
  <c r="P25" i="6"/>
  <c r="P19" i="6"/>
  <c r="P13" i="6"/>
  <c r="P7" i="6"/>
  <c r="P36" i="6"/>
  <c r="P24" i="6"/>
  <c r="P12" i="6"/>
  <c r="O3" i="6"/>
  <c r="N7" i="4"/>
  <c r="O7" i="4" s="1"/>
  <c r="O5" i="5"/>
  <c r="N7" i="5"/>
  <c r="O7" i="5" s="1"/>
  <c r="K8" i="5"/>
  <c r="M8" i="5" s="1"/>
  <c r="F8" i="5"/>
  <c r="K8" i="2"/>
  <c r="M8" i="2" s="1"/>
  <c r="F8" i="2"/>
  <c r="N8" i="2" s="1"/>
  <c r="O8" i="2" s="1"/>
  <c r="K8" i="1"/>
  <c r="M8" i="1" s="1"/>
  <c r="F8" i="1"/>
  <c r="N8" i="1" s="1"/>
  <c r="O8" i="1" s="1"/>
  <c r="K8" i="6"/>
  <c r="O8" i="6"/>
  <c r="K8" i="3"/>
  <c r="O8" i="3"/>
  <c r="K8" i="4"/>
  <c r="O8" i="4"/>
  <c r="XFD11" i="7"/>
  <c r="E2" i="3"/>
  <c r="G2" i="3"/>
  <c r="I2" i="3"/>
  <c r="J2" i="3"/>
  <c r="L2" i="3"/>
  <c r="M2" i="3" s="1"/>
  <c r="E2" i="2"/>
  <c r="E50" i="2" s="1"/>
  <c r="AO11" i="7" l="1"/>
  <c r="D10" i="4" s="1"/>
  <c r="AM11" i="7"/>
  <c r="D10" i="6" s="1"/>
  <c r="AK11" i="7"/>
  <c r="D10" i="2" s="1"/>
  <c r="AL11" i="7"/>
  <c r="D10" i="5" s="1"/>
  <c r="AN11" i="7"/>
  <c r="D10" i="1" s="1"/>
  <c r="AP11" i="7"/>
  <c r="D10" i="3" s="1"/>
  <c r="Q2" i="3"/>
  <c r="B12" i="9"/>
  <c r="B12" i="13"/>
  <c r="O8" i="5"/>
  <c r="K9" i="1"/>
  <c r="M9" i="1" s="1"/>
  <c r="F9" i="1"/>
  <c r="N9" i="1" s="1"/>
  <c r="O9" i="1" s="1"/>
  <c r="K9" i="2"/>
  <c r="M9" i="2" s="1"/>
  <c r="F9" i="2"/>
  <c r="N9" i="2" s="1"/>
  <c r="O9" i="2" s="1"/>
  <c r="K9" i="5"/>
  <c r="M9" i="5" s="1"/>
  <c r="F9" i="5"/>
  <c r="K9" i="4"/>
  <c r="O9" i="4"/>
  <c r="K9" i="6"/>
  <c r="O9" i="6"/>
  <c r="K9" i="3"/>
  <c r="O9" i="3"/>
  <c r="XFD12" i="7"/>
  <c r="AW18" i="7"/>
  <c r="AW14" i="7"/>
  <c r="AW10" i="7"/>
  <c r="AW6" i="7"/>
  <c r="AW13" i="7"/>
  <c r="AW9" i="7"/>
  <c r="AW5" i="7"/>
  <c r="AW17" i="7"/>
  <c r="AW16" i="7"/>
  <c r="AW12" i="7"/>
  <c r="AW8" i="7"/>
  <c r="AW4" i="7"/>
  <c r="AW15" i="7"/>
  <c r="AW11" i="7"/>
  <c r="AW7" i="7"/>
  <c r="F2" i="3"/>
  <c r="N2" i="3"/>
  <c r="H2" i="3"/>
  <c r="I2" i="2"/>
  <c r="AN12" i="7" l="1"/>
  <c r="D11" i="1" s="1"/>
  <c r="AL12" i="7"/>
  <c r="D11" i="5" s="1"/>
  <c r="AK12" i="7"/>
  <c r="D11" i="2" s="1"/>
  <c r="AM12" i="7"/>
  <c r="D11" i="6" s="1"/>
  <c r="AP12" i="7"/>
  <c r="D11" i="3" s="1"/>
  <c r="AO12" i="7"/>
  <c r="D11" i="4" s="1"/>
  <c r="H2" i="2"/>
  <c r="Q2" i="2"/>
  <c r="AW3" i="7"/>
  <c r="O9" i="5"/>
  <c r="K10" i="5"/>
  <c r="M10" i="5" s="1"/>
  <c r="F10" i="5"/>
  <c r="K10" i="2"/>
  <c r="M10" i="2" s="1"/>
  <c r="F10" i="2"/>
  <c r="N10" i="2" s="1"/>
  <c r="O10" i="2" s="1"/>
  <c r="K10" i="1"/>
  <c r="M10" i="1" s="1"/>
  <c r="F10" i="1"/>
  <c r="N10" i="1" s="1"/>
  <c r="O10" i="1" s="1"/>
  <c r="K10" i="4"/>
  <c r="O10" i="4"/>
  <c r="K10" i="6"/>
  <c r="O10" i="6"/>
  <c r="K10" i="3"/>
  <c r="O10" i="3"/>
  <c r="XFD13" i="7"/>
  <c r="I2" i="4"/>
  <c r="J2" i="6"/>
  <c r="J2" i="1"/>
  <c r="I2" i="1"/>
  <c r="I2" i="6"/>
  <c r="I2" i="5"/>
  <c r="J2" i="5"/>
  <c r="AL13" i="7" l="1"/>
  <c r="D12" i="5" s="1"/>
  <c r="AO13" i="7"/>
  <c r="D12" i="4" s="1"/>
  <c r="AK13" i="7"/>
  <c r="D12" i="2" s="1"/>
  <c r="AN13" i="7"/>
  <c r="D12" i="1" s="1"/>
  <c r="AM13" i="7"/>
  <c r="D12" i="6" s="1"/>
  <c r="AP13" i="7"/>
  <c r="D12" i="3" s="1"/>
  <c r="H2" i="6"/>
  <c r="Q2" i="6"/>
  <c r="N10" i="5"/>
  <c r="O10" i="5" s="1"/>
  <c r="K11" i="5"/>
  <c r="M11" i="5" s="1"/>
  <c r="F11" i="5"/>
  <c r="K11" i="2"/>
  <c r="M11" i="2" s="1"/>
  <c r="F11" i="2"/>
  <c r="N11" i="2" s="1"/>
  <c r="O11" i="2" s="1"/>
  <c r="K11" i="1"/>
  <c r="M11" i="1" s="1"/>
  <c r="F11" i="1"/>
  <c r="N11" i="1" s="1"/>
  <c r="O11" i="1" s="1"/>
  <c r="K11" i="4"/>
  <c r="O11" i="4"/>
  <c r="K11" i="6"/>
  <c r="O11" i="6"/>
  <c r="K11" i="3"/>
  <c r="O11" i="3"/>
  <c r="XFD14" i="7"/>
  <c r="D2" i="3"/>
  <c r="K2" i="3" s="1"/>
  <c r="AN14" i="7" l="1"/>
  <c r="D13" i="1" s="1"/>
  <c r="AO14" i="7"/>
  <c r="D13" i="4" s="1"/>
  <c r="AM14" i="7"/>
  <c r="D13" i="6" s="1"/>
  <c r="AP14" i="7"/>
  <c r="D13" i="3" s="1"/>
  <c r="AL14" i="7"/>
  <c r="D13" i="5" s="1"/>
  <c r="AK14" i="7"/>
  <c r="D13" i="2" s="1"/>
  <c r="K12" i="5"/>
  <c r="M12" i="5" s="1"/>
  <c r="F12" i="5"/>
  <c r="N12" i="5" s="1"/>
  <c r="O12" i="5" s="1"/>
  <c r="N11" i="5"/>
  <c r="O11" i="5" s="1"/>
  <c r="K12" i="2"/>
  <c r="M12" i="2" s="1"/>
  <c r="F12" i="2"/>
  <c r="N12" i="2" s="1"/>
  <c r="O12" i="2" s="1"/>
  <c r="K12" i="1"/>
  <c r="M12" i="1" s="1"/>
  <c r="F12" i="1"/>
  <c r="N12" i="1" s="1"/>
  <c r="O12" i="1" s="1"/>
  <c r="K12" i="3"/>
  <c r="O12" i="3"/>
  <c r="K12" i="6"/>
  <c r="O12" i="6"/>
  <c r="K12" i="4"/>
  <c r="O12" i="4"/>
  <c r="XFD15" i="7"/>
  <c r="AO15" i="7" l="1"/>
  <c r="D14" i="4" s="1"/>
  <c r="AP15" i="7"/>
  <c r="D14" i="3" s="1"/>
  <c r="AK15" i="7"/>
  <c r="D14" i="2" s="1"/>
  <c r="AN15" i="7"/>
  <c r="D14" i="1" s="1"/>
  <c r="AM15" i="7"/>
  <c r="D14" i="6" s="1"/>
  <c r="AL15" i="7"/>
  <c r="D14" i="5" s="1"/>
  <c r="K13" i="5"/>
  <c r="M13" i="5" s="1"/>
  <c r="F13" i="5"/>
  <c r="K13" i="1"/>
  <c r="M13" i="1" s="1"/>
  <c r="F13" i="1"/>
  <c r="N13" i="1" s="1"/>
  <c r="O13" i="1" s="1"/>
  <c r="K13" i="2"/>
  <c r="M13" i="2" s="1"/>
  <c r="F13" i="2"/>
  <c r="N13" i="2" s="1"/>
  <c r="O13" i="2" s="1"/>
  <c r="K13" i="4"/>
  <c r="O13" i="4"/>
  <c r="K13" i="6"/>
  <c r="O13" i="6"/>
  <c r="K13" i="3"/>
  <c r="O13" i="3"/>
  <c r="H50" i="6"/>
  <c r="XFD16" i="7"/>
  <c r="O2" i="3"/>
  <c r="D2" i="5"/>
  <c r="D2" i="6"/>
  <c r="F2" i="6" s="1"/>
  <c r="AT4" i="7"/>
  <c r="D2" i="1"/>
  <c r="D2" i="4"/>
  <c r="AL16" i="7" l="1"/>
  <c r="D15" i="5" s="1"/>
  <c r="AK16" i="7"/>
  <c r="D15" i="2" s="1"/>
  <c r="AN16" i="7"/>
  <c r="D15" i="1" s="1"/>
  <c r="AM16" i="7"/>
  <c r="D15" i="6" s="1"/>
  <c r="AP16" i="7"/>
  <c r="D15" i="3" s="1"/>
  <c r="AO16" i="7"/>
  <c r="D15" i="4" s="1"/>
  <c r="N13" i="5"/>
  <c r="O13" i="5" s="1"/>
  <c r="K14" i="5"/>
  <c r="M14" i="5" s="1"/>
  <c r="F14" i="5"/>
  <c r="K14" i="1"/>
  <c r="M14" i="1" s="1"/>
  <c r="F14" i="1"/>
  <c r="N14" i="1" s="1"/>
  <c r="O14" i="1" s="1"/>
  <c r="K14" i="6"/>
  <c r="O14" i="6"/>
  <c r="K14" i="3"/>
  <c r="O14" i="3"/>
  <c r="K14" i="4"/>
  <c r="O14" i="4"/>
  <c r="F14" i="2"/>
  <c r="N14" i="2" s="1"/>
  <c r="O14" i="2" s="1"/>
  <c r="K14" i="2"/>
  <c r="M14" i="2" s="1"/>
  <c r="AT6" i="7"/>
  <c r="AT5" i="7"/>
  <c r="XFD17" i="7"/>
  <c r="AR6" i="7"/>
  <c r="K2" i="4"/>
  <c r="K2" i="1"/>
  <c r="K2" i="6"/>
  <c r="K2" i="5"/>
  <c r="AP17" i="7" l="1"/>
  <c r="D16" i="3" s="1"/>
  <c r="AO17" i="7"/>
  <c r="D16" i="4" s="1"/>
  <c r="AK17" i="7"/>
  <c r="D16" i="2" s="1"/>
  <c r="AN17" i="7"/>
  <c r="D16" i="1" s="1"/>
  <c r="AM17" i="7"/>
  <c r="D16" i="6" s="1"/>
  <c r="AL17" i="7"/>
  <c r="D16" i="5" s="1"/>
  <c r="N14" i="5"/>
  <c r="O14" i="5" s="1"/>
  <c r="K15" i="2"/>
  <c r="M15" i="2" s="1"/>
  <c r="F15" i="2"/>
  <c r="N15" i="2" s="1"/>
  <c r="O15" i="2" s="1"/>
  <c r="K15" i="5"/>
  <c r="M15" i="5" s="1"/>
  <c r="F15" i="5"/>
  <c r="K15" i="1"/>
  <c r="M15" i="1" s="1"/>
  <c r="F15" i="1"/>
  <c r="N15" i="1" s="1"/>
  <c r="O15" i="1" s="1"/>
  <c r="K15" i="3"/>
  <c r="O15" i="3"/>
  <c r="K15" i="4"/>
  <c r="O15" i="4"/>
  <c r="K15" i="6"/>
  <c r="O15" i="6"/>
  <c r="AT7" i="7"/>
  <c r="XFD18" i="7"/>
  <c r="G2" i="2"/>
  <c r="AS4" i="7"/>
  <c r="AS5" i="7"/>
  <c r="AS6" i="7"/>
  <c r="E2" i="5"/>
  <c r="G2" i="5"/>
  <c r="L2" i="5"/>
  <c r="M2" i="5" s="1"/>
  <c r="G2" i="6"/>
  <c r="L2" i="6"/>
  <c r="M2" i="6" s="1"/>
  <c r="E2" i="1"/>
  <c r="Q2" i="1" s="1"/>
  <c r="G2" i="1"/>
  <c r="L2" i="1"/>
  <c r="M2" i="1" s="1"/>
  <c r="AV9" i="7"/>
  <c r="AV10" i="7"/>
  <c r="AV11" i="7"/>
  <c r="AV12" i="7"/>
  <c r="AV13" i="7"/>
  <c r="AV14" i="7"/>
  <c r="AV15" i="7"/>
  <c r="AV16" i="7"/>
  <c r="E2" i="4"/>
  <c r="Q2" i="4" s="1"/>
  <c r="G2" i="4"/>
  <c r="L2" i="4"/>
  <c r="M2" i="4" s="1"/>
  <c r="AM18" i="7" l="1"/>
  <c r="D17" i="6" s="1"/>
  <c r="AP18" i="7"/>
  <c r="D17" i="3" s="1"/>
  <c r="AO18" i="7"/>
  <c r="D17" i="4" s="1"/>
  <c r="AL18" i="7"/>
  <c r="D17" i="5" s="1"/>
  <c r="AK18" i="7"/>
  <c r="D17" i="2" s="1"/>
  <c r="AN18" i="7"/>
  <c r="D17" i="1" s="1"/>
  <c r="F2" i="5"/>
  <c r="N2" i="5" s="1"/>
  <c r="AS3" i="7" s="1"/>
  <c r="Q2" i="5"/>
  <c r="N15" i="5"/>
  <c r="O15" i="5" s="1"/>
  <c r="K16" i="4"/>
  <c r="M16" i="4" s="1"/>
  <c r="F16" i="4"/>
  <c r="K16" i="5"/>
  <c r="M16" i="5" s="1"/>
  <c r="F16" i="5"/>
  <c r="K16" i="2"/>
  <c r="M16" i="2" s="1"/>
  <c r="F16" i="2"/>
  <c r="N16" i="2" s="1"/>
  <c r="O16" i="2" s="1"/>
  <c r="K16" i="1"/>
  <c r="M16" i="1" s="1"/>
  <c r="F16" i="1"/>
  <c r="N16" i="1" s="1"/>
  <c r="O16" i="1" s="1"/>
  <c r="K16" i="3"/>
  <c r="O16" i="3"/>
  <c r="K16" i="6"/>
  <c r="O16" i="6"/>
  <c r="AT8" i="7"/>
  <c r="N2" i="6"/>
  <c r="XFD19" i="7"/>
  <c r="AU6" i="7"/>
  <c r="AR5" i="7"/>
  <c r="AU8" i="7"/>
  <c r="AU5" i="7"/>
  <c r="AR4" i="7"/>
  <c r="AU7" i="7"/>
  <c r="H2" i="4"/>
  <c r="F2" i="4"/>
  <c r="N2" i="4" s="1"/>
  <c r="AU4" i="7"/>
  <c r="H2" i="1"/>
  <c r="F2" i="1"/>
  <c r="N2" i="1" s="1"/>
  <c r="O2" i="1" s="1"/>
  <c r="AS8" i="7"/>
  <c r="AS7" i="7"/>
  <c r="AR8" i="7"/>
  <c r="AR7" i="7"/>
  <c r="H2" i="5"/>
  <c r="E50" i="5"/>
  <c r="AU9" i="7"/>
  <c r="AS9" i="7"/>
  <c r="E50" i="3"/>
  <c r="E50" i="4"/>
  <c r="D2" i="2"/>
  <c r="E50" i="1"/>
  <c r="E50" i="6"/>
  <c r="AO19" i="7" l="1"/>
  <c r="D18" i="4" s="1"/>
  <c r="AK19" i="7"/>
  <c r="D18" i="2" s="1"/>
  <c r="AL19" i="7"/>
  <c r="D18" i="5" s="1"/>
  <c r="AN19" i="7"/>
  <c r="D18" i="1" s="1"/>
  <c r="AP19" i="7"/>
  <c r="D18" i="3" s="1"/>
  <c r="AM19" i="7"/>
  <c r="D18" i="6" s="1"/>
  <c r="N16" i="4"/>
  <c r="O16" i="4" s="1"/>
  <c r="B29" i="9"/>
  <c r="B29" i="13"/>
  <c r="H12" i="9"/>
  <c r="H12" i="13"/>
  <c r="H29" i="9"/>
  <c r="H29" i="13"/>
  <c r="E29" i="9"/>
  <c r="E29" i="13"/>
  <c r="E12" i="9"/>
  <c r="E12" i="13"/>
  <c r="AU3" i="7"/>
  <c r="AT3" i="7"/>
  <c r="N16" i="5"/>
  <c r="K17" i="4"/>
  <c r="M17" i="4" s="1"/>
  <c r="F17" i="4"/>
  <c r="K17" i="2"/>
  <c r="M17" i="2" s="1"/>
  <c r="F17" i="2"/>
  <c r="N17" i="2" s="1"/>
  <c r="O17" i="2" s="1"/>
  <c r="K17" i="5"/>
  <c r="M17" i="5" s="1"/>
  <c r="F17" i="5"/>
  <c r="K17" i="1"/>
  <c r="M17" i="1" s="1"/>
  <c r="F17" i="1"/>
  <c r="K17" i="6"/>
  <c r="O17" i="6"/>
  <c r="K17" i="3"/>
  <c r="O17" i="3"/>
  <c r="AV7" i="7"/>
  <c r="AV8" i="7"/>
  <c r="AV6" i="7"/>
  <c r="AV5" i="7"/>
  <c r="AV4" i="7"/>
  <c r="AV3" i="7"/>
  <c r="XFD20" i="7"/>
  <c r="K2" i="2"/>
  <c r="M2" i="2" s="1"/>
  <c r="F2" i="2"/>
  <c r="AR9" i="7"/>
  <c r="H50" i="4"/>
  <c r="I50" i="4" s="1"/>
  <c r="H50" i="3"/>
  <c r="I50" i="3" s="1"/>
  <c r="H50" i="1"/>
  <c r="I50" i="1" s="1"/>
  <c r="Q50" i="1" s="1"/>
  <c r="H50" i="2"/>
  <c r="I50" i="2" s="1"/>
  <c r="Q50" i="2" s="1"/>
  <c r="H50" i="5"/>
  <c r="I50" i="5" s="1"/>
  <c r="Q50" i="5" s="1"/>
  <c r="I50" i="6"/>
  <c r="Q50" i="6" s="1"/>
  <c r="O2" i="5"/>
  <c r="O2" i="6"/>
  <c r="AN20" i="7" l="1"/>
  <c r="D19" i="1" s="1"/>
  <c r="AL20" i="7"/>
  <c r="D19" i="5" s="1"/>
  <c r="AK20" i="7"/>
  <c r="D19" i="2" s="1"/>
  <c r="AM20" i="7"/>
  <c r="D19" i="6" s="1"/>
  <c r="AP20" i="7"/>
  <c r="D19" i="3" s="1"/>
  <c r="AO20" i="7"/>
  <c r="D19" i="4" s="1"/>
  <c r="B34" i="13"/>
  <c r="Q50" i="3"/>
  <c r="H17" i="9"/>
  <c r="Q7" i="9" s="1"/>
  <c r="Q50" i="4"/>
  <c r="N17" i="4"/>
  <c r="O17" i="4" s="1"/>
  <c r="H34" i="9"/>
  <c r="H34" i="13"/>
  <c r="E34" i="9"/>
  <c r="E34" i="13"/>
  <c r="E17" i="9"/>
  <c r="E17" i="13"/>
  <c r="B17" i="9"/>
  <c r="B17" i="13"/>
  <c r="O16" i="5"/>
  <c r="N17" i="5"/>
  <c r="K18" i="6"/>
  <c r="M18" i="6" s="1"/>
  <c r="F18" i="6"/>
  <c r="N18" i="6" s="1"/>
  <c r="K18" i="2"/>
  <c r="M18" i="2" s="1"/>
  <c r="F18" i="2"/>
  <c r="N18" i="2" s="1"/>
  <c r="O18" i="2" s="1"/>
  <c r="K18" i="5"/>
  <c r="M18" i="5" s="1"/>
  <c r="F18" i="5"/>
  <c r="K18" i="1"/>
  <c r="M18" i="1" s="1"/>
  <c r="F18" i="1"/>
  <c r="N18" i="1" s="1"/>
  <c r="O18" i="1" s="1"/>
  <c r="N17" i="1"/>
  <c r="O17" i="1" s="1"/>
  <c r="K18" i="3"/>
  <c r="M18" i="3" s="1"/>
  <c r="F18" i="3"/>
  <c r="N18" i="3" s="1"/>
  <c r="K18" i="4"/>
  <c r="M18" i="4" s="1"/>
  <c r="F18" i="4"/>
  <c r="N18" i="4" s="1"/>
  <c r="O2" i="4"/>
  <c r="AU10" i="7"/>
  <c r="AS10" i="7"/>
  <c r="B34" i="9"/>
  <c r="XFD21" i="7"/>
  <c r="N2" i="2"/>
  <c r="AR10" i="7"/>
  <c r="AP21" i="7" l="1"/>
  <c r="D20" i="3" s="1"/>
  <c r="AL21" i="7"/>
  <c r="D20" i="5" s="1"/>
  <c r="AO21" i="7"/>
  <c r="D20" i="4" s="1"/>
  <c r="AK21" i="7"/>
  <c r="D20" i="2" s="1"/>
  <c r="AN21" i="7"/>
  <c r="D20" i="1" s="1"/>
  <c r="AM21" i="7"/>
  <c r="D20" i="6" s="1"/>
  <c r="O18" i="6"/>
  <c r="O17" i="5"/>
  <c r="O18" i="3"/>
  <c r="AR3" i="7"/>
  <c r="O18" i="4"/>
  <c r="N18" i="5"/>
  <c r="O18" i="5" s="1"/>
  <c r="K19" i="3"/>
  <c r="M19" i="3" s="1"/>
  <c r="F19" i="3"/>
  <c r="N19" i="3" s="1"/>
  <c r="O19" i="3" s="1"/>
  <c r="K19" i="2"/>
  <c r="M19" i="2" s="1"/>
  <c r="F19" i="2"/>
  <c r="N19" i="2" s="1"/>
  <c r="O19" i="2" s="1"/>
  <c r="K19" i="6"/>
  <c r="M19" i="6" s="1"/>
  <c r="F19" i="6"/>
  <c r="N19" i="6" s="1"/>
  <c r="O19" i="6" s="1"/>
  <c r="K19" i="1"/>
  <c r="M19" i="1" s="1"/>
  <c r="F19" i="1"/>
  <c r="N19" i="1" s="1"/>
  <c r="O19" i="1" s="1"/>
  <c r="K19" i="5"/>
  <c r="M19" i="5" s="1"/>
  <c r="F19" i="5"/>
  <c r="K19" i="4"/>
  <c r="M19" i="4" s="1"/>
  <c r="F19" i="4"/>
  <c r="N19" i="4" s="1"/>
  <c r="AU11" i="7"/>
  <c r="AS11" i="7"/>
  <c r="O2" i="2"/>
  <c r="XFD22" i="7"/>
  <c r="AR11" i="7"/>
  <c r="AN22" i="7" l="1"/>
  <c r="D21" i="1" s="1"/>
  <c r="AM22" i="7"/>
  <c r="D21" i="6" s="1"/>
  <c r="AP22" i="7"/>
  <c r="D21" i="3" s="1"/>
  <c r="AL22" i="7"/>
  <c r="D21" i="5" s="1"/>
  <c r="AK22" i="7"/>
  <c r="D21" i="2" s="1"/>
  <c r="AO22" i="7"/>
  <c r="D21" i="4" s="1"/>
  <c r="O19" i="4"/>
  <c r="N19" i="5"/>
  <c r="K20" i="3"/>
  <c r="M20" i="3" s="1"/>
  <c r="F20" i="3"/>
  <c r="N20" i="3" s="1"/>
  <c r="K20" i="4"/>
  <c r="M20" i="4" s="1"/>
  <c r="F20" i="4"/>
  <c r="K20" i="6"/>
  <c r="M20" i="6" s="1"/>
  <c r="F20" i="6"/>
  <c r="N20" i="6" s="1"/>
  <c r="O20" i="6" s="1"/>
  <c r="K20" i="1"/>
  <c r="M20" i="1" s="1"/>
  <c r="F20" i="1"/>
  <c r="N20" i="1" s="1"/>
  <c r="O20" i="1" s="1"/>
  <c r="K20" i="5"/>
  <c r="M20" i="5" s="1"/>
  <c r="F20" i="5"/>
  <c r="F20" i="2"/>
  <c r="N20" i="2" s="1"/>
  <c r="K20" i="2"/>
  <c r="M20" i="2" s="1"/>
  <c r="AU12" i="7"/>
  <c r="AS12" i="7"/>
  <c r="XFD23" i="7"/>
  <c r="AO23" i="7" l="1"/>
  <c r="D22" i="4" s="1"/>
  <c r="AL23" i="7"/>
  <c r="D22" i="5" s="1"/>
  <c r="AK23" i="7"/>
  <c r="D22" i="2" s="1"/>
  <c r="AN23" i="7"/>
  <c r="D22" i="1" s="1"/>
  <c r="AP23" i="7"/>
  <c r="D22" i="3" s="1"/>
  <c r="AM23" i="7"/>
  <c r="D22" i="6" s="1"/>
  <c r="N20" i="4"/>
  <c r="O20" i="4" s="1"/>
  <c r="O20" i="2"/>
  <c r="O20" i="3"/>
  <c r="O19" i="5"/>
  <c r="N20" i="5"/>
  <c r="O20" i="5" s="1"/>
  <c r="K21" i="6"/>
  <c r="M21" i="6" s="1"/>
  <c r="F21" i="6"/>
  <c r="N21" i="6" s="1"/>
  <c r="K21" i="3"/>
  <c r="M21" i="3" s="1"/>
  <c r="F21" i="3"/>
  <c r="N21" i="3" s="1"/>
  <c r="O21" i="3" s="1"/>
  <c r="K21" i="4"/>
  <c r="M21" i="4" s="1"/>
  <c r="F21" i="4"/>
  <c r="K21" i="2"/>
  <c r="M21" i="2" s="1"/>
  <c r="F21" i="2"/>
  <c r="N21" i="2" s="1"/>
  <c r="O21" i="2" s="1"/>
  <c r="K21" i="5"/>
  <c r="M21" i="5" s="1"/>
  <c r="F21" i="5"/>
  <c r="K21" i="1"/>
  <c r="M21" i="1" s="1"/>
  <c r="F21" i="1"/>
  <c r="N21" i="1" s="1"/>
  <c r="O21" i="1" s="1"/>
  <c r="AS13" i="7"/>
  <c r="AR12" i="7"/>
  <c r="AU13" i="7"/>
  <c r="XFD24" i="7"/>
  <c r="AR13" i="7"/>
  <c r="AN24" i="7" l="1"/>
  <c r="D23" i="1" s="1"/>
  <c r="AL24" i="7"/>
  <c r="D23" i="5" s="1"/>
  <c r="AK24" i="7"/>
  <c r="D23" i="2" s="1"/>
  <c r="AM24" i="7"/>
  <c r="D23" i="6" s="1"/>
  <c r="AP24" i="7"/>
  <c r="D23" i="3" s="1"/>
  <c r="AO24" i="7"/>
  <c r="D23" i="4" s="1"/>
  <c r="N21" i="4"/>
  <c r="O21" i="4" s="1"/>
  <c r="O21" i="6"/>
  <c r="N21" i="5"/>
  <c r="O21" i="5" s="1"/>
  <c r="K22" i="4"/>
  <c r="M22" i="4" s="1"/>
  <c r="F22" i="4"/>
  <c r="N22" i="4" s="1"/>
  <c r="K22" i="6"/>
  <c r="M22" i="6" s="1"/>
  <c r="F22" i="6"/>
  <c r="N22" i="6" s="1"/>
  <c r="K22" i="2"/>
  <c r="M22" i="2" s="1"/>
  <c r="F22" i="2"/>
  <c r="N22" i="2" s="1"/>
  <c r="O22" i="2" s="1"/>
  <c r="K22" i="1"/>
  <c r="M22" i="1" s="1"/>
  <c r="F22" i="1"/>
  <c r="N22" i="1" s="1"/>
  <c r="O22" i="1" s="1"/>
  <c r="K22" i="5"/>
  <c r="M22" i="5" s="1"/>
  <c r="F22" i="5"/>
  <c r="K22" i="3"/>
  <c r="M22" i="3" s="1"/>
  <c r="F22" i="3"/>
  <c r="N22" i="3" s="1"/>
  <c r="O22" i="3" s="1"/>
  <c r="AS14" i="7"/>
  <c r="AU14" i="7"/>
  <c r="XFD25" i="7"/>
  <c r="AR14" i="7"/>
  <c r="AP25" i="7" l="1"/>
  <c r="D24" i="3" s="1"/>
  <c r="AO25" i="7"/>
  <c r="D24" i="4" s="1"/>
  <c r="F24" i="4" s="1"/>
  <c r="AK25" i="7"/>
  <c r="D24" i="2" s="1"/>
  <c r="AN25" i="7"/>
  <c r="D24" i="1" s="1"/>
  <c r="AM25" i="7"/>
  <c r="D24" i="6" s="1"/>
  <c r="AL25" i="7"/>
  <c r="D24" i="5" s="1"/>
  <c r="O22" i="6"/>
  <c r="O22" i="4"/>
  <c r="N22" i="5"/>
  <c r="O22" i="5" s="1"/>
  <c r="K23" i="6"/>
  <c r="M23" i="6" s="1"/>
  <c r="F23" i="6"/>
  <c r="N23" i="6" s="1"/>
  <c r="O23" i="6" s="1"/>
  <c r="K23" i="4"/>
  <c r="M23" i="4" s="1"/>
  <c r="F23" i="4"/>
  <c r="K23" i="3"/>
  <c r="M23" i="3" s="1"/>
  <c r="F23" i="3"/>
  <c r="N23" i="3" s="1"/>
  <c r="O23" i="3" s="1"/>
  <c r="K23" i="2"/>
  <c r="M23" i="2" s="1"/>
  <c r="F23" i="2"/>
  <c r="N23" i="2" s="1"/>
  <c r="O23" i="2" s="1"/>
  <c r="K23" i="5"/>
  <c r="M23" i="5" s="1"/>
  <c r="F23" i="5"/>
  <c r="K23" i="1"/>
  <c r="M23" i="1" s="1"/>
  <c r="F23" i="1"/>
  <c r="N23" i="1" s="1"/>
  <c r="O23" i="1" s="1"/>
  <c r="AS15" i="7"/>
  <c r="AU15" i="7"/>
  <c r="XFD26" i="7"/>
  <c r="AR15" i="7"/>
  <c r="AT16" i="7"/>
  <c r="AS16" i="7"/>
  <c r="AM26" i="7" l="1"/>
  <c r="D25" i="6" s="1"/>
  <c r="AP26" i="7"/>
  <c r="D25" i="3" s="1"/>
  <c r="F25" i="3" s="1"/>
  <c r="N25" i="3" s="1"/>
  <c r="AL26" i="7"/>
  <c r="D25" i="5" s="1"/>
  <c r="F25" i="5" s="1"/>
  <c r="N25" i="5" s="1"/>
  <c r="AK26" i="7"/>
  <c r="D25" i="2" s="1"/>
  <c r="F25" i="2" s="1"/>
  <c r="N25" i="2" s="1"/>
  <c r="AN26" i="7"/>
  <c r="D25" i="1" s="1"/>
  <c r="F25" i="1" s="1"/>
  <c r="N25" i="1" s="1"/>
  <c r="O25" i="1" s="1"/>
  <c r="AO26" i="7"/>
  <c r="D25" i="4" s="1"/>
  <c r="N23" i="4"/>
  <c r="O23" i="4" s="1"/>
  <c r="N23" i="5"/>
  <c r="O23" i="5" s="1"/>
  <c r="K24" i="6"/>
  <c r="M24" i="6" s="1"/>
  <c r="F24" i="6"/>
  <c r="N24" i="6" s="1"/>
  <c r="O24" i="6" s="1"/>
  <c r="K24" i="3"/>
  <c r="M24" i="3" s="1"/>
  <c r="F24" i="3"/>
  <c r="N24" i="3" s="1"/>
  <c r="O24" i="3" s="1"/>
  <c r="K24" i="1"/>
  <c r="M24" i="1" s="1"/>
  <c r="F24" i="1"/>
  <c r="N24" i="1" s="1"/>
  <c r="O24" i="1" s="1"/>
  <c r="K24" i="2"/>
  <c r="M24" i="2" s="1"/>
  <c r="F24" i="2"/>
  <c r="N24" i="2" s="1"/>
  <c r="O24" i="2" s="1"/>
  <c r="K24" i="5"/>
  <c r="M24" i="5" s="1"/>
  <c r="F24" i="5"/>
  <c r="K24" i="4"/>
  <c r="M24" i="4" s="1"/>
  <c r="AU16" i="7"/>
  <c r="XFD27" i="7"/>
  <c r="AR16" i="7"/>
  <c r="AS17" i="7"/>
  <c r="AO27" i="7" l="1"/>
  <c r="D26" i="4" s="1"/>
  <c r="AK27" i="7"/>
  <c r="D26" i="2" s="1"/>
  <c r="AN27" i="7"/>
  <c r="D26" i="1" s="1"/>
  <c r="AM27" i="7"/>
  <c r="D26" i="6" s="1"/>
  <c r="AL27" i="7"/>
  <c r="D26" i="5" s="1"/>
  <c r="AP27" i="7"/>
  <c r="D26" i="3" s="1"/>
  <c r="N24" i="4"/>
  <c r="O24" i="4" s="1"/>
  <c r="K25" i="3"/>
  <c r="M25" i="3" s="1"/>
  <c r="O25" i="3"/>
  <c r="K25" i="2"/>
  <c r="M25" i="2" s="1"/>
  <c r="O25" i="2"/>
  <c r="K25" i="5"/>
  <c r="M25" i="5" s="1"/>
  <c r="O25" i="5"/>
  <c r="K25" i="1"/>
  <c r="M25" i="1" s="1"/>
  <c r="K25" i="4"/>
  <c r="M25" i="4" s="1"/>
  <c r="F25" i="4"/>
  <c r="K25" i="6"/>
  <c r="M25" i="6" s="1"/>
  <c r="F25" i="6"/>
  <c r="N25" i="6" s="1"/>
  <c r="O25" i="6" s="1"/>
  <c r="N24" i="5"/>
  <c r="O24" i="5" s="1"/>
  <c r="AV17" i="7"/>
  <c r="AU17" i="7"/>
  <c r="XFD28" i="7"/>
  <c r="AR17" i="7"/>
  <c r="AL28" i="7" l="1"/>
  <c r="D27" i="5" s="1"/>
  <c r="AK28" i="7"/>
  <c r="D27" i="2" s="1"/>
  <c r="AN28" i="7"/>
  <c r="D27" i="1" s="1"/>
  <c r="AM28" i="7"/>
  <c r="D27" i="6" s="1"/>
  <c r="AP28" i="7"/>
  <c r="D27" i="3" s="1"/>
  <c r="AO28" i="7"/>
  <c r="D27" i="4" s="1"/>
  <c r="N25" i="4"/>
  <c r="O25" i="4" s="1"/>
  <c r="K26" i="1"/>
  <c r="M26" i="1" s="1"/>
  <c r="F26" i="1"/>
  <c r="N26" i="1" s="1"/>
  <c r="O26" i="1" s="1"/>
  <c r="K26" i="5"/>
  <c r="M26" i="5" s="1"/>
  <c r="F26" i="5"/>
  <c r="N26" i="5" s="1"/>
  <c r="O26" i="5" s="1"/>
  <c r="K26" i="3"/>
  <c r="M26" i="3" s="1"/>
  <c r="F26" i="3"/>
  <c r="N26" i="3" s="1"/>
  <c r="O26" i="3" s="1"/>
  <c r="K26" i="4"/>
  <c r="M26" i="4" s="1"/>
  <c r="F26" i="4"/>
  <c r="K26" i="6"/>
  <c r="M26" i="6" s="1"/>
  <c r="F26" i="6"/>
  <c r="N26" i="6" s="1"/>
  <c r="O26" i="6" s="1"/>
  <c r="K26" i="2"/>
  <c r="M26" i="2" s="1"/>
  <c r="F26" i="2"/>
  <c r="N26" i="2" s="1"/>
  <c r="O26" i="2" s="1"/>
  <c r="AV18" i="7"/>
  <c r="AS18" i="7"/>
  <c r="AU18" i="7"/>
  <c r="XFD29" i="7"/>
  <c r="AR18" i="7"/>
  <c r="AP29" i="7" l="1"/>
  <c r="AL29" i="7"/>
  <c r="D28" i="5" s="1"/>
  <c r="AO29" i="7"/>
  <c r="D28" i="4" s="1"/>
  <c r="AK29" i="7"/>
  <c r="D28" i="2" s="1"/>
  <c r="AN29" i="7"/>
  <c r="D28" i="1" s="1"/>
  <c r="AM29" i="7"/>
  <c r="D28" i="6" s="1"/>
  <c r="N26" i="4"/>
  <c r="O26" i="4" s="1"/>
  <c r="K27" i="3"/>
  <c r="M27" i="3" s="1"/>
  <c r="F27" i="3"/>
  <c r="N27" i="3" s="1"/>
  <c r="O27" i="3" s="1"/>
  <c r="K27" i="2"/>
  <c r="M27" i="2" s="1"/>
  <c r="F27" i="2"/>
  <c r="N27" i="2" s="1"/>
  <c r="O27" i="2" s="1"/>
  <c r="K27" i="4"/>
  <c r="M27" i="4" s="1"/>
  <c r="F27" i="4"/>
  <c r="K27" i="5"/>
  <c r="M27" i="5" s="1"/>
  <c r="F27" i="5"/>
  <c r="N27" i="5" s="1"/>
  <c r="O27" i="5" s="1"/>
  <c r="K27" i="1"/>
  <c r="M27" i="1" s="1"/>
  <c r="F27" i="1"/>
  <c r="N27" i="1" s="1"/>
  <c r="O27" i="1" s="1"/>
  <c r="K27" i="6"/>
  <c r="M27" i="6" s="1"/>
  <c r="F27" i="6"/>
  <c r="N27" i="6" s="1"/>
  <c r="O27" i="6" s="1"/>
  <c r="AV19" i="7"/>
  <c r="AT19" i="7"/>
  <c r="AS19" i="7"/>
  <c r="AU19" i="7"/>
  <c r="AW19" i="7"/>
  <c r="XFD30" i="7"/>
  <c r="AR19" i="7"/>
  <c r="AM30" i="7" l="1"/>
  <c r="D29" i="6" s="1"/>
  <c r="AP30" i="7"/>
  <c r="D29" i="3" s="1"/>
  <c r="AN30" i="7"/>
  <c r="D29" i="1" s="1"/>
  <c r="AL30" i="7"/>
  <c r="D29" i="5" s="1"/>
  <c r="AK30" i="7"/>
  <c r="D29" i="2" s="1"/>
  <c r="AO30" i="7"/>
  <c r="D29" i="4" s="1"/>
  <c r="N27" i="4"/>
  <c r="O27" i="4" s="1"/>
  <c r="K28" i="4"/>
  <c r="M28" i="4" s="1"/>
  <c r="F28" i="4"/>
  <c r="K28" i="2"/>
  <c r="M28" i="2" s="1"/>
  <c r="F28" i="2"/>
  <c r="N28" i="2" s="1"/>
  <c r="O28" i="2" s="1"/>
  <c r="K28" i="6"/>
  <c r="M28" i="6" s="1"/>
  <c r="F28" i="6"/>
  <c r="N28" i="6" s="1"/>
  <c r="O28" i="6" s="1"/>
  <c r="K28" i="1"/>
  <c r="M28" i="1" s="1"/>
  <c r="F28" i="1"/>
  <c r="N28" i="1" s="1"/>
  <c r="O28" i="1" s="1"/>
  <c r="K28" i="5"/>
  <c r="M28" i="5" s="1"/>
  <c r="F28" i="5"/>
  <c r="N28" i="5" s="1"/>
  <c r="O28" i="5" s="1"/>
  <c r="D28" i="3"/>
  <c r="F28" i="3" s="1"/>
  <c r="N28" i="3" s="1"/>
  <c r="O28" i="3" s="1"/>
  <c r="AV20" i="7"/>
  <c r="AT20" i="7"/>
  <c r="AS20" i="7"/>
  <c r="AU20" i="7"/>
  <c r="AW20" i="7"/>
  <c r="XFD31" i="7"/>
  <c r="AR20" i="7"/>
  <c r="AO31" i="7" l="1"/>
  <c r="D30" i="4" s="1"/>
  <c r="AM31" i="7"/>
  <c r="D30" i="6" s="1"/>
  <c r="AK31" i="7"/>
  <c r="D30" i="2" s="1"/>
  <c r="AN31" i="7"/>
  <c r="D30" i="1" s="1"/>
  <c r="AP31" i="7"/>
  <c r="D30" i="3" s="1"/>
  <c r="AL31" i="7"/>
  <c r="D30" i="5" s="1"/>
  <c r="N28" i="4"/>
  <c r="O28" i="4" s="1"/>
  <c r="K29" i="3"/>
  <c r="M29" i="3" s="1"/>
  <c r="F29" i="3"/>
  <c r="N29" i="3" s="1"/>
  <c r="O29" i="3" s="1"/>
  <c r="K29" i="5"/>
  <c r="M29" i="5" s="1"/>
  <c r="F29" i="5"/>
  <c r="N29" i="5" s="1"/>
  <c r="O29" i="5" s="1"/>
  <c r="K29" i="2"/>
  <c r="M29" i="2" s="1"/>
  <c r="F29" i="2"/>
  <c r="N29" i="2" s="1"/>
  <c r="O29" i="2" s="1"/>
  <c r="K28" i="3"/>
  <c r="M28" i="3" s="1"/>
  <c r="K29" i="6"/>
  <c r="M29" i="6" s="1"/>
  <c r="F29" i="6"/>
  <c r="N29" i="6" s="1"/>
  <c r="O29" i="6" s="1"/>
  <c r="K29" i="1"/>
  <c r="M29" i="1" s="1"/>
  <c r="F29" i="1"/>
  <c r="N29" i="1" s="1"/>
  <c r="O29" i="1" s="1"/>
  <c r="K29" i="4"/>
  <c r="M29" i="4" s="1"/>
  <c r="F29" i="4"/>
  <c r="AV21" i="7"/>
  <c r="AT21" i="7"/>
  <c r="AS21" i="7"/>
  <c r="AU21" i="7"/>
  <c r="AW21" i="7"/>
  <c r="XFD32" i="7"/>
  <c r="AR21" i="7"/>
  <c r="AL32" i="7" l="1"/>
  <c r="D31" i="5" s="1"/>
  <c r="F31" i="5" s="1"/>
  <c r="N31" i="5" s="1"/>
  <c r="AK32" i="7"/>
  <c r="D31" i="2" s="1"/>
  <c r="F31" i="2" s="1"/>
  <c r="N31" i="2" s="1"/>
  <c r="AN32" i="7"/>
  <c r="D31" i="1" s="1"/>
  <c r="F31" i="1" s="1"/>
  <c r="N31" i="1" s="1"/>
  <c r="O31" i="1" s="1"/>
  <c r="AM32" i="7"/>
  <c r="D31" i="6" s="1"/>
  <c r="F31" i="6" s="1"/>
  <c r="N31" i="6" s="1"/>
  <c r="AP32" i="7"/>
  <c r="D31" i="3" s="1"/>
  <c r="F31" i="3" s="1"/>
  <c r="N31" i="3" s="1"/>
  <c r="AO32" i="7"/>
  <c r="D31" i="4" s="1"/>
  <c r="N29" i="4"/>
  <c r="O29" i="4" s="1"/>
  <c r="K30" i="6"/>
  <c r="M30" i="6" s="1"/>
  <c r="F30" i="6"/>
  <c r="N30" i="6" s="1"/>
  <c r="O30" i="6" s="1"/>
  <c r="K30" i="2"/>
  <c r="M30" i="2" s="1"/>
  <c r="F30" i="2"/>
  <c r="N30" i="2" s="1"/>
  <c r="O30" i="2" s="1"/>
  <c r="K30" i="1"/>
  <c r="M30" i="1" s="1"/>
  <c r="F30" i="1"/>
  <c r="N30" i="1" s="1"/>
  <c r="O30" i="1" s="1"/>
  <c r="K30" i="3"/>
  <c r="M30" i="3" s="1"/>
  <c r="F30" i="3"/>
  <c r="N30" i="3" s="1"/>
  <c r="O30" i="3" s="1"/>
  <c r="K30" i="5"/>
  <c r="M30" i="5" s="1"/>
  <c r="F30" i="5"/>
  <c r="N30" i="5" s="1"/>
  <c r="O30" i="5" s="1"/>
  <c r="K30" i="4"/>
  <c r="M30" i="4" s="1"/>
  <c r="F30" i="4"/>
  <c r="AS22" i="7"/>
  <c r="AV22" i="7"/>
  <c r="AT22" i="7"/>
  <c r="AU22" i="7"/>
  <c r="AW22" i="7"/>
  <c r="XFD33" i="7"/>
  <c r="AR22" i="7"/>
  <c r="AS23" i="7"/>
  <c r="AT23" i="7"/>
  <c r="AR23" i="7"/>
  <c r="AL33" i="7" l="1"/>
  <c r="D32" i="5" s="1"/>
  <c r="AP33" i="7"/>
  <c r="D32" i="3" s="1"/>
  <c r="AO33" i="7"/>
  <c r="D32" i="4" s="1"/>
  <c r="AK33" i="7"/>
  <c r="D32" i="2" s="1"/>
  <c r="AN33" i="7"/>
  <c r="D32" i="1" s="1"/>
  <c r="AM33" i="7"/>
  <c r="D32" i="6" s="1"/>
  <c r="N30" i="4"/>
  <c r="O30" i="4" s="1"/>
  <c r="K31" i="6"/>
  <c r="M31" i="6" s="1"/>
  <c r="O31" i="6"/>
  <c r="K31" i="3"/>
  <c r="M31" i="3" s="1"/>
  <c r="O31" i="3"/>
  <c r="K31" i="2"/>
  <c r="M31" i="2" s="1"/>
  <c r="O31" i="2"/>
  <c r="K31" i="5"/>
  <c r="M31" i="5" s="1"/>
  <c r="O31" i="5"/>
  <c r="K31" i="4"/>
  <c r="M31" i="4" s="1"/>
  <c r="F31" i="4"/>
  <c r="K31" i="1"/>
  <c r="M31" i="1" s="1"/>
  <c r="AV23" i="7"/>
  <c r="AU23" i="7"/>
  <c r="AW23" i="7"/>
  <c r="XFD34" i="7"/>
  <c r="AN34" i="7" l="1"/>
  <c r="D33" i="1" s="1"/>
  <c r="AM34" i="7"/>
  <c r="D33" i="6" s="1"/>
  <c r="AP34" i="7"/>
  <c r="D33" i="3" s="1"/>
  <c r="AO34" i="7"/>
  <c r="D33" i="4" s="1"/>
  <c r="AL34" i="7"/>
  <c r="D33" i="5" s="1"/>
  <c r="AK34" i="7"/>
  <c r="D33" i="2" s="1"/>
  <c r="N31" i="4"/>
  <c r="O31" i="4" s="1"/>
  <c r="K32" i="6"/>
  <c r="M32" i="6" s="1"/>
  <c r="F32" i="6"/>
  <c r="N32" i="6" s="1"/>
  <c r="O32" i="6" s="1"/>
  <c r="K32" i="2"/>
  <c r="M32" i="2" s="1"/>
  <c r="F32" i="2"/>
  <c r="N32" i="2" s="1"/>
  <c r="O32" i="2" s="1"/>
  <c r="K32" i="1"/>
  <c r="M32" i="1" s="1"/>
  <c r="F32" i="1"/>
  <c r="N32" i="1" s="1"/>
  <c r="O32" i="1" s="1"/>
  <c r="K32" i="4"/>
  <c r="M32" i="4" s="1"/>
  <c r="F32" i="4"/>
  <c r="K32" i="3"/>
  <c r="M32" i="3" s="1"/>
  <c r="F32" i="3"/>
  <c r="N32" i="3" s="1"/>
  <c r="O32" i="3" s="1"/>
  <c r="K32" i="5"/>
  <c r="M32" i="5" s="1"/>
  <c r="F32" i="5"/>
  <c r="N32" i="5" s="1"/>
  <c r="O32" i="5" s="1"/>
  <c r="AV24" i="7"/>
  <c r="AT24" i="7"/>
  <c r="AS24" i="7"/>
  <c r="AR24" i="7"/>
  <c r="AU24" i="7"/>
  <c r="AW24" i="7"/>
  <c r="XFD35" i="7"/>
  <c r="AL35" i="7" l="1"/>
  <c r="D34" i="5" s="1"/>
  <c r="AO35" i="7"/>
  <c r="D34" i="4" s="1"/>
  <c r="AP35" i="7"/>
  <c r="D34" i="3" s="1"/>
  <c r="AK35" i="7"/>
  <c r="D34" i="2" s="1"/>
  <c r="AN35" i="7"/>
  <c r="D34" i="1" s="1"/>
  <c r="AM35" i="7"/>
  <c r="D34" i="6" s="1"/>
  <c r="N32" i="4"/>
  <c r="O32" i="4" s="1"/>
  <c r="K33" i="6"/>
  <c r="M33" i="6" s="1"/>
  <c r="F33" i="6"/>
  <c r="N33" i="6" s="1"/>
  <c r="O33" i="6" s="1"/>
  <c r="K33" i="3"/>
  <c r="M33" i="3" s="1"/>
  <c r="F33" i="3"/>
  <c r="N33" i="3" s="1"/>
  <c r="O33" i="3" s="1"/>
  <c r="K33" i="2"/>
  <c r="M33" i="2" s="1"/>
  <c r="F33" i="2"/>
  <c r="N33" i="2" s="1"/>
  <c r="O33" i="2" s="1"/>
  <c r="K33" i="5"/>
  <c r="M33" i="5" s="1"/>
  <c r="F33" i="5"/>
  <c r="N33" i="5" s="1"/>
  <c r="O33" i="5" s="1"/>
  <c r="K33" i="4"/>
  <c r="M33" i="4" s="1"/>
  <c r="F33" i="4"/>
  <c r="K33" i="1"/>
  <c r="M33" i="1" s="1"/>
  <c r="F33" i="1"/>
  <c r="N33" i="1" s="1"/>
  <c r="O33" i="1" s="1"/>
  <c r="AV25" i="7"/>
  <c r="AT25" i="7"/>
  <c r="AS25" i="7"/>
  <c r="AR25" i="7"/>
  <c r="AU25" i="7"/>
  <c r="AW25" i="7"/>
  <c r="XFD36" i="7"/>
  <c r="AL36" i="7" l="1"/>
  <c r="D35" i="5" s="1"/>
  <c r="AK36" i="7"/>
  <c r="D35" i="2" s="1"/>
  <c r="AN36" i="7"/>
  <c r="D35" i="1" s="1"/>
  <c r="AM36" i="7"/>
  <c r="D35" i="6" s="1"/>
  <c r="AP36" i="7"/>
  <c r="D35" i="3" s="1"/>
  <c r="AO36" i="7"/>
  <c r="D35" i="4" s="1"/>
  <c r="N33" i="4"/>
  <c r="O33" i="4" s="1"/>
  <c r="K34" i="2"/>
  <c r="M34" i="2" s="1"/>
  <c r="F34" i="2"/>
  <c r="K34" i="1"/>
  <c r="M34" i="1" s="1"/>
  <c r="F34" i="1"/>
  <c r="K34" i="3"/>
  <c r="M34" i="3" s="1"/>
  <c r="F34" i="3"/>
  <c r="N34" i="3" s="1"/>
  <c r="O34" i="3" s="1"/>
  <c r="K34" i="5"/>
  <c r="M34" i="5" s="1"/>
  <c r="F34" i="5"/>
  <c r="K34" i="4"/>
  <c r="M34" i="4" s="1"/>
  <c r="F34" i="4"/>
  <c r="K34" i="6"/>
  <c r="M34" i="6" s="1"/>
  <c r="F34" i="6"/>
  <c r="N34" i="6" s="1"/>
  <c r="O34" i="6" s="1"/>
  <c r="AV26" i="7"/>
  <c r="AT26" i="7"/>
  <c r="AS26" i="7"/>
  <c r="AR26" i="7"/>
  <c r="AU26" i="7"/>
  <c r="AW26" i="7"/>
  <c r="XFD37" i="7"/>
  <c r="AL37" i="7" l="1"/>
  <c r="D36" i="5" s="1"/>
  <c r="AO37" i="7"/>
  <c r="D36" i="4" s="1"/>
  <c r="AK37" i="7"/>
  <c r="D36" i="2" s="1"/>
  <c r="AN37" i="7"/>
  <c r="D36" i="1" s="1"/>
  <c r="AM37" i="7"/>
  <c r="D36" i="6" s="1"/>
  <c r="AP37" i="7"/>
  <c r="D36" i="3" s="1"/>
  <c r="N34" i="4"/>
  <c r="O34" i="4" s="1"/>
  <c r="K35" i="1"/>
  <c r="M35" i="1" s="1"/>
  <c r="F35" i="1"/>
  <c r="K35" i="4"/>
  <c r="M35" i="4" s="1"/>
  <c r="F35" i="4"/>
  <c r="N34" i="5"/>
  <c r="O34" i="5" s="1"/>
  <c r="K35" i="6"/>
  <c r="M35" i="6" s="1"/>
  <c r="F35" i="6"/>
  <c r="N35" i="6" s="1"/>
  <c r="O35" i="6" s="1"/>
  <c r="K35" i="3"/>
  <c r="M35" i="3" s="1"/>
  <c r="F35" i="3"/>
  <c r="N35" i="3" s="1"/>
  <c r="O35" i="3" s="1"/>
  <c r="N34" i="1"/>
  <c r="O34" i="1" s="1"/>
  <c r="K35" i="5"/>
  <c r="M35" i="5" s="1"/>
  <c r="F35" i="5"/>
  <c r="N34" i="2"/>
  <c r="O34" i="2" s="1"/>
  <c r="F35" i="2"/>
  <c r="K35" i="2"/>
  <c r="M35" i="2" s="1"/>
  <c r="AV27" i="7"/>
  <c r="AT27" i="7"/>
  <c r="AS27" i="7"/>
  <c r="AR27" i="7"/>
  <c r="AU27" i="7"/>
  <c r="AW27" i="7"/>
  <c r="XFD38" i="7"/>
  <c r="AN38" i="7" l="1"/>
  <c r="D37" i="1" s="1"/>
  <c r="AM38" i="7"/>
  <c r="D37" i="6" s="1"/>
  <c r="AP38" i="7"/>
  <c r="D37" i="3" s="1"/>
  <c r="AO38" i="7"/>
  <c r="D37" i="4" s="1"/>
  <c r="AL38" i="7"/>
  <c r="D37" i="5" s="1"/>
  <c r="AK38" i="7"/>
  <c r="D37" i="2" s="1"/>
  <c r="N35" i="4"/>
  <c r="O35" i="4" s="1"/>
  <c r="K36" i="3"/>
  <c r="M36" i="3" s="1"/>
  <c r="F36" i="3"/>
  <c r="N36" i="3" s="1"/>
  <c r="O36" i="3" s="1"/>
  <c r="K36" i="5"/>
  <c r="M36" i="5" s="1"/>
  <c r="F36" i="5"/>
  <c r="N35" i="2"/>
  <c r="O35" i="2" s="1"/>
  <c r="K36" i="4"/>
  <c r="M36" i="4" s="1"/>
  <c r="F36" i="4"/>
  <c r="N35" i="5"/>
  <c r="O35" i="5" s="1"/>
  <c r="K36" i="6"/>
  <c r="M36" i="6" s="1"/>
  <c r="F36" i="6"/>
  <c r="N36" i="6" s="1"/>
  <c r="O36" i="6" s="1"/>
  <c r="K36" i="2"/>
  <c r="M36" i="2" s="1"/>
  <c r="F36" i="2"/>
  <c r="K36" i="1"/>
  <c r="M36" i="1" s="1"/>
  <c r="F36" i="1"/>
  <c r="N35" i="1"/>
  <c r="O35" i="1" s="1"/>
  <c r="AV28" i="7"/>
  <c r="AT28" i="7"/>
  <c r="AS28" i="7"/>
  <c r="AR28" i="7"/>
  <c r="AU28" i="7"/>
  <c r="AW28" i="7"/>
  <c r="XFD39" i="7"/>
  <c r="AO39" i="7" l="1"/>
  <c r="D38" i="4" s="1"/>
  <c r="AL39" i="7"/>
  <c r="D38" i="5" s="1"/>
  <c r="AK39" i="7"/>
  <c r="D38" i="2" s="1"/>
  <c r="AN39" i="7"/>
  <c r="D38" i="1" s="1"/>
  <c r="AM39" i="7"/>
  <c r="D38" i="6" s="1"/>
  <c r="AP39" i="7"/>
  <c r="D38" i="3" s="1"/>
  <c r="N36" i="4"/>
  <c r="O36" i="4" s="1"/>
  <c r="K37" i="1"/>
  <c r="M37" i="1" s="1"/>
  <c r="F37" i="1"/>
  <c r="K37" i="4"/>
  <c r="M37" i="4" s="1"/>
  <c r="F37" i="4"/>
  <c r="N36" i="1"/>
  <c r="O36" i="1" s="1"/>
  <c r="K37" i="6"/>
  <c r="M37" i="6" s="1"/>
  <c r="F37" i="6"/>
  <c r="N37" i="6" s="1"/>
  <c r="O37" i="6" s="1"/>
  <c r="N36" i="2"/>
  <c r="O36" i="2" s="1"/>
  <c r="K37" i="3"/>
  <c r="M37" i="3" s="1"/>
  <c r="F37" i="3"/>
  <c r="N37" i="3" s="1"/>
  <c r="O37" i="3" s="1"/>
  <c r="K37" i="2"/>
  <c r="M37" i="2" s="1"/>
  <c r="F37" i="2"/>
  <c r="N36" i="5"/>
  <c r="O36" i="5" s="1"/>
  <c r="K37" i="5"/>
  <c r="M37" i="5" s="1"/>
  <c r="F37" i="5"/>
  <c r="AV29" i="7"/>
  <c r="AT29" i="7"/>
  <c r="AS29" i="7"/>
  <c r="AR29" i="7"/>
  <c r="AU29" i="7"/>
  <c r="AW29" i="7"/>
  <c r="XFD40" i="7"/>
  <c r="AL40" i="7" l="1"/>
  <c r="D39" i="5" s="1"/>
  <c r="AK40" i="7"/>
  <c r="D39" i="2" s="1"/>
  <c r="AN40" i="7"/>
  <c r="D39" i="1" s="1"/>
  <c r="AM40" i="7"/>
  <c r="D39" i="6" s="1"/>
  <c r="AP40" i="7"/>
  <c r="D39" i="3" s="1"/>
  <c r="AO40" i="7"/>
  <c r="D39" i="4" s="1"/>
  <c r="N37" i="4"/>
  <c r="O37" i="4" s="1"/>
  <c r="K38" i="4"/>
  <c r="M38" i="4" s="1"/>
  <c r="F38" i="4"/>
  <c r="N38" i="4" s="1"/>
  <c r="N37" i="2"/>
  <c r="O37" i="2" s="1"/>
  <c r="K38" i="5"/>
  <c r="M38" i="5" s="1"/>
  <c r="F38" i="5"/>
  <c r="K38" i="6"/>
  <c r="M38" i="6" s="1"/>
  <c r="F38" i="6"/>
  <c r="K38" i="2"/>
  <c r="M38" i="2" s="1"/>
  <c r="F38" i="2"/>
  <c r="K38" i="1"/>
  <c r="M38" i="1" s="1"/>
  <c r="F38" i="1"/>
  <c r="K38" i="3"/>
  <c r="M38" i="3" s="1"/>
  <c r="F38" i="3"/>
  <c r="N38" i="3" s="1"/>
  <c r="O38" i="3" s="1"/>
  <c r="N37" i="5"/>
  <c r="O37" i="5" s="1"/>
  <c r="N37" i="1"/>
  <c r="O37" i="1" s="1"/>
  <c r="AV30" i="7"/>
  <c r="AT30" i="7"/>
  <c r="AS30" i="7"/>
  <c r="AR30" i="7"/>
  <c r="AU30" i="7"/>
  <c r="AW30" i="7"/>
  <c r="XFD41" i="7"/>
  <c r="AP41" i="7" l="1"/>
  <c r="D40" i="3" s="1"/>
  <c r="AO41" i="7"/>
  <c r="D40" i="4" s="1"/>
  <c r="AK41" i="7"/>
  <c r="D40" i="2" s="1"/>
  <c r="AN41" i="7"/>
  <c r="D40" i="1" s="1"/>
  <c r="AM41" i="7"/>
  <c r="D40" i="6" s="1"/>
  <c r="AL41" i="7"/>
  <c r="D40" i="5" s="1"/>
  <c r="K39" i="5"/>
  <c r="M39" i="5" s="1"/>
  <c r="F39" i="5"/>
  <c r="N38" i="6"/>
  <c r="O38" i="6" s="1"/>
  <c r="K39" i="1"/>
  <c r="M39" i="1" s="1"/>
  <c r="F39" i="1"/>
  <c r="K39" i="4"/>
  <c r="M39" i="4" s="1"/>
  <c r="F39" i="4"/>
  <c r="N39" i="4" s="1"/>
  <c r="N38" i="5"/>
  <c r="O38" i="5" s="1"/>
  <c r="K39" i="6"/>
  <c r="M39" i="6" s="1"/>
  <c r="F39" i="6"/>
  <c r="K39" i="3"/>
  <c r="M39" i="3" s="1"/>
  <c r="F39" i="3"/>
  <c r="N39" i="3" s="1"/>
  <c r="O39" i="3" s="1"/>
  <c r="N38" i="1"/>
  <c r="O38" i="1" s="1"/>
  <c r="K39" i="2"/>
  <c r="M39" i="2" s="1"/>
  <c r="F39" i="2"/>
  <c r="N38" i="2"/>
  <c r="O38" i="2" s="1"/>
  <c r="O38" i="4"/>
  <c r="AV31" i="7"/>
  <c r="AS31" i="7"/>
  <c r="AR31" i="7"/>
  <c r="AU31" i="7"/>
  <c r="AT31" i="7"/>
  <c r="AW31" i="7"/>
  <c r="XFD42" i="7"/>
  <c r="AM42" i="7" l="1"/>
  <c r="D41" i="6" s="1"/>
  <c r="AP42" i="7"/>
  <c r="D41" i="3" s="1"/>
  <c r="AO42" i="7"/>
  <c r="D41" i="4" s="1"/>
  <c r="AL42" i="7"/>
  <c r="D41" i="5" s="1"/>
  <c r="AK42" i="7"/>
  <c r="D41" i="2" s="1"/>
  <c r="AN42" i="7"/>
  <c r="D41" i="1" s="1"/>
  <c r="K40" i="2"/>
  <c r="M40" i="2" s="1"/>
  <c r="F40" i="2"/>
  <c r="O39" i="4"/>
  <c r="K40" i="1"/>
  <c r="M40" i="1" s="1"/>
  <c r="F40" i="1"/>
  <c r="N39" i="1"/>
  <c r="O39" i="1" s="1"/>
  <c r="N39" i="6"/>
  <c r="O39" i="6" s="1"/>
  <c r="K40" i="4"/>
  <c r="M40" i="4" s="1"/>
  <c r="F40" i="4"/>
  <c r="N40" i="4" s="1"/>
  <c r="N39" i="5"/>
  <c r="O39" i="5" s="1"/>
  <c r="K40" i="3"/>
  <c r="M40" i="3" s="1"/>
  <c r="F40" i="3"/>
  <c r="N40" i="3" s="1"/>
  <c r="O40" i="3" s="1"/>
  <c r="K40" i="5"/>
  <c r="M40" i="5" s="1"/>
  <c r="F40" i="5"/>
  <c r="N39" i="2"/>
  <c r="O39" i="2" s="1"/>
  <c r="K40" i="6"/>
  <c r="M40" i="6" s="1"/>
  <c r="F40" i="6"/>
  <c r="AV32" i="7"/>
  <c r="AS32" i="7"/>
  <c r="AR32" i="7"/>
  <c r="AU32" i="7"/>
  <c r="AT32" i="7"/>
  <c r="AW32" i="7"/>
  <c r="XFD43" i="7"/>
  <c r="AO43" i="7" l="1"/>
  <c r="D42" i="4" s="1"/>
  <c r="AK43" i="7"/>
  <c r="D42" i="2" s="1"/>
  <c r="AN43" i="7"/>
  <c r="D42" i="1" s="1"/>
  <c r="AM43" i="7"/>
  <c r="D42" i="6" s="1"/>
  <c r="AL43" i="7"/>
  <c r="D42" i="5" s="1"/>
  <c r="AP43" i="7"/>
  <c r="D42" i="3" s="1"/>
  <c r="K41" i="6"/>
  <c r="M41" i="6" s="1"/>
  <c r="F41" i="6"/>
  <c r="K41" i="3"/>
  <c r="M41" i="3" s="1"/>
  <c r="F41" i="3"/>
  <c r="N41" i="3" s="1"/>
  <c r="O41" i="3" s="1"/>
  <c r="K41" i="2"/>
  <c r="M41" i="2" s="1"/>
  <c r="F41" i="2"/>
  <c r="K41" i="5"/>
  <c r="M41" i="5" s="1"/>
  <c r="F41" i="5"/>
  <c r="N40" i="6"/>
  <c r="O40" i="6" s="1"/>
  <c r="N40" i="1"/>
  <c r="O40" i="1" s="1"/>
  <c r="K41" i="1"/>
  <c r="M41" i="1" s="1"/>
  <c r="F41" i="1"/>
  <c r="O40" i="4"/>
  <c r="K41" i="4"/>
  <c r="M41" i="4" s="1"/>
  <c r="F41" i="4"/>
  <c r="N41" i="4" s="1"/>
  <c r="N40" i="5"/>
  <c r="O40" i="5" s="1"/>
  <c r="N40" i="2"/>
  <c r="O40" i="2" s="1"/>
  <c r="AV33" i="7"/>
  <c r="AS33" i="7"/>
  <c r="AR33" i="7"/>
  <c r="AU33" i="7"/>
  <c r="AT33" i="7"/>
  <c r="AW33" i="7"/>
  <c r="XFD44" i="7"/>
  <c r="AN44" i="7" l="1"/>
  <c r="D43" i="1" s="1"/>
  <c r="AL44" i="7"/>
  <c r="D43" i="5" s="1"/>
  <c r="AK44" i="7"/>
  <c r="D43" i="2" s="1"/>
  <c r="AM44" i="7"/>
  <c r="D43" i="6" s="1"/>
  <c r="AP44" i="7"/>
  <c r="D43" i="3" s="1"/>
  <c r="AO44" i="7"/>
  <c r="D43" i="4" s="1"/>
  <c r="K42" i="2"/>
  <c r="M42" i="2" s="1"/>
  <c r="F42" i="2"/>
  <c r="N42" i="2" s="1"/>
  <c r="O42" i="2" s="1"/>
  <c r="K42" i="6"/>
  <c r="M42" i="6" s="1"/>
  <c r="F42" i="6"/>
  <c r="N42" i="6" s="1"/>
  <c r="O42" i="6" s="1"/>
  <c r="N41" i="5"/>
  <c r="O41" i="5" s="1"/>
  <c r="K42" i="1"/>
  <c r="M42" i="1" s="1"/>
  <c r="F42" i="1"/>
  <c r="N42" i="1" s="1"/>
  <c r="O42" i="1" s="1"/>
  <c r="N41" i="1"/>
  <c r="O41" i="1" s="1"/>
  <c r="N41" i="2"/>
  <c r="O41" i="2" s="1"/>
  <c r="K42" i="5"/>
  <c r="M42" i="5" s="1"/>
  <c r="F42" i="5"/>
  <c r="N42" i="5" s="1"/>
  <c r="O42" i="5" s="1"/>
  <c r="K42" i="3"/>
  <c r="M42" i="3" s="1"/>
  <c r="F42" i="3"/>
  <c r="N42" i="3" s="1"/>
  <c r="O42" i="3" s="1"/>
  <c r="O41" i="4"/>
  <c r="N41" i="6"/>
  <c r="O41" i="6" s="1"/>
  <c r="K42" i="4"/>
  <c r="M42" i="4" s="1"/>
  <c r="F42" i="4"/>
  <c r="AV34" i="7"/>
  <c r="AS34" i="7"/>
  <c r="AR34" i="7"/>
  <c r="AU34" i="7"/>
  <c r="AT34" i="7"/>
  <c r="AW34" i="7"/>
  <c r="XFD45" i="7"/>
  <c r="AR35" i="7"/>
  <c r="AS35" i="7"/>
  <c r="AP45" i="7" l="1"/>
  <c r="D44" i="3" s="1"/>
  <c r="AL45" i="7"/>
  <c r="D44" i="5" s="1"/>
  <c r="AO45" i="7"/>
  <c r="D44" i="4" s="1"/>
  <c r="AK45" i="7"/>
  <c r="D44" i="2" s="1"/>
  <c r="AN45" i="7"/>
  <c r="D44" i="1" s="1"/>
  <c r="AM45" i="7"/>
  <c r="D44" i="6" s="1"/>
  <c r="N42" i="4"/>
  <c r="O42" i="4" s="1"/>
  <c r="K43" i="3"/>
  <c r="M43" i="3" s="1"/>
  <c r="F43" i="3"/>
  <c r="N43" i="3" s="1"/>
  <c r="O43" i="3" s="1"/>
  <c r="K43" i="2"/>
  <c r="M43" i="2" s="1"/>
  <c r="F43" i="2"/>
  <c r="N43" i="2" s="1"/>
  <c r="O43" i="2" s="1"/>
  <c r="K43" i="1"/>
  <c r="M43" i="1" s="1"/>
  <c r="F43" i="1"/>
  <c r="N43" i="1" s="1"/>
  <c r="O43" i="1" s="1"/>
  <c r="K43" i="6"/>
  <c r="M43" i="6" s="1"/>
  <c r="F43" i="6"/>
  <c r="N43" i="6" s="1"/>
  <c r="O43" i="6" s="1"/>
  <c r="K43" i="5"/>
  <c r="M43" i="5" s="1"/>
  <c r="F43" i="5"/>
  <c r="N43" i="5" s="1"/>
  <c r="O43" i="5" s="1"/>
  <c r="K43" i="4"/>
  <c r="M43" i="4" s="1"/>
  <c r="F43" i="4"/>
  <c r="AV35" i="7"/>
  <c r="AU35" i="7"/>
  <c r="AT35" i="7"/>
  <c r="AW35" i="7"/>
  <c r="XFD46" i="7"/>
  <c r="AR36" i="7"/>
  <c r="AS36" i="7"/>
  <c r="AM46" i="7" l="1"/>
  <c r="D45" i="6" s="1"/>
  <c r="AP46" i="7"/>
  <c r="D45" i="3" s="1"/>
  <c r="AO46" i="7"/>
  <c r="D45" i="4" s="1"/>
  <c r="AN46" i="7"/>
  <c r="D45" i="1" s="1"/>
  <c r="AL46" i="7"/>
  <c r="D45" i="5" s="1"/>
  <c r="AK46" i="7"/>
  <c r="D45" i="2" s="1"/>
  <c r="N43" i="4"/>
  <c r="O43" i="4" s="1"/>
  <c r="K44" i="2"/>
  <c r="M44" i="2" s="1"/>
  <c r="F44" i="2"/>
  <c r="K44" i="1"/>
  <c r="M44" i="1" s="1"/>
  <c r="F44" i="1"/>
  <c r="K44" i="3"/>
  <c r="M44" i="3" s="1"/>
  <c r="F44" i="3"/>
  <c r="N44" i="3" s="1"/>
  <c r="O44" i="3" s="1"/>
  <c r="K44" i="5"/>
  <c r="M44" i="5" s="1"/>
  <c r="F44" i="5"/>
  <c r="K44" i="4"/>
  <c r="M44" i="4" s="1"/>
  <c r="F44" i="4"/>
  <c r="N44" i="4" s="1"/>
  <c r="K44" i="6"/>
  <c r="M44" i="6" s="1"/>
  <c r="F44" i="6"/>
  <c r="AV36" i="7"/>
  <c r="AU36" i="7"/>
  <c r="AT36" i="7"/>
  <c r="AW36" i="7"/>
  <c r="XFD47" i="7"/>
  <c r="AR37" i="7"/>
  <c r="AS37" i="7"/>
  <c r="AO47" i="7" l="1"/>
  <c r="D46" i="4" s="1"/>
  <c r="AK47" i="7"/>
  <c r="D46" i="2" s="1"/>
  <c r="AN47" i="7"/>
  <c r="D46" i="1" s="1"/>
  <c r="AM47" i="7"/>
  <c r="D46" i="6" s="1"/>
  <c r="AP47" i="7"/>
  <c r="D46" i="3" s="1"/>
  <c r="AL47" i="7"/>
  <c r="D46" i="5" s="1"/>
  <c r="K45" i="2"/>
  <c r="M45" i="2" s="1"/>
  <c r="F45" i="2"/>
  <c r="K45" i="5"/>
  <c r="M45" i="5" s="1"/>
  <c r="F45" i="5"/>
  <c r="K45" i="1"/>
  <c r="M45" i="1" s="1"/>
  <c r="F45" i="1"/>
  <c r="K45" i="4"/>
  <c r="M45" i="4" s="1"/>
  <c r="F45" i="4"/>
  <c r="N45" i="4" s="1"/>
  <c r="K45" i="6"/>
  <c r="M45" i="6" s="1"/>
  <c r="F45" i="6"/>
  <c r="K45" i="3"/>
  <c r="M45" i="3" s="1"/>
  <c r="F45" i="3"/>
  <c r="N45" i="3" s="1"/>
  <c r="O45" i="3" s="1"/>
  <c r="N44" i="5"/>
  <c r="O44" i="5" s="1"/>
  <c r="N44" i="6"/>
  <c r="O44" i="6" s="1"/>
  <c r="N44" i="1"/>
  <c r="O44" i="1" s="1"/>
  <c r="O44" i="4"/>
  <c r="N44" i="2"/>
  <c r="O44" i="2" s="1"/>
  <c r="AV37" i="7"/>
  <c r="AU37" i="7"/>
  <c r="AT37" i="7"/>
  <c r="AW37" i="7"/>
  <c r="XFD48" i="7"/>
  <c r="AR38" i="7"/>
  <c r="AS38" i="7"/>
  <c r="AL48" i="7" l="1"/>
  <c r="D47" i="5" s="1"/>
  <c r="AK48" i="7"/>
  <c r="D47" i="2" s="1"/>
  <c r="AN48" i="7"/>
  <c r="D47" i="1" s="1"/>
  <c r="AM48" i="7"/>
  <c r="D47" i="6" s="1"/>
  <c r="AP48" i="7"/>
  <c r="D47" i="3" s="1"/>
  <c r="AO48" i="7"/>
  <c r="D47" i="4" s="1"/>
  <c r="N45" i="1"/>
  <c r="O45" i="1" s="1"/>
  <c r="K46" i="6"/>
  <c r="M46" i="6" s="1"/>
  <c r="F46" i="6"/>
  <c r="N45" i="5"/>
  <c r="O45" i="5" s="1"/>
  <c r="K46" i="2"/>
  <c r="M46" i="2" s="1"/>
  <c r="F46" i="2"/>
  <c r="K46" i="5"/>
  <c r="M46" i="5" s="1"/>
  <c r="F46" i="5"/>
  <c r="K46" i="1"/>
  <c r="M46" i="1" s="1"/>
  <c r="F46" i="1"/>
  <c r="N45" i="6"/>
  <c r="O45" i="6" s="1"/>
  <c r="N45" i="2"/>
  <c r="O45" i="2" s="1"/>
  <c r="O45" i="4"/>
  <c r="K46" i="4"/>
  <c r="M46" i="4" s="1"/>
  <c r="F46" i="4"/>
  <c r="N46" i="4" s="1"/>
  <c r="K46" i="3"/>
  <c r="M46" i="3" s="1"/>
  <c r="F46" i="3"/>
  <c r="N46" i="3" s="1"/>
  <c r="O46" i="3" s="1"/>
  <c r="AV38" i="7"/>
  <c r="AU38" i="7"/>
  <c r="AT38" i="7"/>
  <c r="AW38" i="7"/>
  <c r="XFD49" i="7"/>
  <c r="AS39" i="7"/>
  <c r="AR39" i="7"/>
  <c r="AL49" i="7" l="1"/>
  <c r="D48" i="5" s="1"/>
  <c r="AO49" i="7"/>
  <c r="D48" i="4" s="1"/>
  <c r="AP49" i="7"/>
  <c r="D48" i="3" s="1"/>
  <c r="AK49" i="7"/>
  <c r="D48" i="2" s="1"/>
  <c r="AN49" i="7"/>
  <c r="D48" i="1" s="1"/>
  <c r="AM49" i="7"/>
  <c r="D48" i="6" s="1"/>
  <c r="K47" i="5"/>
  <c r="M47" i="5" s="1"/>
  <c r="F47" i="5"/>
  <c r="K47" i="2"/>
  <c r="M47" i="2" s="1"/>
  <c r="F47" i="2"/>
  <c r="K47" i="1"/>
  <c r="M47" i="1" s="1"/>
  <c r="F47" i="1"/>
  <c r="O46" i="4"/>
  <c r="K47" i="4"/>
  <c r="M47" i="4" s="1"/>
  <c r="F47" i="4"/>
  <c r="N47" i="4" s="1"/>
  <c r="K47" i="6"/>
  <c r="M47" i="6" s="1"/>
  <c r="F47" i="6"/>
  <c r="K47" i="3"/>
  <c r="M47" i="3" s="1"/>
  <c r="F47" i="3"/>
  <c r="N47" i="3" s="1"/>
  <c r="O47" i="3" s="1"/>
  <c r="N46" i="2"/>
  <c r="O46" i="2" s="1"/>
  <c r="N46" i="1"/>
  <c r="O46" i="1" s="1"/>
  <c r="N46" i="6"/>
  <c r="O46" i="6" s="1"/>
  <c r="N46" i="5"/>
  <c r="O46" i="5" s="1"/>
  <c r="AV39" i="7"/>
  <c r="AU39" i="7"/>
  <c r="AT39" i="7"/>
  <c r="AW39" i="7"/>
  <c r="XFD50" i="7"/>
  <c r="AS40" i="7"/>
  <c r="AR40" i="7"/>
  <c r="AN50" i="7" l="1"/>
  <c r="AN51" i="7" s="1"/>
  <c r="AP50" i="7"/>
  <c r="AP51" i="7" s="1"/>
  <c r="AM50" i="7"/>
  <c r="AM51" i="7" s="1"/>
  <c r="AO50" i="7"/>
  <c r="AO51" i="7" s="1"/>
  <c r="AL50" i="7"/>
  <c r="AL51" i="7" s="1"/>
  <c r="AK50" i="7"/>
  <c r="AK51" i="7" s="1"/>
  <c r="K48" i="5"/>
  <c r="M48" i="5" s="1"/>
  <c r="F48" i="5"/>
  <c r="N47" i="1"/>
  <c r="O47" i="1" s="1"/>
  <c r="K48" i="4"/>
  <c r="M48" i="4" s="1"/>
  <c r="F48" i="4"/>
  <c r="N48" i="4" s="1"/>
  <c r="K48" i="3"/>
  <c r="M48" i="3" s="1"/>
  <c r="F48" i="3"/>
  <c r="N48" i="3" s="1"/>
  <c r="O48" i="3" s="1"/>
  <c r="N47" i="6"/>
  <c r="O47" i="6" s="1"/>
  <c r="N47" i="2"/>
  <c r="O47" i="2" s="1"/>
  <c r="K48" i="6"/>
  <c r="M48" i="6" s="1"/>
  <c r="F48" i="6"/>
  <c r="K48" i="2"/>
  <c r="M48" i="2" s="1"/>
  <c r="F48" i="2"/>
  <c r="O47" i="4"/>
  <c r="N47" i="5"/>
  <c r="O47" i="5" s="1"/>
  <c r="K48" i="1"/>
  <c r="M48" i="1" s="1"/>
  <c r="F48" i="1"/>
  <c r="AV40" i="7"/>
  <c r="AU40" i="7"/>
  <c r="AT40" i="7"/>
  <c r="AW40" i="7"/>
  <c r="AS41" i="7"/>
  <c r="AR41" i="7"/>
  <c r="D49" i="1" l="1"/>
  <c r="K49" i="1" s="1"/>
  <c r="M49" i="1" s="1"/>
  <c r="D49" i="6"/>
  <c r="K49" i="6" s="1"/>
  <c r="M49" i="6" s="1"/>
  <c r="D49" i="2"/>
  <c r="K49" i="2" s="1"/>
  <c r="M49" i="2" s="1"/>
  <c r="D49" i="5"/>
  <c r="K49" i="5" s="1"/>
  <c r="M49" i="5" s="1"/>
  <c r="F49" i="5"/>
  <c r="N48" i="2"/>
  <c r="O48" i="2" s="1"/>
  <c r="N48" i="1"/>
  <c r="O48" i="1" s="1"/>
  <c r="N48" i="6"/>
  <c r="O48" i="6" s="1"/>
  <c r="O48" i="4"/>
  <c r="F49" i="1"/>
  <c r="F49" i="6"/>
  <c r="N48" i="5"/>
  <c r="O48" i="5" s="1"/>
  <c r="F49" i="2"/>
  <c r="D49" i="4"/>
  <c r="D49" i="3"/>
  <c r="AV41" i="7"/>
  <c r="AU41" i="7"/>
  <c r="AT41" i="7"/>
  <c r="AW41" i="7"/>
  <c r="AR42" i="7"/>
  <c r="AS42" i="7"/>
  <c r="K49" i="3" l="1"/>
  <c r="M49" i="3" s="1"/>
  <c r="F49" i="3"/>
  <c r="N49" i="3" s="1"/>
  <c r="O49" i="3" s="1"/>
  <c r="N49" i="6"/>
  <c r="O49" i="6" s="1"/>
  <c r="K49" i="4"/>
  <c r="M49" i="4" s="1"/>
  <c r="F49" i="4"/>
  <c r="N49" i="4" s="1"/>
  <c r="N49" i="1"/>
  <c r="O49" i="1" s="1"/>
  <c r="O50" i="1" s="1"/>
  <c r="N49" i="2"/>
  <c r="O49" i="2" s="1"/>
  <c r="N49" i="5"/>
  <c r="O49" i="5" s="1"/>
  <c r="AU42" i="7"/>
  <c r="AT42" i="7"/>
  <c r="O49" i="4" l="1"/>
  <c r="AR43" i="7"/>
  <c r="AV43" i="7"/>
  <c r="AV42" i="7"/>
  <c r="AU43" i="7"/>
  <c r="AT43" i="7"/>
  <c r="AW42" i="7"/>
  <c r="AS43" i="7" l="1"/>
  <c r="AS44" i="7"/>
  <c r="AR44" i="7"/>
  <c r="AV44" i="7"/>
  <c r="AU44" i="7"/>
  <c r="AT44" i="7"/>
  <c r="AW43" i="7"/>
  <c r="AR45" i="7"/>
  <c r="AS45" i="7"/>
  <c r="AV45" i="7" l="1"/>
  <c r="AU45" i="7"/>
  <c r="AT45" i="7"/>
  <c r="AW45" i="7"/>
  <c r="AW44" i="7"/>
  <c r="AS46" i="7"/>
  <c r="AR46" i="7"/>
  <c r="AV46" i="7" l="1"/>
  <c r="AU46" i="7"/>
  <c r="AT46" i="7"/>
  <c r="AW46" i="7"/>
  <c r="AS47" i="7"/>
  <c r="AR47" i="7"/>
  <c r="AV47" i="7" l="1"/>
  <c r="AT47" i="7"/>
  <c r="AW47" i="7"/>
  <c r="AR48" i="7"/>
  <c r="AS48" i="7"/>
  <c r="AV48" i="7" l="1"/>
  <c r="AU47" i="7"/>
  <c r="AU48" i="7"/>
  <c r="AT48" i="7"/>
  <c r="AW48" i="7"/>
  <c r="AS49" i="7"/>
  <c r="AR49" i="7"/>
  <c r="AV49" i="7" l="1"/>
  <c r="AU49" i="7"/>
  <c r="AT49" i="7"/>
  <c r="AW49" i="7"/>
  <c r="AS50" i="7" l="1"/>
  <c r="AV50" i="7" l="1"/>
  <c r="AU50" i="7"/>
  <c r="AT50" i="7"/>
  <c r="N50" i="3"/>
  <c r="AW50" i="7"/>
  <c r="AR50" i="7"/>
  <c r="D50" i="2"/>
  <c r="B11" i="13" s="1"/>
  <c r="B13" i="13" s="1"/>
  <c r="D50" i="1"/>
  <c r="D50" i="5"/>
  <c r="D50" i="6"/>
  <c r="E28" i="13" s="1"/>
  <c r="E30" i="13" s="1"/>
  <c r="D50" i="4"/>
  <c r="D50" i="3"/>
  <c r="O50" i="6"/>
  <c r="D1" i="1"/>
  <c r="D1" i="2"/>
  <c r="D1" i="3"/>
  <c r="D1" i="5"/>
  <c r="D1" i="6"/>
  <c r="D1" i="4"/>
  <c r="N50" i="1"/>
  <c r="H33" i="13" l="1"/>
  <c r="H31" i="13"/>
  <c r="H32" i="13"/>
  <c r="F50" i="1"/>
  <c r="H28" i="13"/>
  <c r="H30" i="13" s="1"/>
  <c r="F50" i="3"/>
  <c r="B28" i="13"/>
  <c r="B30" i="13" s="1"/>
  <c r="F50" i="5"/>
  <c r="E11" i="13"/>
  <c r="E13" i="13" s="1"/>
  <c r="B31" i="13"/>
  <c r="B33" i="13"/>
  <c r="B32" i="13"/>
  <c r="F50" i="4"/>
  <c r="H11" i="13"/>
  <c r="H13" i="13" s="1"/>
  <c r="H28" i="9"/>
  <c r="H30" i="9" s="1"/>
  <c r="B32" i="9"/>
  <c r="O50" i="3"/>
  <c r="N50" i="2"/>
  <c r="O50" i="2"/>
  <c r="H31" i="9"/>
  <c r="H33" i="9"/>
  <c r="H32" i="9"/>
  <c r="E11" i="9"/>
  <c r="B28" i="9"/>
  <c r="E28" i="9"/>
  <c r="E30" i="9" s="1"/>
  <c r="F50" i="6"/>
  <c r="B11" i="9"/>
  <c r="F50" i="2"/>
  <c r="H11" i="9"/>
  <c r="O50" i="5"/>
  <c r="N50" i="6"/>
  <c r="E33" i="13" l="1"/>
  <c r="E31" i="13"/>
  <c r="E32" i="13"/>
  <c r="B16" i="9"/>
  <c r="B15" i="13"/>
  <c r="B16" i="13"/>
  <c r="B14" i="13"/>
  <c r="G20" i="9"/>
  <c r="B33" i="9"/>
  <c r="B31" i="9"/>
  <c r="B30" i="9"/>
  <c r="P8" i="9"/>
  <c r="B15" i="9"/>
  <c r="B14" i="9"/>
  <c r="E13" i="9"/>
  <c r="P6" i="9" s="1"/>
  <c r="N50" i="4"/>
  <c r="O50" i="4"/>
  <c r="H13" i="9" s="1"/>
  <c r="B13" i="9"/>
  <c r="P4" i="9" s="1"/>
  <c r="E31" i="9"/>
  <c r="E33" i="9"/>
  <c r="E32" i="9"/>
  <c r="P7" i="9"/>
  <c r="N50" i="5"/>
  <c r="E14" i="9" l="1"/>
  <c r="E16" i="13"/>
  <c r="E14" i="13"/>
  <c r="E15" i="13"/>
  <c r="H14" i="9"/>
  <c r="H16" i="13"/>
  <c r="H14" i="13"/>
  <c r="H15" i="13"/>
  <c r="A3" i="9"/>
  <c r="D20" i="9"/>
  <c r="A20" i="9"/>
  <c r="H15" i="9"/>
  <c r="H16" i="9"/>
  <c r="Q6" i="9" s="1"/>
  <c r="P5" i="9"/>
  <c r="E15" i="9"/>
  <c r="E16" i="9"/>
  <c r="P9" i="9"/>
  <c r="G3" i="9" l="1"/>
  <c r="Q5" i="9"/>
  <c r="Q4" i="9"/>
</calcChain>
</file>

<file path=xl/sharedStrings.xml><?xml version="1.0" encoding="utf-8"?>
<sst xmlns="http://schemas.openxmlformats.org/spreadsheetml/2006/main" count="474" uniqueCount="44">
  <si>
    <t>Interval</t>
  </si>
  <si>
    <t>Answerd</t>
  </si>
  <si>
    <t>Delivery</t>
  </si>
  <si>
    <t>SL</t>
  </si>
  <si>
    <t>Login Stuff</t>
  </si>
  <si>
    <t>Status</t>
  </si>
  <si>
    <t>CASH</t>
  </si>
  <si>
    <t>RED</t>
  </si>
  <si>
    <t>ASP</t>
  </si>
  <si>
    <t>ICC</t>
  </si>
  <si>
    <t>CM</t>
  </si>
  <si>
    <t>Login</t>
  </si>
  <si>
    <t>Lock</t>
  </si>
  <si>
    <t>Lost</t>
  </si>
  <si>
    <t>Achived</t>
  </si>
  <si>
    <t>Total</t>
  </si>
  <si>
    <t>Acc</t>
  </si>
  <si>
    <t>Red</t>
  </si>
  <si>
    <t>Aspiring</t>
  </si>
  <si>
    <t>OCC</t>
  </si>
  <si>
    <t>Total Login</t>
  </si>
  <si>
    <t>AHT</t>
  </si>
  <si>
    <t>Paid Calls</t>
  </si>
  <si>
    <t>Enterprise</t>
  </si>
  <si>
    <t>CAP LEFT</t>
  </si>
  <si>
    <t>N</t>
  </si>
  <si>
    <t>Req Stuff</t>
  </si>
  <si>
    <t>OV</t>
  </si>
  <si>
    <t>Cap Left</t>
  </si>
  <si>
    <t>Queue</t>
  </si>
  <si>
    <t>THT</t>
  </si>
  <si>
    <t>AHT+DN</t>
  </si>
  <si>
    <t>P.Answerd</t>
  </si>
  <si>
    <t>Delevery</t>
  </si>
  <si>
    <t>Wait</t>
  </si>
  <si>
    <t>Capacity</t>
  </si>
  <si>
    <t>-</t>
  </si>
  <si>
    <t>R.EU</t>
  </si>
  <si>
    <t>ACC</t>
  </si>
  <si>
    <t>Day</t>
  </si>
  <si>
    <t>.</t>
  </si>
  <si>
    <t>Cash</t>
  </si>
  <si>
    <t>Growing SLA</t>
  </si>
  <si>
    <t>3;37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</si>
</sst>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hh:mm:ss"/>
    <numFmt numFmtId="166" formatCode="d\-mmm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0"/>
      <name val="Bernard MT Condensed"/>
      <family val="1"/>
    </font>
    <font>
      <sz val="12"/>
      <color theme="1"/>
      <name val="Bernard MT Condensed"/>
      <family val="1"/>
    </font>
    <font>
      <sz val="12"/>
      <color theme="0"/>
      <name val="Bernard MT Condensed"/>
      <family val="1"/>
    </font>
    <font>
      <sz val="9"/>
      <color theme="1"/>
      <name val="Calibri"/>
      <family val="2"/>
      <scheme val="minor"/>
    </font>
    <font>
      <sz val="24"/>
      <color theme="1"/>
      <name val="Bernard MT Condensed"/>
      <family val="1"/>
    </font>
    <font>
      <sz val="28"/>
      <color theme="1"/>
      <name val="Bernard MT Condensed"/>
      <family val="1"/>
    </font>
    <font>
      <sz val="36"/>
      <color theme="1"/>
      <name val="Bernard MT Condensed"/>
      <family val="1"/>
    </font>
    <font>
      <sz val="48"/>
      <color theme="1"/>
      <name val="Bernard MT Condensed"/>
      <family val="1"/>
    </font>
    <font>
      <b/>
      <sz val="2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auto="1"/>
      </left>
      <right style="double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4" fillId="0" borderId="0" xfId="0" applyFont="1"/>
    <xf numFmtId="0" fontId="3" fillId="2" borderId="2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20" fontId="3" fillId="2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9" fontId="5" fillId="3" borderId="2" xfId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20" fontId="2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21" fontId="10" fillId="0" borderId="1" xfId="0" applyNumberFormat="1" applyFont="1" applyBorder="1" applyAlignment="1">
      <alignment horizontal="center" vertical="center"/>
    </xf>
    <xf numFmtId="0" fontId="5" fillId="3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11" borderId="2" xfId="0" applyFont="1" applyFill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1" fontId="5" fillId="3" borderId="2" xfId="1" applyNumberFormat="1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4" fillId="0" borderId="0" xfId="0" applyNumberFormat="1" applyFont="1"/>
    <xf numFmtId="0" fontId="6" fillId="2" borderId="1" xfId="0" applyNumberFormat="1" applyFont="1" applyFill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/>
    </xf>
    <xf numFmtId="16" fontId="4" fillId="0" borderId="0" xfId="0" applyNumberFormat="1" applyFont="1"/>
    <xf numFmtId="164" fontId="5" fillId="3" borderId="2" xfId="1" applyNumberFormat="1" applyFont="1" applyFill="1" applyBorder="1" applyAlignment="1">
      <alignment horizontal="center" vertical="center"/>
    </xf>
    <xf numFmtId="20" fontId="2" fillId="2" borderId="14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6" fillId="3" borderId="1" xfId="1" applyNumberFormat="1" applyFont="1" applyFill="1" applyBorder="1" applyAlignment="1">
      <alignment horizontal="center" vertical="center"/>
    </xf>
    <xf numFmtId="0" fontId="17" fillId="0" borderId="0" xfId="0" applyFont="1"/>
    <xf numFmtId="9" fontId="4" fillId="0" borderId="0" xfId="1" applyFont="1"/>
    <xf numFmtId="3" fontId="10" fillId="0" borderId="1" xfId="1" applyNumberFormat="1" applyFont="1" applyBorder="1" applyAlignment="1">
      <alignment horizontal="center" vertical="center"/>
    </xf>
    <xf numFmtId="3" fontId="3" fillId="2" borderId="16" xfId="0" applyNumberFormat="1" applyFont="1" applyFill="1" applyBorder="1" applyAlignment="1">
      <alignment horizontal="center" vertical="center"/>
    </xf>
    <xf numFmtId="165" fontId="5" fillId="3" borderId="2" xfId="1" applyNumberFormat="1" applyFont="1" applyFill="1" applyBorder="1" applyAlignment="1">
      <alignment horizontal="center" vertical="center"/>
    </xf>
    <xf numFmtId="166" fontId="3" fillId="2" borderId="2" xfId="0" applyNumberFormat="1" applyFont="1" applyFill="1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NumberFormat="1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/>
    </xf>
    <xf numFmtId="20" fontId="10" fillId="0" borderId="1" xfId="0" applyNumberFormat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4" fillId="6" borderId="5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9" fontId="15" fillId="0" borderId="0" xfId="0" applyNumberFormat="1" applyFont="1" applyAlignment="1">
      <alignment horizontal="center" vertical="center"/>
    </xf>
    <xf numFmtId="9" fontId="15" fillId="0" borderId="1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15" fillId="0" borderId="17" xfId="0" applyNumberFormat="1" applyFont="1" applyBorder="1" applyAlignment="1">
      <alignment horizontal="center" vertical="center"/>
    </xf>
    <xf numFmtId="0" fontId="8" fillId="10" borderId="11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theme="7" tint="-0.24994659260841701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C00000"/>
      </font>
    </dxf>
    <dxf>
      <font>
        <color theme="7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theme="7" tint="-0.24994659260841701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C00000"/>
      </font>
    </dxf>
    <dxf>
      <font>
        <color rgb="FF00B050"/>
      </font>
    </dxf>
    <dxf>
      <font>
        <color theme="7" tint="-0.24994659260841701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theme="7" tint="-0.24994659260841701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theme="7" tint="-0.24994659260841701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D7A-41B1-A2C5-84CDC5117A20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D7A-41B1-A2C5-84CDC5117A20}"/>
              </c:ext>
            </c:extLst>
          </c:dPt>
          <c:val>
            <c:numRef>
              <c:f>(Validation!$P$4,Validation!$B$13)</c:f>
              <c:numCache>
                <c:formatCode>0%</c:formatCode>
                <c:ptCount val="2"/>
                <c:pt idx="0">
                  <c:v>0.14861660079051386</c:v>
                </c:pt>
                <c:pt idx="1">
                  <c:v>0.85138339920948614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A-41B1-A2C5-84CDC5117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378-45D7-B0E1-85F0B332CB13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378-45D7-B0E1-85F0B332CB13}"/>
              </c:ext>
            </c:extLst>
          </c:dPt>
          <c:val>
            <c:numRef>
              <c:f>(Validation!$P$5,Validation!$B$30)</c:f>
              <c:numCache>
                <c:formatCode>0%</c:formatCode>
                <c:ptCount val="2"/>
                <c:pt idx="0">
                  <c:v>1.0362694300518172E-2</c:v>
                </c:pt>
                <c:pt idx="1">
                  <c:v>0.98963730569948183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378-45D7-B0E1-85F0B332C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258-4765-BDDE-4232F84D5FDE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258-4765-BDDE-4232F84D5FDE}"/>
              </c:ext>
            </c:extLst>
          </c:dPt>
          <c:val>
            <c:numRef>
              <c:f>(Validation!$P$6,Validation!$E$13)</c:f>
              <c:numCache>
                <c:formatCode>0%</c:formatCode>
                <c:ptCount val="2"/>
                <c:pt idx="0">
                  <c:v>0.282560706401766</c:v>
                </c:pt>
                <c:pt idx="1">
                  <c:v>0.717439293598234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58-4765-BDDE-4232F84D5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7DA-4A32-BCF3-EB51611B24DB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7DA-4A32-BCF3-EB51611B24DB}"/>
              </c:ext>
            </c:extLst>
          </c:dPt>
          <c:val>
            <c:numRef>
              <c:f>(Validation!$P$7,Validation!$E$30)</c:f>
              <c:numCache>
                <c:formatCode>0%</c:formatCode>
                <c:ptCount val="2"/>
                <c:pt idx="0">
                  <c:v>0.25947867298578198</c:v>
                </c:pt>
                <c:pt idx="1">
                  <c:v>0.74052132701421802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DA-4A32-BCF3-EB51611B24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87873527693333"/>
          <c:y val="9.0291278241697817E-2"/>
          <c:w val="0.55688854642088004"/>
          <c:h val="0.779287986520294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6A-494E-B2EA-0CBAC30D6EC3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6A-494E-B2EA-0CBAC30D6EC3}"/>
              </c:ext>
            </c:extLst>
          </c:dPt>
          <c:val>
            <c:numRef>
              <c:f>(Validation!$P$8,Validation!$H$30)</c:f>
              <c:numCache>
                <c:formatCode>0%</c:formatCode>
                <c:ptCount val="2"/>
                <c:pt idx="0">
                  <c:v>5.7803468208092457E-2</c:v>
                </c:pt>
                <c:pt idx="1">
                  <c:v>0.94219653179190754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56A-494E-B2EA-0CBAC30D6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8B-4FD5-B3B0-4D460EA57C3C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58B-4FD5-B3B0-4D460EA57C3C}"/>
              </c:ext>
            </c:extLst>
          </c:dPt>
          <c:val>
            <c:numRef>
              <c:f>(Validation!$P$9,Validation!$H$13)</c:f>
              <c:numCache>
                <c:formatCode>0%</c:formatCode>
                <c:ptCount val="2"/>
                <c:pt idx="0">
                  <c:v>-7.7669902912621325E-2</c:v>
                </c:pt>
                <c:pt idx="1">
                  <c:v>1.0776699029126213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8B-4FD5-B3B0-4D460EA57C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71-410A-82D9-55593622A573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71-410A-82D9-55593622A573}"/>
              </c:ext>
            </c:extLst>
          </c:dPt>
          <c:val>
            <c:numRef>
              <c:f>(Validation!$P$9,Validation!$H$13)</c:f>
              <c:numCache>
                <c:formatCode>0%</c:formatCode>
                <c:ptCount val="2"/>
                <c:pt idx="0">
                  <c:v>-7.7669902912621325E-2</c:v>
                </c:pt>
                <c:pt idx="1">
                  <c:v>1.0776699029126213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71-410A-82D9-55593622A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0F-4FE4-AA6D-D638CF61C4C6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0F-4FE4-AA6D-D638CF61C4C6}"/>
              </c:ext>
            </c:extLst>
          </c:dPt>
          <c:val>
            <c:numRef>
              <c:f>(Validation!$P$9,Validation!$H$13)</c:f>
              <c:numCache>
                <c:formatCode>0%</c:formatCode>
                <c:ptCount val="2"/>
                <c:pt idx="0">
                  <c:v>-7.7669902912621325E-2</c:v>
                </c:pt>
                <c:pt idx="1">
                  <c:v>1.0776699029126213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0F-4FE4-AA6D-D638CF61C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F7D-4B14-9A94-24DB9BCE38CA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F7D-4B14-9A94-24DB9BCE38CA}"/>
              </c:ext>
            </c:extLst>
          </c:dPt>
          <c:val>
            <c:numRef>
              <c:f>(Validation!$P$9,Validation!$H$13)</c:f>
              <c:numCache>
                <c:formatCode>0%</c:formatCode>
                <c:ptCount val="2"/>
                <c:pt idx="0">
                  <c:v>-7.7669902912621325E-2</c:v>
                </c:pt>
                <c:pt idx="1">
                  <c:v>1.0776699029126213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7D-4B14-9A94-24DB9BCE3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45-4088-BAD8-71F2A6B5170F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45-4088-BAD8-71F2A6B5170F}"/>
              </c:ext>
            </c:extLst>
          </c:dPt>
          <c:val>
            <c:numRef>
              <c:f>(Validation!$P$4,Validation!$B$13)</c:f>
              <c:numCache>
                <c:formatCode>0%</c:formatCode>
                <c:ptCount val="2"/>
                <c:pt idx="0">
                  <c:v>0.14861660079051386</c:v>
                </c:pt>
                <c:pt idx="1">
                  <c:v>0.85138339920948614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45-4088-BAD8-71F2A6B51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FE-4535-BB8F-BD41F7BE88F4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FE-4535-BB8F-BD41F7BE88F4}"/>
              </c:ext>
            </c:extLst>
          </c:dPt>
          <c:val>
            <c:numRef>
              <c:f>(Validation!$P$9,Validation!$H$13)</c:f>
              <c:numCache>
                <c:formatCode>0%</c:formatCode>
                <c:ptCount val="2"/>
                <c:pt idx="0">
                  <c:v>-7.7669902912621325E-2</c:v>
                </c:pt>
                <c:pt idx="1">
                  <c:v>1.0776699029126213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FE-4535-BB8F-BD41F7BE8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EF-4004-B0F9-46DE65F3E1AE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EF-4004-B0F9-46DE65F3E1AE}"/>
              </c:ext>
            </c:extLst>
          </c:dPt>
          <c:val>
            <c:numRef>
              <c:f>(Validation!$P$4,Validation!$B$13)</c:f>
              <c:numCache>
                <c:formatCode>0%</c:formatCode>
                <c:ptCount val="2"/>
                <c:pt idx="0">
                  <c:v>0.14861660079051386</c:v>
                </c:pt>
                <c:pt idx="1">
                  <c:v>0.85138339920948614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EF-4004-B0F9-46DE65F3E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4E-4CB6-AAD9-7ECB8FB00766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4E-4CB6-AAD9-7ECB8FB00766}"/>
              </c:ext>
            </c:extLst>
          </c:dPt>
          <c:val>
            <c:numRef>
              <c:f>(Validation!$P$9,Validation!$H$13)</c:f>
              <c:numCache>
                <c:formatCode>0%</c:formatCode>
                <c:ptCount val="2"/>
                <c:pt idx="0">
                  <c:v>-7.7669902912621325E-2</c:v>
                </c:pt>
                <c:pt idx="1">
                  <c:v>1.0776699029126213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B4E-4CB6-AAD9-7ECB8FB00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29E-4C05-BEC3-D6587ACFFC1A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29E-4C05-BEC3-D6587ACFFC1A}"/>
              </c:ext>
            </c:extLst>
          </c:dPt>
          <c:val>
            <c:numRef>
              <c:f>(Validation!$P$4,Validation!$B$13)</c:f>
              <c:numCache>
                <c:formatCode>0%</c:formatCode>
                <c:ptCount val="2"/>
                <c:pt idx="0">
                  <c:v>0.14861660079051386</c:v>
                </c:pt>
                <c:pt idx="1">
                  <c:v>0.85138339920948614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9E-4C05-BEC3-D6587ACFF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66-4BEE-AB74-1C9D3124046C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66-4BEE-AB74-1C9D3124046C}"/>
              </c:ext>
            </c:extLst>
          </c:dPt>
          <c:val>
            <c:numRef>
              <c:f>(Validation!$P$9,Validation!$H$13)</c:f>
              <c:numCache>
                <c:formatCode>0%</c:formatCode>
                <c:ptCount val="2"/>
                <c:pt idx="0">
                  <c:v>-7.7669902912621325E-2</c:v>
                </c:pt>
                <c:pt idx="1">
                  <c:v>1.0776699029126213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66-4BEE-AB74-1C9D312404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2</xdr:col>
      <xdr:colOff>24848</xdr:colOff>
      <xdr:row>8</xdr:row>
      <xdr:rowOff>198782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2</xdr:col>
      <xdr:colOff>24848</xdr:colOff>
      <xdr:row>25</xdr:row>
      <xdr:rowOff>198782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5</xdr:col>
      <xdr:colOff>24848</xdr:colOff>
      <xdr:row>8</xdr:row>
      <xdr:rowOff>198782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5</xdr:col>
      <xdr:colOff>24848</xdr:colOff>
      <xdr:row>25</xdr:row>
      <xdr:rowOff>198782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28575</xdr:colOff>
      <xdr:row>19</xdr:row>
      <xdr:rowOff>19050</xdr:rowOff>
    </xdr:from>
    <xdr:to>
      <xdr:col>8</xdr:col>
      <xdr:colOff>53423</xdr:colOff>
      <xdr:row>26</xdr:row>
      <xdr:rowOff>17807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0</xdr:colOff>
      <xdr:row>2</xdr:row>
      <xdr:rowOff>0</xdr:rowOff>
    </xdr:from>
    <xdr:to>
      <xdr:col>8</xdr:col>
      <xdr:colOff>0</xdr:colOff>
      <xdr:row>8</xdr:row>
      <xdr:rowOff>198782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8</xdr:col>
      <xdr:colOff>0</xdr:colOff>
      <xdr:row>25</xdr:row>
      <xdr:rowOff>198782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D2CBC4C-DA10-44AE-844E-5E976B45F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5</xdr:col>
      <xdr:colOff>0</xdr:colOff>
      <xdr:row>25</xdr:row>
      <xdr:rowOff>198782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B037283-6AE0-442E-A50B-24569A717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</xdr:row>
      <xdr:rowOff>0</xdr:rowOff>
    </xdr:from>
    <xdr:to>
      <xdr:col>2</xdr:col>
      <xdr:colOff>0</xdr:colOff>
      <xdr:row>8</xdr:row>
      <xdr:rowOff>198782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80D5009-0125-4C09-8B8C-35E845FE1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5</xdr:col>
      <xdr:colOff>24848</xdr:colOff>
      <xdr:row>8</xdr:row>
      <xdr:rowOff>198782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A64BF47-D113-441D-9983-821D399F7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5</xdr:col>
      <xdr:colOff>0</xdr:colOff>
      <xdr:row>8</xdr:row>
      <xdr:rowOff>198782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BCE943E-72E6-4D9E-BCD1-256DF8BED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5</xdr:col>
      <xdr:colOff>24848</xdr:colOff>
      <xdr:row>8</xdr:row>
      <xdr:rowOff>198782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A6EA0DD-F068-4AED-81E6-F037F4A699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5</xdr:col>
      <xdr:colOff>0</xdr:colOff>
      <xdr:row>8</xdr:row>
      <xdr:rowOff>198782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39BF7AF-2082-44D5-959D-4F5488BAA7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5</xdr:col>
      <xdr:colOff>24848</xdr:colOff>
      <xdr:row>8</xdr:row>
      <xdr:rowOff>198782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1FB11CFF-3406-4E70-A275-A4449859C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</xdr:col>
      <xdr:colOff>0</xdr:colOff>
      <xdr:row>2</xdr:row>
      <xdr:rowOff>0</xdr:rowOff>
    </xdr:from>
    <xdr:to>
      <xdr:col>5</xdr:col>
      <xdr:colOff>0</xdr:colOff>
      <xdr:row>9</xdr:row>
      <xdr:rowOff>1861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D7B6F8D5-9E23-4C69-928A-18FADAC509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2.25\wfm\Vodafone\2025\Locked\2025\11-Final%20November%202025%20Average%20Answered%20Cal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heel Total"/>
      <sheetName val="Aspiring"/>
      <sheetName val="CM"/>
      <sheetName val="Enterprise Aspiring"/>
      <sheetName val="ICC"/>
      <sheetName val="Red Cash"/>
      <sheetName val="EU"/>
      <sheetName val="Cash red"/>
    </sheetNames>
    <sheetDataSet>
      <sheetData sheetId="0"/>
      <sheetData sheetId="1">
        <row r="2">
          <cell r="B2">
            <v>45962</v>
          </cell>
          <cell r="C2">
            <v>45963</v>
          </cell>
          <cell r="D2">
            <v>45964</v>
          </cell>
          <cell r="E2">
            <v>45965</v>
          </cell>
          <cell r="F2">
            <v>45966</v>
          </cell>
          <cell r="G2">
            <v>45967</v>
          </cell>
          <cell r="H2">
            <v>45968</v>
          </cell>
          <cell r="I2">
            <v>45969</v>
          </cell>
          <cell r="J2">
            <v>45970</v>
          </cell>
          <cell r="K2">
            <v>45971</v>
          </cell>
          <cell r="L2">
            <v>45972</v>
          </cell>
          <cell r="M2">
            <v>45973</v>
          </cell>
          <cell r="N2">
            <v>45974</v>
          </cell>
          <cell r="O2">
            <v>45975</v>
          </cell>
          <cell r="P2">
            <v>45976</v>
          </cell>
          <cell r="Q2">
            <v>45977</v>
          </cell>
          <cell r="R2">
            <v>45978</v>
          </cell>
          <cell r="S2">
            <v>45979</v>
          </cell>
          <cell r="T2">
            <v>45980</v>
          </cell>
          <cell r="U2">
            <v>45981</v>
          </cell>
          <cell r="V2">
            <v>45982</v>
          </cell>
          <cell r="W2">
            <v>45983</v>
          </cell>
          <cell r="X2">
            <v>45984</v>
          </cell>
          <cell r="Y2">
            <v>45985</v>
          </cell>
          <cell r="Z2">
            <v>45986</v>
          </cell>
          <cell r="AA2">
            <v>45987</v>
          </cell>
          <cell r="AB2">
            <v>45988</v>
          </cell>
          <cell r="AC2">
            <v>45989</v>
          </cell>
          <cell r="AD2">
            <v>45990</v>
          </cell>
          <cell r="AE2">
            <v>45991</v>
          </cell>
        </row>
        <row r="3">
          <cell r="B3">
            <v>1883</v>
          </cell>
          <cell r="C3">
            <v>1994</v>
          </cell>
          <cell r="D3">
            <v>1945</v>
          </cell>
          <cell r="E3">
            <v>1963</v>
          </cell>
          <cell r="F3">
            <v>2018</v>
          </cell>
          <cell r="G3">
            <v>1970</v>
          </cell>
          <cell r="H3">
            <v>1693</v>
          </cell>
          <cell r="I3">
            <v>1776</v>
          </cell>
          <cell r="J3">
            <v>1881</v>
          </cell>
          <cell r="K3">
            <v>1835</v>
          </cell>
          <cell r="L3">
            <v>1852</v>
          </cell>
          <cell r="M3">
            <v>1904</v>
          </cell>
          <cell r="N3">
            <v>1858</v>
          </cell>
          <cell r="O3">
            <v>1597</v>
          </cell>
          <cell r="P3">
            <v>1740</v>
          </cell>
          <cell r="Q3">
            <v>1844</v>
          </cell>
          <cell r="R3">
            <v>1798</v>
          </cell>
          <cell r="S3">
            <v>1815</v>
          </cell>
          <cell r="T3">
            <v>1866</v>
          </cell>
          <cell r="U3">
            <v>1821</v>
          </cell>
          <cell r="V3">
            <v>1565</v>
          </cell>
          <cell r="W3">
            <v>1669</v>
          </cell>
          <cell r="X3">
            <v>1769</v>
          </cell>
          <cell r="Y3">
            <v>1725</v>
          </cell>
          <cell r="Z3">
            <v>1741</v>
          </cell>
          <cell r="AA3">
            <v>1790</v>
          </cell>
          <cell r="AB3">
            <v>1747</v>
          </cell>
          <cell r="AC3">
            <v>1501</v>
          </cell>
          <cell r="AD3">
            <v>1669</v>
          </cell>
          <cell r="AE3">
            <v>1771</v>
          </cell>
        </row>
        <row r="4">
          <cell r="B4">
            <v>44</v>
          </cell>
          <cell r="C4">
            <v>37</v>
          </cell>
          <cell r="D4">
            <v>30</v>
          </cell>
          <cell r="E4">
            <v>36</v>
          </cell>
          <cell r="F4">
            <v>34</v>
          </cell>
          <cell r="G4">
            <v>37</v>
          </cell>
          <cell r="H4">
            <v>39</v>
          </cell>
          <cell r="I4">
            <v>41</v>
          </cell>
          <cell r="J4">
            <v>35</v>
          </cell>
          <cell r="K4">
            <v>29</v>
          </cell>
          <cell r="L4">
            <v>34</v>
          </cell>
          <cell r="M4">
            <v>32</v>
          </cell>
          <cell r="N4">
            <v>35</v>
          </cell>
          <cell r="O4">
            <v>37</v>
          </cell>
          <cell r="P4">
            <v>40</v>
          </cell>
          <cell r="Q4">
            <v>34</v>
          </cell>
          <cell r="R4">
            <v>28</v>
          </cell>
          <cell r="S4">
            <v>33</v>
          </cell>
          <cell r="T4">
            <v>32</v>
          </cell>
          <cell r="U4">
            <v>34</v>
          </cell>
          <cell r="V4">
            <v>36</v>
          </cell>
          <cell r="W4">
            <v>39</v>
          </cell>
          <cell r="X4">
            <v>33</v>
          </cell>
          <cell r="Y4">
            <v>27</v>
          </cell>
          <cell r="Z4">
            <v>32</v>
          </cell>
          <cell r="AA4">
            <v>30</v>
          </cell>
          <cell r="AB4">
            <v>33</v>
          </cell>
          <cell r="AC4">
            <v>34</v>
          </cell>
          <cell r="AD4">
            <v>39</v>
          </cell>
          <cell r="AE4">
            <v>33</v>
          </cell>
        </row>
        <row r="5">
          <cell r="B5">
            <v>37</v>
          </cell>
          <cell r="C5">
            <v>32</v>
          </cell>
          <cell r="D5">
            <v>34</v>
          </cell>
          <cell r="E5">
            <v>32</v>
          </cell>
          <cell r="F5">
            <v>36</v>
          </cell>
          <cell r="G5">
            <v>30</v>
          </cell>
          <cell r="H5">
            <v>37</v>
          </cell>
          <cell r="I5">
            <v>35</v>
          </cell>
          <cell r="J5">
            <v>30</v>
          </cell>
          <cell r="K5">
            <v>32</v>
          </cell>
          <cell r="L5">
            <v>30</v>
          </cell>
          <cell r="M5">
            <v>34</v>
          </cell>
          <cell r="N5">
            <v>29</v>
          </cell>
          <cell r="O5">
            <v>35</v>
          </cell>
          <cell r="P5">
            <v>35</v>
          </cell>
          <cell r="Q5">
            <v>29</v>
          </cell>
          <cell r="R5">
            <v>31</v>
          </cell>
          <cell r="S5">
            <v>30</v>
          </cell>
          <cell r="T5">
            <v>33</v>
          </cell>
          <cell r="U5">
            <v>28</v>
          </cell>
          <cell r="V5">
            <v>34</v>
          </cell>
          <cell r="W5">
            <v>33</v>
          </cell>
          <cell r="X5">
            <v>28</v>
          </cell>
          <cell r="Y5">
            <v>30</v>
          </cell>
          <cell r="Z5">
            <v>28</v>
          </cell>
          <cell r="AA5">
            <v>32</v>
          </cell>
          <cell r="AB5">
            <v>27</v>
          </cell>
          <cell r="AC5">
            <v>33</v>
          </cell>
          <cell r="AD5">
            <v>33</v>
          </cell>
          <cell r="AE5">
            <v>28</v>
          </cell>
        </row>
        <row r="6">
          <cell r="B6">
            <v>26</v>
          </cell>
          <cell r="C6">
            <v>21</v>
          </cell>
          <cell r="D6">
            <v>21</v>
          </cell>
          <cell r="E6">
            <v>16</v>
          </cell>
          <cell r="F6">
            <v>27</v>
          </cell>
          <cell r="G6">
            <v>21</v>
          </cell>
          <cell r="H6">
            <v>34</v>
          </cell>
          <cell r="I6">
            <v>25</v>
          </cell>
          <cell r="J6">
            <v>20</v>
          </cell>
          <cell r="K6">
            <v>19</v>
          </cell>
          <cell r="L6">
            <v>15</v>
          </cell>
          <cell r="M6">
            <v>26</v>
          </cell>
          <cell r="N6">
            <v>19</v>
          </cell>
          <cell r="O6">
            <v>32</v>
          </cell>
          <cell r="P6">
            <v>24</v>
          </cell>
          <cell r="Q6">
            <v>20</v>
          </cell>
          <cell r="R6">
            <v>19</v>
          </cell>
          <cell r="S6">
            <v>15</v>
          </cell>
          <cell r="T6">
            <v>25</v>
          </cell>
          <cell r="U6">
            <v>19</v>
          </cell>
          <cell r="V6">
            <v>32</v>
          </cell>
          <cell r="W6">
            <v>23</v>
          </cell>
          <cell r="X6">
            <v>19</v>
          </cell>
          <cell r="Y6">
            <v>18</v>
          </cell>
          <cell r="Z6">
            <v>14</v>
          </cell>
          <cell r="AA6">
            <v>24</v>
          </cell>
          <cell r="AB6">
            <v>18</v>
          </cell>
          <cell r="AC6">
            <v>30</v>
          </cell>
          <cell r="AD6">
            <v>23</v>
          </cell>
          <cell r="AE6">
            <v>19</v>
          </cell>
        </row>
        <row r="7">
          <cell r="B7">
            <v>22</v>
          </cell>
          <cell r="C7">
            <v>17</v>
          </cell>
          <cell r="D7">
            <v>14</v>
          </cell>
          <cell r="E7">
            <v>18</v>
          </cell>
          <cell r="F7">
            <v>19</v>
          </cell>
          <cell r="G7">
            <v>25</v>
          </cell>
          <cell r="H7">
            <v>26</v>
          </cell>
          <cell r="I7">
            <v>21</v>
          </cell>
          <cell r="J7">
            <v>16</v>
          </cell>
          <cell r="K7">
            <v>13</v>
          </cell>
          <cell r="L7">
            <v>17</v>
          </cell>
          <cell r="M7">
            <v>18</v>
          </cell>
          <cell r="N7">
            <v>23</v>
          </cell>
          <cell r="O7">
            <v>24</v>
          </cell>
          <cell r="P7">
            <v>21</v>
          </cell>
          <cell r="Q7">
            <v>16</v>
          </cell>
          <cell r="R7">
            <v>13</v>
          </cell>
          <cell r="S7">
            <v>17</v>
          </cell>
          <cell r="T7">
            <v>18</v>
          </cell>
          <cell r="U7">
            <v>23</v>
          </cell>
          <cell r="V7">
            <v>24</v>
          </cell>
          <cell r="W7">
            <v>20</v>
          </cell>
          <cell r="X7">
            <v>15</v>
          </cell>
          <cell r="Y7">
            <v>12</v>
          </cell>
          <cell r="Z7">
            <v>16</v>
          </cell>
          <cell r="AA7">
            <v>17</v>
          </cell>
          <cell r="AB7">
            <v>22</v>
          </cell>
          <cell r="AC7">
            <v>23</v>
          </cell>
          <cell r="AD7">
            <v>20</v>
          </cell>
          <cell r="AE7">
            <v>15</v>
          </cell>
        </row>
        <row r="8">
          <cell r="B8">
            <v>19</v>
          </cell>
          <cell r="C8">
            <v>14</v>
          </cell>
          <cell r="D8">
            <v>18</v>
          </cell>
          <cell r="E8">
            <v>19</v>
          </cell>
          <cell r="F8">
            <v>11</v>
          </cell>
          <cell r="G8">
            <v>29</v>
          </cell>
          <cell r="H8">
            <v>19</v>
          </cell>
          <cell r="I8">
            <v>18</v>
          </cell>
          <cell r="J8">
            <v>13</v>
          </cell>
          <cell r="K8">
            <v>17</v>
          </cell>
          <cell r="L8">
            <v>18</v>
          </cell>
          <cell r="M8">
            <v>11</v>
          </cell>
          <cell r="N8">
            <v>27</v>
          </cell>
          <cell r="O8">
            <v>18</v>
          </cell>
          <cell r="P8">
            <v>18</v>
          </cell>
          <cell r="Q8">
            <v>13</v>
          </cell>
          <cell r="R8">
            <v>16</v>
          </cell>
          <cell r="S8">
            <v>17</v>
          </cell>
          <cell r="T8">
            <v>11</v>
          </cell>
          <cell r="U8">
            <v>27</v>
          </cell>
          <cell r="V8">
            <v>18</v>
          </cell>
          <cell r="W8">
            <v>17</v>
          </cell>
          <cell r="X8">
            <v>12</v>
          </cell>
          <cell r="Y8">
            <v>16</v>
          </cell>
          <cell r="Z8">
            <v>17</v>
          </cell>
          <cell r="AA8">
            <v>10</v>
          </cell>
          <cell r="AB8">
            <v>26</v>
          </cell>
          <cell r="AC8">
            <v>17</v>
          </cell>
          <cell r="AD8">
            <v>17</v>
          </cell>
          <cell r="AE8">
            <v>12</v>
          </cell>
        </row>
        <row r="9">
          <cell r="B9">
            <v>14</v>
          </cell>
          <cell r="C9">
            <v>12</v>
          </cell>
          <cell r="D9">
            <v>14</v>
          </cell>
          <cell r="E9">
            <v>13</v>
          </cell>
          <cell r="F9">
            <v>8</v>
          </cell>
          <cell r="G9">
            <v>18</v>
          </cell>
          <cell r="H9">
            <v>16</v>
          </cell>
          <cell r="I9">
            <v>13</v>
          </cell>
          <cell r="J9">
            <v>11</v>
          </cell>
          <cell r="K9">
            <v>13</v>
          </cell>
          <cell r="L9">
            <v>12</v>
          </cell>
          <cell r="M9">
            <v>8</v>
          </cell>
          <cell r="N9">
            <v>17</v>
          </cell>
          <cell r="O9">
            <v>15</v>
          </cell>
          <cell r="P9">
            <v>13</v>
          </cell>
          <cell r="Q9">
            <v>11</v>
          </cell>
          <cell r="R9">
            <v>13</v>
          </cell>
          <cell r="S9">
            <v>12</v>
          </cell>
          <cell r="T9">
            <v>8</v>
          </cell>
          <cell r="U9">
            <v>17</v>
          </cell>
          <cell r="V9">
            <v>15</v>
          </cell>
          <cell r="W9">
            <v>13</v>
          </cell>
          <cell r="X9">
            <v>10</v>
          </cell>
          <cell r="Y9">
            <v>12</v>
          </cell>
          <cell r="Z9">
            <v>12</v>
          </cell>
          <cell r="AA9">
            <v>7</v>
          </cell>
          <cell r="AB9">
            <v>16</v>
          </cell>
          <cell r="AC9">
            <v>14</v>
          </cell>
          <cell r="AD9">
            <v>13</v>
          </cell>
          <cell r="AE9">
            <v>10</v>
          </cell>
        </row>
        <row r="10">
          <cell r="B10">
            <v>11</v>
          </cell>
          <cell r="C10">
            <v>8</v>
          </cell>
          <cell r="D10">
            <v>5</v>
          </cell>
          <cell r="E10">
            <v>11</v>
          </cell>
          <cell r="F10">
            <v>9</v>
          </cell>
          <cell r="G10">
            <v>11</v>
          </cell>
          <cell r="H10">
            <v>14</v>
          </cell>
          <cell r="I10">
            <v>10</v>
          </cell>
          <cell r="J10">
            <v>8</v>
          </cell>
          <cell r="K10">
            <v>5</v>
          </cell>
          <cell r="L10">
            <v>10</v>
          </cell>
          <cell r="M10">
            <v>8</v>
          </cell>
          <cell r="N10">
            <v>11</v>
          </cell>
          <cell r="O10">
            <v>14</v>
          </cell>
          <cell r="P10">
            <v>10</v>
          </cell>
          <cell r="Q10">
            <v>8</v>
          </cell>
          <cell r="R10">
            <v>5</v>
          </cell>
          <cell r="S10">
            <v>10</v>
          </cell>
          <cell r="T10">
            <v>8</v>
          </cell>
          <cell r="U10">
            <v>10</v>
          </cell>
          <cell r="V10">
            <v>13</v>
          </cell>
          <cell r="W10">
            <v>10</v>
          </cell>
          <cell r="X10">
            <v>8</v>
          </cell>
          <cell r="Y10">
            <v>5</v>
          </cell>
          <cell r="Z10">
            <v>10</v>
          </cell>
          <cell r="AA10">
            <v>8</v>
          </cell>
          <cell r="AB10">
            <v>10</v>
          </cell>
          <cell r="AC10">
            <v>13</v>
          </cell>
          <cell r="AD10">
            <v>10</v>
          </cell>
          <cell r="AE10">
            <v>8</v>
          </cell>
        </row>
        <row r="11">
          <cell r="B11">
            <v>9</v>
          </cell>
          <cell r="C11">
            <v>5</v>
          </cell>
          <cell r="D11">
            <v>7</v>
          </cell>
          <cell r="E11">
            <v>7</v>
          </cell>
          <cell r="F11">
            <v>6</v>
          </cell>
          <cell r="G11">
            <v>11</v>
          </cell>
          <cell r="H11">
            <v>11</v>
          </cell>
          <cell r="I11">
            <v>9</v>
          </cell>
          <cell r="J11">
            <v>5</v>
          </cell>
          <cell r="K11">
            <v>6</v>
          </cell>
          <cell r="L11">
            <v>7</v>
          </cell>
          <cell r="M11">
            <v>6</v>
          </cell>
          <cell r="N11">
            <v>11</v>
          </cell>
          <cell r="O11">
            <v>10</v>
          </cell>
          <cell r="P11">
            <v>8</v>
          </cell>
          <cell r="Q11">
            <v>5</v>
          </cell>
          <cell r="R11">
            <v>6</v>
          </cell>
          <cell r="S11">
            <v>7</v>
          </cell>
          <cell r="T11">
            <v>6</v>
          </cell>
          <cell r="U11">
            <v>10</v>
          </cell>
          <cell r="V11">
            <v>10</v>
          </cell>
          <cell r="W11">
            <v>8</v>
          </cell>
          <cell r="X11">
            <v>5</v>
          </cell>
          <cell r="Y11">
            <v>6</v>
          </cell>
          <cell r="Z11">
            <v>7</v>
          </cell>
          <cell r="AA11">
            <v>6</v>
          </cell>
          <cell r="AB11">
            <v>10</v>
          </cell>
          <cell r="AC11">
            <v>9</v>
          </cell>
          <cell r="AD11">
            <v>8</v>
          </cell>
          <cell r="AE11">
            <v>5</v>
          </cell>
        </row>
        <row r="12">
          <cell r="B12">
            <v>10</v>
          </cell>
          <cell r="C12">
            <v>4</v>
          </cell>
          <cell r="D12">
            <v>3</v>
          </cell>
          <cell r="E12">
            <v>9</v>
          </cell>
          <cell r="F12">
            <v>6</v>
          </cell>
          <cell r="G12">
            <v>8</v>
          </cell>
          <cell r="H12">
            <v>9</v>
          </cell>
          <cell r="I12">
            <v>10</v>
          </cell>
          <cell r="J12">
            <v>4</v>
          </cell>
          <cell r="K12">
            <v>3</v>
          </cell>
          <cell r="L12">
            <v>8</v>
          </cell>
          <cell r="M12">
            <v>6</v>
          </cell>
          <cell r="N12">
            <v>8</v>
          </cell>
          <cell r="O12">
            <v>8</v>
          </cell>
          <cell r="P12">
            <v>9</v>
          </cell>
          <cell r="Q12">
            <v>4</v>
          </cell>
          <cell r="R12">
            <v>3</v>
          </cell>
          <cell r="S12">
            <v>8</v>
          </cell>
          <cell r="T12">
            <v>5</v>
          </cell>
          <cell r="U12">
            <v>8</v>
          </cell>
          <cell r="V12">
            <v>8</v>
          </cell>
          <cell r="W12">
            <v>9</v>
          </cell>
          <cell r="X12">
            <v>4</v>
          </cell>
          <cell r="Y12">
            <v>3</v>
          </cell>
          <cell r="Z12">
            <v>8</v>
          </cell>
          <cell r="AA12">
            <v>5</v>
          </cell>
          <cell r="AB12">
            <v>7</v>
          </cell>
          <cell r="AC12">
            <v>8</v>
          </cell>
          <cell r="AD12">
            <v>9</v>
          </cell>
          <cell r="AE12">
            <v>4</v>
          </cell>
        </row>
        <row r="13">
          <cell r="B13">
            <v>9</v>
          </cell>
          <cell r="C13">
            <v>4</v>
          </cell>
          <cell r="D13">
            <v>5</v>
          </cell>
          <cell r="E13">
            <v>2</v>
          </cell>
          <cell r="F13">
            <v>6</v>
          </cell>
          <cell r="G13">
            <v>3</v>
          </cell>
          <cell r="H13">
            <v>5</v>
          </cell>
          <cell r="I13">
            <v>9</v>
          </cell>
          <cell r="J13">
            <v>4</v>
          </cell>
          <cell r="K13">
            <v>5</v>
          </cell>
          <cell r="L13">
            <v>1</v>
          </cell>
          <cell r="M13">
            <v>5</v>
          </cell>
          <cell r="N13">
            <v>2</v>
          </cell>
          <cell r="O13">
            <v>5</v>
          </cell>
          <cell r="P13">
            <v>8</v>
          </cell>
          <cell r="Q13">
            <v>4</v>
          </cell>
          <cell r="R13">
            <v>5</v>
          </cell>
          <cell r="S13">
            <v>1</v>
          </cell>
          <cell r="T13">
            <v>5</v>
          </cell>
          <cell r="U13">
            <v>2</v>
          </cell>
          <cell r="V13">
            <v>5</v>
          </cell>
          <cell r="W13">
            <v>8</v>
          </cell>
          <cell r="X13">
            <v>4</v>
          </cell>
          <cell r="Y13">
            <v>5</v>
          </cell>
          <cell r="Z13">
            <v>1</v>
          </cell>
          <cell r="AA13">
            <v>5</v>
          </cell>
          <cell r="AB13">
            <v>2</v>
          </cell>
          <cell r="AC13">
            <v>5</v>
          </cell>
          <cell r="AD13">
            <v>8</v>
          </cell>
          <cell r="AE13">
            <v>4</v>
          </cell>
        </row>
        <row r="14">
          <cell r="B14">
            <v>8</v>
          </cell>
          <cell r="C14">
            <v>4</v>
          </cell>
          <cell r="D14">
            <v>3</v>
          </cell>
          <cell r="E14">
            <v>3</v>
          </cell>
          <cell r="F14">
            <v>4</v>
          </cell>
          <cell r="G14">
            <v>4</v>
          </cell>
          <cell r="H14">
            <v>5</v>
          </cell>
          <cell r="I14">
            <v>8</v>
          </cell>
          <cell r="J14">
            <v>4</v>
          </cell>
          <cell r="K14">
            <v>3</v>
          </cell>
          <cell r="L14">
            <v>3</v>
          </cell>
          <cell r="M14">
            <v>4</v>
          </cell>
          <cell r="N14">
            <v>3</v>
          </cell>
          <cell r="O14">
            <v>5</v>
          </cell>
          <cell r="P14">
            <v>7</v>
          </cell>
          <cell r="Q14">
            <v>4</v>
          </cell>
          <cell r="R14">
            <v>3</v>
          </cell>
          <cell r="S14">
            <v>3</v>
          </cell>
          <cell r="T14">
            <v>4</v>
          </cell>
          <cell r="U14">
            <v>3</v>
          </cell>
          <cell r="V14">
            <v>5</v>
          </cell>
          <cell r="W14">
            <v>7</v>
          </cell>
          <cell r="X14">
            <v>4</v>
          </cell>
          <cell r="Y14">
            <v>2</v>
          </cell>
          <cell r="Z14">
            <v>3</v>
          </cell>
          <cell r="AA14">
            <v>3</v>
          </cell>
          <cell r="AB14">
            <v>3</v>
          </cell>
          <cell r="AC14">
            <v>5</v>
          </cell>
          <cell r="AD14">
            <v>7</v>
          </cell>
          <cell r="AE14">
            <v>4</v>
          </cell>
        </row>
        <row r="15">
          <cell r="B15">
            <v>7</v>
          </cell>
          <cell r="C15">
            <v>3</v>
          </cell>
          <cell r="D15">
            <v>4</v>
          </cell>
          <cell r="E15">
            <v>6</v>
          </cell>
          <cell r="F15">
            <v>6</v>
          </cell>
          <cell r="G15">
            <v>7</v>
          </cell>
          <cell r="H15">
            <v>4</v>
          </cell>
          <cell r="I15">
            <v>7</v>
          </cell>
          <cell r="J15">
            <v>3</v>
          </cell>
          <cell r="K15">
            <v>4</v>
          </cell>
          <cell r="L15">
            <v>5</v>
          </cell>
          <cell r="M15">
            <v>5</v>
          </cell>
          <cell r="N15">
            <v>7</v>
          </cell>
          <cell r="O15">
            <v>4</v>
          </cell>
          <cell r="P15">
            <v>7</v>
          </cell>
          <cell r="Q15">
            <v>3</v>
          </cell>
          <cell r="R15">
            <v>4</v>
          </cell>
          <cell r="S15">
            <v>5</v>
          </cell>
          <cell r="T15">
            <v>5</v>
          </cell>
          <cell r="U15">
            <v>7</v>
          </cell>
          <cell r="V15">
            <v>4</v>
          </cell>
          <cell r="W15">
            <v>6</v>
          </cell>
          <cell r="X15">
            <v>3</v>
          </cell>
          <cell r="Y15">
            <v>4</v>
          </cell>
          <cell r="Z15">
            <v>5</v>
          </cell>
          <cell r="AA15">
            <v>5</v>
          </cell>
          <cell r="AB15">
            <v>6</v>
          </cell>
          <cell r="AC15">
            <v>3</v>
          </cell>
          <cell r="AD15">
            <v>6</v>
          </cell>
          <cell r="AE15">
            <v>3</v>
          </cell>
        </row>
        <row r="16">
          <cell r="B16">
            <v>7</v>
          </cell>
          <cell r="C16">
            <v>4</v>
          </cell>
          <cell r="D16">
            <v>6</v>
          </cell>
          <cell r="E16">
            <v>10</v>
          </cell>
          <cell r="F16">
            <v>2</v>
          </cell>
          <cell r="G16">
            <v>9</v>
          </cell>
          <cell r="H16">
            <v>4</v>
          </cell>
          <cell r="I16">
            <v>7</v>
          </cell>
          <cell r="J16">
            <v>4</v>
          </cell>
          <cell r="K16">
            <v>5</v>
          </cell>
          <cell r="L16">
            <v>9</v>
          </cell>
          <cell r="M16">
            <v>2</v>
          </cell>
          <cell r="N16">
            <v>8</v>
          </cell>
          <cell r="O16">
            <v>4</v>
          </cell>
          <cell r="P16">
            <v>7</v>
          </cell>
          <cell r="Q16">
            <v>4</v>
          </cell>
          <cell r="R16">
            <v>5</v>
          </cell>
          <cell r="S16">
            <v>9</v>
          </cell>
          <cell r="T16">
            <v>2</v>
          </cell>
          <cell r="U16">
            <v>8</v>
          </cell>
          <cell r="V16">
            <v>4</v>
          </cell>
          <cell r="W16">
            <v>6</v>
          </cell>
          <cell r="X16">
            <v>4</v>
          </cell>
          <cell r="Y16">
            <v>5</v>
          </cell>
          <cell r="Z16">
            <v>9</v>
          </cell>
          <cell r="AA16">
            <v>2</v>
          </cell>
          <cell r="AB16">
            <v>8</v>
          </cell>
          <cell r="AC16">
            <v>4</v>
          </cell>
          <cell r="AD16">
            <v>6</v>
          </cell>
          <cell r="AE16">
            <v>4</v>
          </cell>
        </row>
        <row r="17">
          <cell r="B17">
            <v>7</v>
          </cell>
          <cell r="C17">
            <v>7</v>
          </cell>
          <cell r="D17">
            <v>8</v>
          </cell>
          <cell r="E17">
            <v>6</v>
          </cell>
          <cell r="F17">
            <v>12</v>
          </cell>
          <cell r="G17">
            <v>7</v>
          </cell>
          <cell r="H17">
            <v>4</v>
          </cell>
          <cell r="I17">
            <v>7</v>
          </cell>
          <cell r="J17">
            <v>7</v>
          </cell>
          <cell r="K17">
            <v>8</v>
          </cell>
          <cell r="L17">
            <v>5</v>
          </cell>
          <cell r="M17">
            <v>12</v>
          </cell>
          <cell r="N17">
            <v>6</v>
          </cell>
          <cell r="O17">
            <v>4</v>
          </cell>
          <cell r="P17">
            <v>7</v>
          </cell>
          <cell r="Q17">
            <v>7</v>
          </cell>
          <cell r="R17">
            <v>7</v>
          </cell>
          <cell r="S17">
            <v>5</v>
          </cell>
          <cell r="T17">
            <v>12</v>
          </cell>
          <cell r="U17">
            <v>6</v>
          </cell>
          <cell r="V17">
            <v>4</v>
          </cell>
          <cell r="W17">
            <v>6</v>
          </cell>
          <cell r="X17">
            <v>7</v>
          </cell>
          <cell r="Y17">
            <v>7</v>
          </cell>
          <cell r="Z17">
            <v>5</v>
          </cell>
          <cell r="AA17">
            <v>11</v>
          </cell>
          <cell r="AB17">
            <v>6</v>
          </cell>
          <cell r="AC17">
            <v>4</v>
          </cell>
          <cell r="AD17">
            <v>6</v>
          </cell>
          <cell r="AE17">
            <v>7</v>
          </cell>
        </row>
        <row r="18">
          <cell r="B18">
            <v>9</v>
          </cell>
          <cell r="C18">
            <v>11</v>
          </cell>
          <cell r="D18">
            <v>15</v>
          </cell>
          <cell r="E18">
            <v>15</v>
          </cell>
          <cell r="F18">
            <v>8</v>
          </cell>
          <cell r="G18">
            <v>10</v>
          </cell>
          <cell r="H18">
            <v>7</v>
          </cell>
          <cell r="I18">
            <v>9</v>
          </cell>
          <cell r="J18">
            <v>10</v>
          </cell>
          <cell r="K18">
            <v>14</v>
          </cell>
          <cell r="L18">
            <v>14</v>
          </cell>
          <cell r="M18">
            <v>7</v>
          </cell>
          <cell r="N18">
            <v>9</v>
          </cell>
          <cell r="O18">
            <v>7</v>
          </cell>
          <cell r="P18">
            <v>8</v>
          </cell>
          <cell r="Q18">
            <v>10</v>
          </cell>
          <cell r="R18">
            <v>14</v>
          </cell>
          <cell r="S18">
            <v>14</v>
          </cell>
          <cell r="T18">
            <v>7</v>
          </cell>
          <cell r="U18">
            <v>9</v>
          </cell>
          <cell r="V18">
            <v>6</v>
          </cell>
          <cell r="W18">
            <v>8</v>
          </cell>
          <cell r="X18">
            <v>9</v>
          </cell>
          <cell r="Y18">
            <v>13</v>
          </cell>
          <cell r="Z18">
            <v>13</v>
          </cell>
          <cell r="AA18">
            <v>7</v>
          </cell>
          <cell r="AB18">
            <v>9</v>
          </cell>
          <cell r="AC18">
            <v>6</v>
          </cell>
          <cell r="AD18">
            <v>8</v>
          </cell>
          <cell r="AE18">
            <v>9</v>
          </cell>
        </row>
        <row r="19">
          <cell r="B19">
            <v>12</v>
          </cell>
          <cell r="C19">
            <v>15</v>
          </cell>
          <cell r="D19">
            <v>14</v>
          </cell>
          <cell r="E19">
            <v>19</v>
          </cell>
          <cell r="F19">
            <v>16</v>
          </cell>
          <cell r="G19">
            <v>16</v>
          </cell>
          <cell r="H19">
            <v>9</v>
          </cell>
          <cell r="I19">
            <v>11</v>
          </cell>
          <cell r="J19">
            <v>14</v>
          </cell>
          <cell r="K19">
            <v>13</v>
          </cell>
          <cell r="L19">
            <v>18</v>
          </cell>
          <cell r="M19">
            <v>15</v>
          </cell>
          <cell r="N19">
            <v>15</v>
          </cell>
          <cell r="O19">
            <v>8</v>
          </cell>
          <cell r="P19">
            <v>11</v>
          </cell>
          <cell r="Q19">
            <v>14</v>
          </cell>
          <cell r="R19">
            <v>13</v>
          </cell>
          <cell r="S19">
            <v>18</v>
          </cell>
          <cell r="T19">
            <v>15</v>
          </cell>
          <cell r="U19">
            <v>15</v>
          </cell>
          <cell r="V19">
            <v>8</v>
          </cell>
          <cell r="W19">
            <v>11</v>
          </cell>
          <cell r="X19">
            <v>13</v>
          </cell>
          <cell r="Y19">
            <v>12</v>
          </cell>
          <cell r="Z19">
            <v>17</v>
          </cell>
          <cell r="AA19">
            <v>14</v>
          </cell>
          <cell r="AB19">
            <v>14</v>
          </cell>
          <cell r="AC19">
            <v>8</v>
          </cell>
          <cell r="AD19">
            <v>11</v>
          </cell>
          <cell r="AE19">
            <v>13</v>
          </cell>
        </row>
        <row r="20">
          <cell r="B20">
            <v>15</v>
          </cell>
          <cell r="C20">
            <v>20</v>
          </cell>
          <cell r="D20">
            <v>17</v>
          </cell>
          <cell r="E20">
            <v>15</v>
          </cell>
          <cell r="F20">
            <v>23</v>
          </cell>
          <cell r="G20">
            <v>21</v>
          </cell>
          <cell r="H20">
            <v>10</v>
          </cell>
          <cell r="I20">
            <v>14</v>
          </cell>
          <cell r="J20">
            <v>19</v>
          </cell>
          <cell r="K20">
            <v>16</v>
          </cell>
          <cell r="L20">
            <v>14</v>
          </cell>
          <cell r="M20">
            <v>22</v>
          </cell>
          <cell r="N20">
            <v>20</v>
          </cell>
          <cell r="O20">
            <v>9</v>
          </cell>
          <cell r="P20">
            <v>14</v>
          </cell>
          <cell r="Q20">
            <v>19</v>
          </cell>
          <cell r="R20">
            <v>16</v>
          </cell>
          <cell r="S20">
            <v>14</v>
          </cell>
          <cell r="T20">
            <v>21</v>
          </cell>
          <cell r="U20">
            <v>19</v>
          </cell>
          <cell r="V20">
            <v>9</v>
          </cell>
          <cell r="W20">
            <v>13</v>
          </cell>
          <cell r="X20">
            <v>18</v>
          </cell>
          <cell r="Y20">
            <v>15</v>
          </cell>
          <cell r="Z20">
            <v>13</v>
          </cell>
          <cell r="AA20">
            <v>21</v>
          </cell>
          <cell r="AB20">
            <v>19</v>
          </cell>
          <cell r="AC20">
            <v>8</v>
          </cell>
          <cell r="AD20">
            <v>13</v>
          </cell>
          <cell r="AE20">
            <v>18</v>
          </cell>
        </row>
        <row r="21">
          <cell r="B21">
            <v>20</v>
          </cell>
          <cell r="C21">
            <v>24</v>
          </cell>
          <cell r="D21">
            <v>24</v>
          </cell>
          <cell r="E21">
            <v>21</v>
          </cell>
          <cell r="F21">
            <v>23</v>
          </cell>
          <cell r="G21">
            <v>29</v>
          </cell>
          <cell r="H21">
            <v>13</v>
          </cell>
          <cell r="I21">
            <v>19</v>
          </cell>
          <cell r="J21">
            <v>23</v>
          </cell>
          <cell r="K21">
            <v>23</v>
          </cell>
          <cell r="L21">
            <v>20</v>
          </cell>
          <cell r="M21">
            <v>22</v>
          </cell>
          <cell r="N21">
            <v>27</v>
          </cell>
          <cell r="O21">
            <v>12</v>
          </cell>
          <cell r="P21">
            <v>19</v>
          </cell>
          <cell r="Q21">
            <v>23</v>
          </cell>
          <cell r="R21">
            <v>22</v>
          </cell>
          <cell r="S21">
            <v>19</v>
          </cell>
          <cell r="T21">
            <v>21</v>
          </cell>
          <cell r="U21">
            <v>27</v>
          </cell>
          <cell r="V21">
            <v>12</v>
          </cell>
          <cell r="W21">
            <v>18</v>
          </cell>
          <cell r="X21">
            <v>22</v>
          </cell>
          <cell r="Y21">
            <v>21</v>
          </cell>
          <cell r="Z21">
            <v>19</v>
          </cell>
          <cell r="AA21">
            <v>21</v>
          </cell>
          <cell r="AB21">
            <v>26</v>
          </cell>
          <cell r="AC21">
            <v>11</v>
          </cell>
          <cell r="AD21">
            <v>18</v>
          </cell>
          <cell r="AE21">
            <v>22</v>
          </cell>
        </row>
        <row r="22">
          <cell r="B22">
            <v>24</v>
          </cell>
          <cell r="C22">
            <v>29</v>
          </cell>
          <cell r="D22">
            <v>33</v>
          </cell>
          <cell r="E22">
            <v>21</v>
          </cell>
          <cell r="F22">
            <v>29</v>
          </cell>
          <cell r="G22">
            <v>39</v>
          </cell>
          <cell r="H22">
            <v>16</v>
          </cell>
          <cell r="I22">
            <v>23</v>
          </cell>
          <cell r="J22">
            <v>28</v>
          </cell>
          <cell r="K22">
            <v>32</v>
          </cell>
          <cell r="L22">
            <v>20</v>
          </cell>
          <cell r="M22">
            <v>27</v>
          </cell>
          <cell r="N22">
            <v>37</v>
          </cell>
          <cell r="O22">
            <v>15</v>
          </cell>
          <cell r="P22">
            <v>22</v>
          </cell>
          <cell r="Q22">
            <v>27</v>
          </cell>
          <cell r="R22">
            <v>31</v>
          </cell>
          <cell r="S22">
            <v>19</v>
          </cell>
          <cell r="T22">
            <v>26</v>
          </cell>
          <cell r="U22">
            <v>36</v>
          </cell>
          <cell r="V22">
            <v>15</v>
          </cell>
          <cell r="W22">
            <v>22</v>
          </cell>
          <cell r="X22">
            <v>26</v>
          </cell>
          <cell r="Y22">
            <v>30</v>
          </cell>
          <cell r="Z22">
            <v>19</v>
          </cell>
          <cell r="AA22">
            <v>25</v>
          </cell>
          <cell r="AB22">
            <v>35</v>
          </cell>
          <cell r="AC22">
            <v>14</v>
          </cell>
          <cell r="AD22">
            <v>22</v>
          </cell>
          <cell r="AE22">
            <v>26</v>
          </cell>
        </row>
        <row r="23">
          <cell r="B23">
            <v>29</v>
          </cell>
          <cell r="C23">
            <v>37</v>
          </cell>
          <cell r="D23">
            <v>31</v>
          </cell>
          <cell r="E23">
            <v>44</v>
          </cell>
          <cell r="F23">
            <v>33</v>
          </cell>
          <cell r="G23">
            <v>32</v>
          </cell>
          <cell r="H23">
            <v>19</v>
          </cell>
          <cell r="I23">
            <v>28</v>
          </cell>
          <cell r="J23">
            <v>35</v>
          </cell>
          <cell r="K23">
            <v>29</v>
          </cell>
          <cell r="L23">
            <v>42</v>
          </cell>
          <cell r="M23">
            <v>31</v>
          </cell>
          <cell r="N23">
            <v>31</v>
          </cell>
          <cell r="O23">
            <v>18</v>
          </cell>
          <cell r="P23">
            <v>27</v>
          </cell>
          <cell r="Q23">
            <v>34</v>
          </cell>
          <cell r="R23">
            <v>29</v>
          </cell>
          <cell r="S23">
            <v>41</v>
          </cell>
          <cell r="T23">
            <v>30</v>
          </cell>
          <cell r="U23">
            <v>30</v>
          </cell>
          <cell r="V23">
            <v>18</v>
          </cell>
          <cell r="W23">
            <v>26</v>
          </cell>
          <cell r="X23">
            <v>33</v>
          </cell>
          <cell r="Y23">
            <v>28</v>
          </cell>
          <cell r="Z23">
            <v>39</v>
          </cell>
          <cell r="AA23">
            <v>29</v>
          </cell>
          <cell r="AB23">
            <v>29</v>
          </cell>
          <cell r="AC23">
            <v>17</v>
          </cell>
          <cell r="AD23">
            <v>26</v>
          </cell>
          <cell r="AE23">
            <v>33</v>
          </cell>
        </row>
        <row r="24">
          <cell r="B24">
            <v>38</v>
          </cell>
          <cell r="C24">
            <v>46</v>
          </cell>
          <cell r="D24">
            <v>32</v>
          </cell>
          <cell r="E24">
            <v>45</v>
          </cell>
          <cell r="F24">
            <v>43</v>
          </cell>
          <cell r="G24">
            <v>53</v>
          </cell>
          <cell r="H24">
            <v>23</v>
          </cell>
          <cell r="I24">
            <v>36</v>
          </cell>
          <cell r="J24">
            <v>43</v>
          </cell>
          <cell r="K24">
            <v>30</v>
          </cell>
          <cell r="L24">
            <v>43</v>
          </cell>
          <cell r="M24">
            <v>41</v>
          </cell>
          <cell r="N24">
            <v>50</v>
          </cell>
          <cell r="O24">
            <v>22</v>
          </cell>
          <cell r="P24">
            <v>36</v>
          </cell>
          <cell r="Q24">
            <v>42</v>
          </cell>
          <cell r="R24">
            <v>30</v>
          </cell>
          <cell r="S24">
            <v>42</v>
          </cell>
          <cell r="T24">
            <v>40</v>
          </cell>
          <cell r="U24">
            <v>49</v>
          </cell>
          <cell r="V24">
            <v>22</v>
          </cell>
          <cell r="W24">
            <v>34</v>
          </cell>
          <cell r="X24">
            <v>40</v>
          </cell>
          <cell r="Y24">
            <v>28</v>
          </cell>
          <cell r="Z24">
            <v>40</v>
          </cell>
          <cell r="AA24">
            <v>38</v>
          </cell>
          <cell r="AB24">
            <v>47</v>
          </cell>
          <cell r="AC24">
            <v>21</v>
          </cell>
          <cell r="AD24">
            <v>34</v>
          </cell>
          <cell r="AE24">
            <v>40</v>
          </cell>
        </row>
        <row r="25">
          <cell r="B25">
            <v>44</v>
          </cell>
          <cell r="C25">
            <v>48</v>
          </cell>
          <cell r="D25">
            <v>46</v>
          </cell>
          <cell r="E25">
            <v>43</v>
          </cell>
          <cell r="F25">
            <v>44</v>
          </cell>
          <cell r="G25">
            <v>50</v>
          </cell>
          <cell r="H25">
            <v>32</v>
          </cell>
          <cell r="I25">
            <v>41</v>
          </cell>
          <cell r="J25">
            <v>45</v>
          </cell>
          <cell r="K25">
            <v>43</v>
          </cell>
          <cell r="L25">
            <v>41</v>
          </cell>
          <cell r="M25">
            <v>42</v>
          </cell>
          <cell r="N25">
            <v>48</v>
          </cell>
          <cell r="O25">
            <v>30</v>
          </cell>
          <cell r="P25">
            <v>40</v>
          </cell>
          <cell r="Q25">
            <v>44</v>
          </cell>
          <cell r="R25">
            <v>43</v>
          </cell>
          <cell r="S25">
            <v>40</v>
          </cell>
          <cell r="T25">
            <v>41</v>
          </cell>
          <cell r="U25">
            <v>47</v>
          </cell>
          <cell r="V25">
            <v>30</v>
          </cell>
          <cell r="W25">
            <v>39</v>
          </cell>
          <cell r="X25">
            <v>42</v>
          </cell>
          <cell r="Y25">
            <v>41</v>
          </cell>
          <cell r="Z25">
            <v>39</v>
          </cell>
          <cell r="AA25">
            <v>39</v>
          </cell>
          <cell r="AB25">
            <v>45</v>
          </cell>
          <cell r="AC25">
            <v>28</v>
          </cell>
          <cell r="AD25">
            <v>39</v>
          </cell>
          <cell r="AE25">
            <v>42</v>
          </cell>
        </row>
        <row r="26">
          <cell r="B26">
            <v>45</v>
          </cell>
          <cell r="C26">
            <v>53</v>
          </cell>
          <cell r="D26">
            <v>48</v>
          </cell>
          <cell r="E26">
            <v>45</v>
          </cell>
          <cell r="F26">
            <v>45</v>
          </cell>
          <cell r="G26">
            <v>44</v>
          </cell>
          <cell r="H26">
            <v>27</v>
          </cell>
          <cell r="I26">
            <v>42</v>
          </cell>
          <cell r="J26">
            <v>50</v>
          </cell>
          <cell r="K26">
            <v>45</v>
          </cell>
          <cell r="L26">
            <v>43</v>
          </cell>
          <cell r="M26">
            <v>42</v>
          </cell>
          <cell r="N26">
            <v>41</v>
          </cell>
          <cell r="O26">
            <v>26</v>
          </cell>
          <cell r="P26">
            <v>41</v>
          </cell>
          <cell r="Q26">
            <v>49</v>
          </cell>
          <cell r="R26">
            <v>44</v>
          </cell>
          <cell r="S26">
            <v>42</v>
          </cell>
          <cell r="T26">
            <v>41</v>
          </cell>
          <cell r="U26">
            <v>40</v>
          </cell>
          <cell r="V26">
            <v>25</v>
          </cell>
          <cell r="W26">
            <v>40</v>
          </cell>
          <cell r="X26">
            <v>47</v>
          </cell>
          <cell r="Y26">
            <v>42</v>
          </cell>
          <cell r="Z26">
            <v>40</v>
          </cell>
          <cell r="AA26">
            <v>40</v>
          </cell>
          <cell r="AB26">
            <v>39</v>
          </cell>
          <cell r="AC26">
            <v>24</v>
          </cell>
          <cell r="AD26">
            <v>40</v>
          </cell>
          <cell r="AE26">
            <v>47</v>
          </cell>
        </row>
        <row r="27">
          <cell r="B27">
            <v>46</v>
          </cell>
          <cell r="C27">
            <v>55</v>
          </cell>
          <cell r="D27">
            <v>46</v>
          </cell>
          <cell r="E27">
            <v>40</v>
          </cell>
          <cell r="F27">
            <v>47</v>
          </cell>
          <cell r="G27">
            <v>46</v>
          </cell>
          <cell r="H27">
            <v>22</v>
          </cell>
          <cell r="I27">
            <v>43</v>
          </cell>
          <cell r="J27">
            <v>52</v>
          </cell>
          <cell r="K27">
            <v>43</v>
          </cell>
          <cell r="L27">
            <v>38</v>
          </cell>
          <cell r="M27">
            <v>45</v>
          </cell>
          <cell r="N27">
            <v>43</v>
          </cell>
          <cell r="O27">
            <v>21</v>
          </cell>
          <cell r="P27">
            <v>42</v>
          </cell>
          <cell r="Q27">
            <v>51</v>
          </cell>
          <cell r="R27">
            <v>42</v>
          </cell>
          <cell r="S27">
            <v>37</v>
          </cell>
          <cell r="T27">
            <v>44</v>
          </cell>
          <cell r="U27">
            <v>42</v>
          </cell>
          <cell r="V27">
            <v>21</v>
          </cell>
          <cell r="W27">
            <v>40</v>
          </cell>
          <cell r="X27">
            <v>49</v>
          </cell>
          <cell r="Y27">
            <v>40</v>
          </cell>
          <cell r="Z27">
            <v>35</v>
          </cell>
          <cell r="AA27">
            <v>42</v>
          </cell>
          <cell r="AB27">
            <v>41</v>
          </cell>
          <cell r="AC27">
            <v>20</v>
          </cell>
          <cell r="AD27">
            <v>40</v>
          </cell>
          <cell r="AE27">
            <v>49</v>
          </cell>
        </row>
        <row r="28">
          <cell r="B28">
            <v>48</v>
          </cell>
          <cell r="C28">
            <v>48</v>
          </cell>
          <cell r="D28">
            <v>55</v>
          </cell>
          <cell r="E28">
            <v>57</v>
          </cell>
          <cell r="F28">
            <v>45</v>
          </cell>
          <cell r="G28">
            <v>45</v>
          </cell>
          <cell r="H28">
            <v>21</v>
          </cell>
          <cell r="I28">
            <v>45</v>
          </cell>
          <cell r="J28">
            <v>45</v>
          </cell>
          <cell r="K28">
            <v>52</v>
          </cell>
          <cell r="L28">
            <v>54</v>
          </cell>
          <cell r="M28">
            <v>42</v>
          </cell>
          <cell r="N28">
            <v>42</v>
          </cell>
          <cell r="O28">
            <v>20</v>
          </cell>
          <cell r="P28">
            <v>44</v>
          </cell>
          <cell r="Q28">
            <v>44</v>
          </cell>
          <cell r="R28">
            <v>51</v>
          </cell>
          <cell r="S28">
            <v>53</v>
          </cell>
          <cell r="T28">
            <v>41</v>
          </cell>
          <cell r="U28">
            <v>41</v>
          </cell>
          <cell r="V28">
            <v>20</v>
          </cell>
          <cell r="W28">
            <v>43</v>
          </cell>
          <cell r="X28">
            <v>42</v>
          </cell>
          <cell r="Y28">
            <v>49</v>
          </cell>
          <cell r="Z28">
            <v>51</v>
          </cell>
          <cell r="AA28">
            <v>40</v>
          </cell>
          <cell r="AB28">
            <v>40</v>
          </cell>
          <cell r="AC28">
            <v>19</v>
          </cell>
          <cell r="AD28">
            <v>43</v>
          </cell>
          <cell r="AE28">
            <v>42</v>
          </cell>
        </row>
        <row r="29">
          <cell r="B29">
            <v>49</v>
          </cell>
          <cell r="C29">
            <v>51</v>
          </cell>
          <cell r="D29">
            <v>61</v>
          </cell>
          <cell r="E29">
            <v>52</v>
          </cell>
          <cell r="F29">
            <v>55</v>
          </cell>
          <cell r="G29">
            <v>75</v>
          </cell>
          <cell r="H29">
            <v>49</v>
          </cell>
          <cell r="I29">
            <v>46</v>
          </cell>
          <cell r="J29">
            <v>48</v>
          </cell>
          <cell r="K29">
            <v>57</v>
          </cell>
          <cell r="L29">
            <v>49</v>
          </cell>
          <cell r="M29">
            <v>52</v>
          </cell>
          <cell r="N29">
            <v>71</v>
          </cell>
          <cell r="O29">
            <v>47</v>
          </cell>
          <cell r="P29">
            <v>45</v>
          </cell>
          <cell r="Q29">
            <v>47</v>
          </cell>
          <cell r="R29">
            <v>56</v>
          </cell>
          <cell r="S29">
            <v>48</v>
          </cell>
          <cell r="T29">
            <v>51</v>
          </cell>
          <cell r="U29">
            <v>69</v>
          </cell>
          <cell r="V29">
            <v>46</v>
          </cell>
          <cell r="W29">
            <v>43</v>
          </cell>
          <cell r="X29">
            <v>45</v>
          </cell>
          <cell r="Y29">
            <v>54</v>
          </cell>
          <cell r="Z29">
            <v>46</v>
          </cell>
          <cell r="AA29">
            <v>49</v>
          </cell>
          <cell r="AB29">
            <v>67</v>
          </cell>
          <cell r="AC29">
            <v>44</v>
          </cell>
          <cell r="AD29">
            <v>43</v>
          </cell>
          <cell r="AE29">
            <v>45</v>
          </cell>
        </row>
        <row r="30">
          <cell r="B30">
            <v>55</v>
          </cell>
          <cell r="C30">
            <v>64</v>
          </cell>
          <cell r="D30">
            <v>64</v>
          </cell>
          <cell r="E30">
            <v>54</v>
          </cell>
          <cell r="F30">
            <v>54</v>
          </cell>
          <cell r="G30">
            <v>63</v>
          </cell>
          <cell r="H30">
            <v>54</v>
          </cell>
          <cell r="I30">
            <v>52</v>
          </cell>
          <cell r="J30">
            <v>60</v>
          </cell>
          <cell r="K30">
            <v>61</v>
          </cell>
          <cell r="L30">
            <v>51</v>
          </cell>
          <cell r="M30">
            <v>51</v>
          </cell>
          <cell r="N30">
            <v>60</v>
          </cell>
          <cell r="O30">
            <v>51</v>
          </cell>
          <cell r="P30">
            <v>50</v>
          </cell>
          <cell r="Q30">
            <v>59</v>
          </cell>
          <cell r="R30">
            <v>59</v>
          </cell>
          <cell r="S30">
            <v>50</v>
          </cell>
          <cell r="T30">
            <v>50</v>
          </cell>
          <cell r="U30">
            <v>58</v>
          </cell>
          <cell r="V30">
            <v>50</v>
          </cell>
          <cell r="W30">
            <v>48</v>
          </cell>
          <cell r="X30">
            <v>56</v>
          </cell>
          <cell r="Y30">
            <v>57</v>
          </cell>
          <cell r="Z30">
            <v>48</v>
          </cell>
          <cell r="AA30">
            <v>48</v>
          </cell>
          <cell r="AB30">
            <v>56</v>
          </cell>
          <cell r="AC30">
            <v>48</v>
          </cell>
          <cell r="AD30">
            <v>48</v>
          </cell>
          <cell r="AE30">
            <v>56</v>
          </cell>
        </row>
        <row r="31">
          <cell r="B31">
            <v>56</v>
          </cell>
          <cell r="C31">
            <v>56</v>
          </cell>
          <cell r="D31">
            <v>62</v>
          </cell>
          <cell r="E31">
            <v>55</v>
          </cell>
          <cell r="F31">
            <v>60</v>
          </cell>
          <cell r="G31">
            <v>56</v>
          </cell>
          <cell r="H31">
            <v>53</v>
          </cell>
          <cell r="I31">
            <v>53</v>
          </cell>
          <cell r="J31">
            <v>53</v>
          </cell>
          <cell r="K31">
            <v>58</v>
          </cell>
          <cell r="L31">
            <v>52</v>
          </cell>
          <cell r="M31">
            <v>57</v>
          </cell>
          <cell r="N31">
            <v>52</v>
          </cell>
          <cell r="O31">
            <v>50</v>
          </cell>
          <cell r="P31">
            <v>52</v>
          </cell>
          <cell r="Q31">
            <v>51</v>
          </cell>
          <cell r="R31">
            <v>57</v>
          </cell>
          <cell r="S31">
            <v>51</v>
          </cell>
          <cell r="T31">
            <v>56</v>
          </cell>
          <cell r="U31">
            <v>51</v>
          </cell>
          <cell r="V31">
            <v>49</v>
          </cell>
          <cell r="W31">
            <v>50</v>
          </cell>
          <cell r="X31">
            <v>49</v>
          </cell>
          <cell r="Y31">
            <v>55</v>
          </cell>
          <cell r="Z31">
            <v>49</v>
          </cell>
          <cell r="AA31">
            <v>54</v>
          </cell>
          <cell r="AB31">
            <v>49</v>
          </cell>
          <cell r="AC31">
            <v>47</v>
          </cell>
          <cell r="AD31">
            <v>50</v>
          </cell>
          <cell r="AE31">
            <v>49</v>
          </cell>
        </row>
        <row r="32">
          <cell r="B32">
            <v>54</v>
          </cell>
          <cell r="C32">
            <v>59</v>
          </cell>
          <cell r="D32">
            <v>63</v>
          </cell>
          <cell r="E32">
            <v>58</v>
          </cell>
          <cell r="F32">
            <v>65</v>
          </cell>
          <cell r="G32">
            <v>62</v>
          </cell>
          <cell r="H32">
            <v>61</v>
          </cell>
          <cell r="I32">
            <v>51</v>
          </cell>
          <cell r="J32">
            <v>56</v>
          </cell>
          <cell r="K32">
            <v>60</v>
          </cell>
          <cell r="L32">
            <v>54</v>
          </cell>
          <cell r="M32">
            <v>61</v>
          </cell>
          <cell r="N32">
            <v>58</v>
          </cell>
          <cell r="O32">
            <v>58</v>
          </cell>
          <cell r="P32">
            <v>50</v>
          </cell>
          <cell r="Q32">
            <v>55</v>
          </cell>
          <cell r="R32">
            <v>58</v>
          </cell>
          <cell r="S32">
            <v>53</v>
          </cell>
          <cell r="T32">
            <v>60</v>
          </cell>
          <cell r="U32">
            <v>57</v>
          </cell>
          <cell r="V32">
            <v>56</v>
          </cell>
          <cell r="W32">
            <v>48</v>
          </cell>
          <cell r="X32">
            <v>53</v>
          </cell>
          <cell r="Y32">
            <v>56</v>
          </cell>
          <cell r="Z32">
            <v>51</v>
          </cell>
          <cell r="AA32">
            <v>58</v>
          </cell>
          <cell r="AB32">
            <v>55</v>
          </cell>
          <cell r="AC32">
            <v>54</v>
          </cell>
          <cell r="AD32">
            <v>48</v>
          </cell>
          <cell r="AE32">
            <v>53</v>
          </cell>
        </row>
        <row r="33">
          <cell r="B33">
            <v>64</v>
          </cell>
          <cell r="C33">
            <v>69</v>
          </cell>
          <cell r="D33">
            <v>55</v>
          </cell>
          <cell r="E33">
            <v>67</v>
          </cell>
          <cell r="F33">
            <v>67</v>
          </cell>
          <cell r="G33">
            <v>53</v>
          </cell>
          <cell r="H33">
            <v>55</v>
          </cell>
          <cell r="I33">
            <v>60</v>
          </cell>
          <cell r="J33">
            <v>66</v>
          </cell>
          <cell r="K33">
            <v>52</v>
          </cell>
          <cell r="L33">
            <v>63</v>
          </cell>
          <cell r="M33">
            <v>64</v>
          </cell>
          <cell r="N33">
            <v>50</v>
          </cell>
          <cell r="O33">
            <v>52</v>
          </cell>
          <cell r="P33">
            <v>59</v>
          </cell>
          <cell r="Q33">
            <v>64</v>
          </cell>
          <cell r="R33">
            <v>51</v>
          </cell>
          <cell r="S33">
            <v>62</v>
          </cell>
          <cell r="T33">
            <v>62</v>
          </cell>
          <cell r="U33">
            <v>49</v>
          </cell>
          <cell r="V33">
            <v>51</v>
          </cell>
          <cell r="W33">
            <v>57</v>
          </cell>
          <cell r="X33">
            <v>62</v>
          </cell>
          <cell r="Y33">
            <v>49</v>
          </cell>
          <cell r="Z33">
            <v>59</v>
          </cell>
          <cell r="AA33">
            <v>60</v>
          </cell>
          <cell r="AB33">
            <v>47</v>
          </cell>
          <cell r="AC33">
            <v>49</v>
          </cell>
          <cell r="AD33">
            <v>57</v>
          </cell>
          <cell r="AE33">
            <v>62</v>
          </cell>
        </row>
        <row r="34">
          <cell r="B34">
            <v>56</v>
          </cell>
          <cell r="C34">
            <v>73</v>
          </cell>
          <cell r="D34">
            <v>57</v>
          </cell>
          <cell r="E34">
            <v>67</v>
          </cell>
          <cell r="F34">
            <v>65</v>
          </cell>
          <cell r="G34">
            <v>51</v>
          </cell>
          <cell r="H34">
            <v>50</v>
          </cell>
          <cell r="I34">
            <v>52</v>
          </cell>
          <cell r="J34">
            <v>69</v>
          </cell>
          <cell r="K34">
            <v>54</v>
          </cell>
          <cell r="L34">
            <v>63</v>
          </cell>
          <cell r="M34">
            <v>61</v>
          </cell>
          <cell r="N34">
            <v>48</v>
          </cell>
          <cell r="O34">
            <v>47</v>
          </cell>
          <cell r="P34">
            <v>51</v>
          </cell>
          <cell r="Q34">
            <v>68</v>
          </cell>
          <cell r="R34">
            <v>52</v>
          </cell>
          <cell r="S34">
            <v>62</v>
          </cell>
          <cell r="T34">
            <v>60</v>
          </cell>
          <cell r="U34">
            <v>48</v>
          </cell>
          <cell r="V34">
            <v>46</v>
          </cell>
          <cell r="W34">
            <v>49</v>
          </cell>
          <cell r="X34">
            <v>65</v>
          </cell>
          <cell r="Y34">
            <v>50</v>
          </cell>
          <cell r="Z34">
            <v>59</v>
          </cell>
          <cell r="AA34">
            <v>58</v>
          </cell>
          <cell r="AB34">
            <v>46</v>
          </cell>
          <cell r="AC34">
            <v>44</v>
          </cell>
          <cell r="AD34">
            <v>49</v>
          </cell>
          <cell r="AE34">
            <v>65</v>
          </cell>
        </row>
        <row r="35">
          <cell r="B35">
            <v>62</v>
          </cell>
          <cell r="C35">
            <v>57</v>
          </cell>
          <cell r="D35">
            <v>60</v>
          </cell>
          <cell r="E35">
            <v>74</v>
          </cell>
          <cell r="F35">
            <v>72</v>
          </cell>
          <cell r="G35">
            <v>56</v>
          </cell>
          <cell r="H35">
            <v>54</v>
          </cell>
          <cell r="I35">
            <v>58</v>
          </cell>
          <cell r="J35">
            <v>54</v>
          </cell>
          <cell r="K35">
            <v>57</v>
          </cell>
          <cell r="L35">
            <v>70</v>
          </cell>
          <cell r="M35">
            <v>68</v>
          </cell>
          <cell r="N35">
            <v>52</v>
          </cell>
          <cell r="O35">
            <v>51</v>
          </cell>
          <cell r="P35">
            <v>57</v>
          </cell>
          <cell r="Q35">
            <v>52</v>
          </cell>
          <cell r="R35">
            <v>56</v>
          </cell>
          <cell r="S35">
            <v>69</v>
          </cell>
          <cell r="T35">
            <v>66</v>
          </cell>
          <cell r="U35">
            <v>51</v>
          </cell>
          <cell r="V35">
            <v>50</v>
          </cell>
          <cell r="W35">
            <v>55</v>
          </cell>
          <cell r="X35">
            <v>50</v>
          </cell>
          <cell r="Y35">
            <v>53</v>
          </cell>
          <cell r="Z35">
            <v>66</v>
          </cell>
          <cell r="AA35">
            <v>64</v>
          </cell>
          <cell r="AB35">
            <v>49</v>
          </cell>
          <cell r="AC35">
            <v>48</v>
          </cell>
          <cell r="AD35">
            <v>55</v>
          </cell>
          <cell r="AE35">
            <v>50</v>
          </cell>
        </row>
        <row r="36">
          <cell r="B36">
            <v>58</v>
          </cell>
          <cell r="C36">
            <v>60</v>
          </cell>
          <cell r="D36">
            <v>68</v>
          </cell>
          <cell r="E36">
            <v>58</v>
          </cell>
          <cell r="F36">
            <v>81</v>
          </cell>
          <cell r="G36">
            <v>62</v>
          </cell>
          <cell r="H36">
            <v>52</v>
          </cell>
          <cell r="I36">
            <v>55</v>
          </cell>
          <cell r="J36">
            <v>57</v>
          </cell>
          <cell r="K36">
            <v>64</v>
          </cell>
          <cell r="L36">
            <v>54</v>
          </cell>
          <cell r="M36">
            <v>77</v>
          </cell>
          <cell r="N36">
            <v>58</v>
          </cell>
          <cell r="O36">
            <v>49</v>
          </cell>
          <cell r="P36">
            <v>54</v>
          </cell>
          <cell r="Q36">
            <v>56</v>
          </cell>
          <cell r="R36">
            <v>63</v>
          </cell>
          <cell r="S36">
            <v>53</v>
          </cell>
          <cell r="T36">
            <v>75</v>
          </cell>
          <cell r="U36">
            <v>57</v>
          </cell>
          <cell r="V36">
            <v>48</v>
          </cell>
          <cell r="W36">
            <v>52</v>
          </cell>
          <cell r="X36">
            <v>54</v>
          </cell>
          <cell r="Y36">
            <v>60</v>
          </cell>
          <cell r="Z36">
            <v>51</v>
          </cell>
          <cell r="AA36">
            <v>72</v>
          </cell>
          <cell r="AB36">
            <v>55</v>
          </cell>
          <cell r="AC36">
            <v>46</v>
          </cell>
          <cell r="AD36">
            <v>52</v>
          </cell>
          <cell r="AE36">
            <v>54</v>
          </cell>
        </row>
        <row r="37">
          <cell r="B37">
            <v>54</v>
          </cell>
          <cell r="C37">
            <v>60</v>
          </cell>
          <cell r="D37">
            <v>60</v>
          </cell>
          <cell r="E37">
            <v>56</v>
          </cell>
          <cell r="F37">
            <v>71</v>
          </cell>
          <cell r="G37">
            <v>67</v>
          </cell>
          <cell r="H37">
            <v>50</v>
          </cell>
          <cell r="I37">
            <v>51</v>
          </cell>
          <cell r="J37">
            <v>57</v>
          </cell>
          <cell r="K37">
            <v>57</v>
          </cell>
          <cell r="L37">
            <v>52</v>
          </cell>
          <cell r="M37">
            <v>67</v>
          </cell>
          <cell r="N37">
            <v>63</v>
          </cell>
          <cell r="O37">
            <v>48</v>
          </cell>
          <cell r="P37">
            <v>50</v>
          </cell>
          <cell r="Q37">
            <v>55</v>
          </cell>
          <cell r="R37">
            <v>55</v>
          </cell>
          <cell r="S37">
            <v>51</v>
          </cell>
          <cell r="T37">
            <v>66</v>
          </cell>
          <cell r="U37">
            <v>62</v>
          </cell>
          <cell r="V37">
            <v>47</v>
          </cell>
          <cell r="W37">
            <v>48</v>
          </cell>
          <cell r="X37">
            <v>53</v>
          </cell>
          <cell r="Y37">
            <v>53</v>
          </cell>
          <cell r="Z37">
            <v>49</v>
          </cell>
          <cell r="AA37">
            <v>63</v>
          </cell>
          <cell r="AB37">
            <v>59</v>
          </cell>
          <cell r="AC37">
            <v>45</v>
          </cell>
          <cell r="AD37">
            <v>48</v>
          </cell>
          <cell r="AE37">
            <v>53</v>
          </cell>
        </row>
        <row r="38">
          <cell r="B38">
            <v>59</v>
          </cell>
          <cell r="C38">
            <v>63</v>
          </cell>
          <cell r="D38">
            <v>53</v>
          </cell>
          <cell r="E38">
            <v>59</v>
          </cell>
          <cell r="F38">
            <v>54</v>
          </cell>
          <cell r="G38">
            <v>68</v>
          </cell>
          <cell r="H38">
            <v>54</v>
          </cell>
          <cell r="I38">
            <v>55</v>
          </cell>
          <cell r="J38">
            <v>59</v>
          </cell>
          <cell r="K38">
            <v>50</v>
          </cell>
          <cell r="L38">
            <v>55</v>
          </cell>
          <cell r="M38">
            <v>51</v>
          </cell>
          <cell r="N38">
            <v>64</v>
          </cell>
          <cell r="O38">
            <v>51</v>
          </cell>
          <cell r="P38">
            <v>54</v>
          </cell>
          <cell r="Q38">
            <v>58</v>
          </cell>
          <cell r="R38">
            <v>49</v>
          </cell>
          <cell r="S38">
            <v>54</v>
          </cell>
          <cell r="T38">
            <v>50</v>
          </cell>
          <cell r="U38">
            <v>63</v>
          </cell>
          <cell r="V38">
            <v>50</v>
          </cell>
          <cell r="W38">
            <v>52</v>
          </cell>
          <cell r="X38">
            <v>55</v>
          </cell>
          <cell r="Y38">
            <v>47</v>
          </cell>
          <cell r="Z38">
            <v>52</v>
          </cell>
          <cell r="AA38">
            <v>48</v>
          </cell>
          <cell r="AB38">
            <v>61</v>
          </cell>
          <cell r="AC38">
            <v>48</v>
          </cell>
          <cell r="AD38">
            <v>52</v>
          </cell>
          <cell r="AE38">
            <v>56</v>
          </cell>
        </row>
        <row r="39">
          <cell r="B39">
            <v>63</v>
          </cell>
          <cell r="C39">
            <v>72</v>
          </cell>
          <cell r="D39">
            <v>71</v>
          </cell>
          <cell r="E39">
            <v>74</v>
          </cell>
          <cell r="F39">
            <v>71</v>
          </cell>
          <cell r="G39">
            <v>61</v>
          </cell>
          <cell r="H39">
            <v>59</v>
          </cell>
          <cell r="I39">
            <v>59</v>
          </cell>
          <cell r="J39">
            <v>68</v>
          </cell>
          <cell r="K39">
            <v>67</v>
          </cell>
          <cell r="L39">
            <v>70</v>
          </cell>
          <cell r="M39">
            <v>67</v>
          </cell>
          <cell r="N39">
            <v>58</v>
          </cell>
          <cell r="O39">
            <v>56</v>
          </cell>
          <cell r="P39">
            <v>58</v>
          </cell>
          <cell r="Q39">
            <v>67</v>
          </cell>
          <cell r="R39">
            <v>65</v>
          </cell>
          <cell r="S39">
            <v>69</v>
          </cell>
          <cell r="T39">
            <v>66</v>
          </cell>
          <cell r="U39">
            <v>57</v>
          </cell>
          <cell r="V39">
            <v>55</v>
          </cell>
          <cell r="W39">
            <v>56</v>
          </cell>
          <cell r="X39">
            <v>64</v>
          </cell>
          <cell r="Y39">
            <v>63</v>
          </cell>
          <cell r="Z39">
            <v>66</v>
          </cell>
          <cell r="AA39">
            <v>63</v>
          </cell>
          <cell r="AB39">
            <v>54</v>
          </cell>
          <cell r="AC39">
            <v>52</v>
          </cell>
          <cell r="AD39">
            <v>56</v>
          </cell>
          <cell r="AE39">
            <v>64</v>
          </cell>
        </row>
        <row r="40">
          <cell r="B40">
            <v>63</v>
          </cell>
          <cell r="C40">
            <v>72</v>
          </cell>
          <cell r="D40">
            <v>66</v>
          </cell>
          <cell r="E40">
            <v>66</v>
          </cell>
          <cell r="F40">
            <v>70</v>
          </cell>
          <cell r="G40">
            <v>60</v>
          </cell>
          <cell r="H40">
            <v>58</v>
          </cell>
          <cell r="I40">
            <v>59</v>
          </cell>
          <cell r="J40">
            <v>68</v>
          </cell>
          <cell r="K40">
            <v>63</v>
          </cell>
          <cell r="L40">
            <v>62</v>
          </cell>
          <cell r="M40">
            <v>66</v>
          </cell>
          <cell r="N40">
            <v>57</v>
          </cell>
          <cell r="O40">
            <v>54</v>
          </cell>
          <cell r="P40">
            <v>58</v>
          </cell>
          <cell r="Q40">
            <v>67</v>
          </cell>
          <cell r="R40">
            <v>61</v>
          </cell>
          <cell r="S40">
            <v>61</v>
          </cell>
          <cell r="T40">
            <v>65</v>
          </cell>
          <cell r="U40">
            <v>56</v>
          </cell>
          <cell r="V40">
            <v>53</v>
          </cell>
          <cell r="W40">
            <v>56</v>
          </cell>
          <cell r="X40">
            <v>64</v>
          </cell>
          <cell r="Y40">
            <v>59</v>
          </cell>
          <cell r="Z40">
            <v>59</v>
          </cell>
          <cell r="AA40">
            <v>62</v>
          </cell>
          <cell r="AB40">
            <v>53</v>
          </cell>
          <cell r="AC40">
            <v>51</v>
          </cell>
          <cell r="AD40">
            <v>56</v>
          </cell>
          <cell r="AE40">
            <v>64</v>
          </cell>
        </row>
        <row r="41">
          <cell r="B41">
            <v>58</v>
          </cell>
          <cell r="C41">
            <v>77</v>
          </cell>
          <cell r="D41">
            <v>67</v>
          </cell>
          <cell r="E41">
            <v>64</v>
          </cell>
          <cell r="F41">
            <v>69</v>
          </cell>
          <cell r="G41">
            <v>61</v>
          </cell>
          <cell r="H41">
            <v>61</v>
          </cell>
          <cell r="I41">
            <v>56</v>
          </cell>
          <cell r="J41">
            <v>67</v>
          </cell>
          <cell r="K41">
            <v>60</v>
          </cell>
          <cell r="L41">
            <v>64</v>
          </cell>
          <cell r="M41">
            <v>62</v>
          </cell>
          <cell r="N41">
            <v>61</v>
          </cell>
          <cell r="O41">
            <v>54</v>
          </cell>
          <cell r="P41">
            <v>57</v>
          </cell>
          <cell r="Q41">
            <v>68</v>
          </cell>
          <cell r="R41">
            <v>63</v>
          </cell>
          <cell r="S41">
            <v>59</v>
          </cell>
          <cell r="T41">
            <v>63</v>
          </cell>
          <cell r="U41">
            <v>59</v>
          </cell>
          <cell r="V41">
            <v>51</v>
          </cell>
          <cell r="W41">
            <v>51</v>
          </cell>
          <cell r="X41">
            <v>67</v>
          </cell>
          <cell r="Y41">
            <v>59</v>
          </cell>
          <cell r="Z41">
            <v>57</v>
          </cell>
          <cell r="AA41">
            <v>59</v>
          </cell>
          <cell r="AB41">
            <v>52</v>
          </cell>
          <cell r="AC41">
            <v>53</v>
          </cell>
          <cell r="AD41">
            <v>51</v>
          </cell>
          <cell r="AE41">
            <v>67</v>
          </cell>
        </row>
        <row r="42">
          <cell r="B42">
            <v>63</v>
          </cell>
          <cell r="C42">
            <v>90</v>
          </cell>
          <cell r="D42">
            <v>87</v>
          </cell>
          <cell r="E42">
            <v>68</v>
          </cell>
          <cell r="F42">
            <v>74</v>
          </cell>
          <cell r="G42">
            <v>68</v>
          </cell>
          <cell r="H42">
            <v>57</v>
          </cell>
          <cell r="I42">
            <v>59</v>
          </cell>
          <cell r="J42">
            <v>85</v>
          </cell>
          <cell r="K42">
            <v>83</v>
          </cell>
          <cell r="L42">
            <v>64</v>
          </cell>
          <cell r="M42">
            <v>70</v>
          </cell>
          <cell r="N42">
            <v>64</v>
          </cell>
          <cell r="O42">
            <v>54</v>
          </cell>
          <cell r="P42">
            <v>58</v>
          </cell>
          <cell r="Q42">
            <v>83</v>
          </cell>
          <cell r="R42">
            <v>81</v>
          </cell>
          <cell r="S42">
            <v>63</v>
          </cell>
          <cell r="T42">
            <v>68</v>
          </cell>
          <cell r="U42">
            <v>63</v>
          </cell>
          <cell r="V42">
            <v>53</v>
          </cell>
          <cell r="W42">
            <v>56</v>
          </cell>
          <cell r="X42">
            <v>79</v>
          </cell>
          <cell r="Y42">
            <v>78</v>
          </cell>
          <cell r="Z42">
            <v>60</v>
          </cell>
          <cell r="AA42">
            <v>66</v>
          </cell>
          <cell r="AB42">
            <v>61</v>
          </cell>
          <cell r="AC42">
            <v>50</v>
          </cell>
          <cell r="AD42">
            <v>56</v>
          </cell>
          <cell r="AE42">
            <v>80</v>
          </cell>
        </row>
        <row r="43">
          <cell r="B43">
            <v>66</v>
          </cell>
          <cell r="C43">
            <v>60</v>
          </cell>
          <cell r="D43">
            <v>68</v>
          </cell>
          <cell r="E43">
            <v>69</v>
          </cell>
          <cell r="F43">
            <v>75</v>
          </cell>
          <cell r="G43">
            <v>69</v>
          </cell>
          <cell r="H43">
            <v>63</v>
          </cell>
          <cell r="I43">
            <v>62</v>
          </cell>
          <cell r="J43">
            <v>57</v>
          </cell>
          <cell r="K43">
            <v>64</v>
          </cell>
          <cell r="L43">
            <v>65</v>
          </cell>
          <cell r="M43">
            <v>71</v>
          </cell>
          <cell r="N43">
            <v>65</v>
          </cell>
          <cell r="O43">
            <v>60</v>
          </cell>
          <cell r="P43">
            <v>61</v>
          </cell>
          <cell r="Q43">
            <v>56</v>
          </cell>
          <cell r="R43">
            <v>63</v>
          </cell>
          <cell r="S43">
            <v>64</v>
          </cell>
          <cell r="T43">
            <v>69</v>
          </cell>
          <cell r="U43">
            <v>64</v>
          </cell>
          <cell r="V43">
            <v>59</v>
          </cell>
          <cell r="W43">
            <v>58</v>
          </cell>
          <cell r="X43">
            <v>54</v>
          </cell>
          <cell r="Y43">
            <v>61</v>
          </cell>
          <cell r="Z43">
            <v>61</v>
          </cell>
          <cell r="AA43">
            <v>66</v>
          </cell>
          <cell r="AB43">
            <v>62</v>
          </cell>
          <cell r="AC43">
            <v>56</v>
          </cell>
          <cell r="AD43">
            <v>58</v>
          </cell>
          <cell r="AE43">
            <v>54</v>
          </cell>
        </row>
        <row r="44">
          <cell r="B44">
            <v>69</v>
          </cell>
          <cell r="C44">
            <v>70</v>
          </cell>
          <cell r="D44">
            <v>71</v>
          </cell>
          <cell r="E44">
            <v>79</v>
          </cell>
          <cell r="F44">
            <v>68</v>
          </cell>
          <cell r="G44">
            <v>59</v>
          </cell>
          <cell r="H44">
            <v>66</v>
          </cell>
          <cell r="I44">
            <v>65</v>
          </cell>
          <cell r="J44">
            <v>66</v>
          </cell>
          <cell r="K44">
            <v>67</v>
          </cell>
          <cell r="L44">
            <v>75</v>
          </cell>
          <cell r="M44">
            <v>64</v>
          </cell>
          <cell r="N44">
            <v>55</v>
          </cell>
          <cell r="O44">
            <v>62</v>
          </cell>
          <cell r="P44">
            <v>64</v>
          </cell>
          <cell r="Q44">
            <v>65</v>
          </cell>
          <cell r="R44">
            <v>65</v>
          </cell>
          <cell r="S44">
            <v>73</v>
          </cell>
          <cell r="T44">
            <v>63</v>
          </cell>
          <cell r="U44">
            <v>54</v>
          </cell>
          <cell r="V44">
            <v>61</v>
          </cell>
          <cell r="W44">
            <v>61</v>
          </cell>
          <cell r="X44">
            <v>62</v>
          </cell>
          <cell r="Y44">
            <v>63</v>
          </cell>
          <cell r="Z44">
            <v>70</v>
          </cell>
          <cell r="AA44">
            <v>60</v>
          </cell>
          <cell r="AB44">
            <v>52</v>
          </cell>
          <cell r="AC44">
            <v>59</v>
          </cell>
          <cell r="AD44">
            <v>61</v>
          </cell>
          <cell r="AE44">
            <v>62</v>
          </cell>
        </row>
        <row r="45">
          <cell r="B45">
            <v>69</v>
          </cell>
          <cell r="C45">
            <v>67</v>
          </cell>
          <cell r="D45">
            <v>65</v>
          </cell>
          <cell r="E45">
            <v>67</v>
          </cell>
          <cell r="F45">
            <v>75</v>
          </cell>
          <cell r="G45">
            <v>60</v>
          </cell>
          <cell r="H45">
            <v>61</v>
          </cell>
          <cell r="I45">
            <v>65</v>
          </cell>
          <cell r="J45">
            <v>63</v>
          </cell>
          <cell r="K45">
            <v>61</v>
          </cell>
          <cell r="L45">
            <v>63</v>
          </cell>
          <cell r="M45">
            <v>71</v>
          </cell>
          <cell r="N45">
            <v>56</v>
          </cell>
          <cell r="O45">
            <v>58</v>
          </cell>
          <cell r="P45">
            <v>64</v>
          </cell>
          <cell r="Q45">
            <v>62</v>
          </cell>
          <cell r="R45">
            <v>60</v>
          </cell>
          <cell r="S45">
            <v>62</v>
          </cell>
          <cell r="T45">
            <v>70</v>
          </cell>
          <cell r="U45">
            <v>55</v>
          </cell>
          <cell r="V45">
            <v>56</v>
          </cell>
          <cell r="W45">
            <v>61</v>
          </cell>
          <cell r="X45">
            <v>59</v>
          </cell>
          <cell r="Y45">
            <v>57</v>
          </cell>
          <cell r="Z45">
            <v>59</v>
          </cell>
          <cell r="AA45">
            <v>67</v>
          </cell>
          <cell r="AB45">
            <v>53</v>
          </cell>
          <cell r="AC45">
            <v>54</v>
          </cell>
          <cell r="AD45">
            <v>61</v>
          </cell>
          <cell r="AE45">
            <v>59</v>
          </cell>
        </row>
        <row r="46">
          <cell r="B46">
            <v>62</v>
          </cell>
          <cell r="C46">
            <v>58</v>
          </cell>
          <cell r="D46">
            <v>74</v>
          </cell>
          <cell r="E46">
            <v>63</v>
          </cell>
          <cell r="F46">
            <v>67</v>
          </cell>
          <cell r="G46">
            <v>61</v>
          </cell>
          <cell r="H46">
            <v>56</v>
          </cell>
          <cell r="I46">
            <v>58</v>
          </cell>
          <cell r="J46">
            <v>55</v>
          </cell>
          <cell r="K46">
            <v>70</v>
          </cell>
          <cell r="L46">
            <v>59</v>
          </cell>
          <cell r="M46">
            <v>63</v>
          </cell>
          <cell r="N46">
            <v>58</v>
          </cell>
          <cell r="O46">
            <v>53</v>
          </cell>
          <cell r="P46">
            <v>57</v>
          </cell>
          <cell r="Q46">
            <v>53</v>
          </cell>
          <cell r="R46">
            <v>68</v>
          </cell>
          <cell r="S46">
            <v>58</v>
          </cell>
          <cell r="T46">
            <v>62</v>
          </cell>
          <cell r="U46">
            <v>57</v>
          </cell>
          <cell r="V46">
            <v>52</v>
          </cell>
          <cell r="W46">
            <v>55</v>
          </cell>
          <cell r="X46">
            <v>51</v>
          </cell>
          <cell r="Y46">
            <v>66</v>
          </cell>
          <cell r="Z46">
            <v>56</v>
          </cell>
          <cell r="AA46">
            <v>59</v>
          </cell>
          <cell r="AB46">
            <v>54</v>
          </cell>
          <cell r="AC46">
            <v>50</v>
          </cell>
          <cell r="AD46">
            <v>55</v>
          </cell>
          <cell r="AE46">
            <v>51</v>
          </cell>
        </row>
        <row r="47">
          <cell r="B47">
            <v>60</v>
          </cell>
          <cell r="C47">
            <v>57</v>
          </cell>
          <cell r="D47">
            <v>65</v>
          </cell>
          <cell r="E47">
            <v>66</v>
          </cell>
          <cell r="F47">
            <v>62</v>
          </cell>
          <cell r="G47">
            <v>47</v>
          </cell>
          <cell r="H47">
            <v>59</v>
          </cell>
          <cell r="I47">
            <v>57</v>
          </cell>
          <cell r="J47">
            <v>54</v>
          </cell>
          <cell r="K47">
            <v>62</v>
          </cell>
          <cell r="L47">
            <v>62</v>
          </cell>
          <cell r="M47">
            <v>58</v>
          </cell>
          <cell r="N47">
            <v>44</v>
          </cell>
          <cell r="O47">
            <v>56</v>
          </cell>
          <cell r="P47">
            <v>55</v>
          </cell>
          <cell r="Q47">
            <v>52</v>
          </cell>
          <cell r="R47">
            <v>60</v>
          </cell>
          <cell r="S47">
            <v>61</v>
          </cell>
          <cell r="T47">
            <v>57</v>
          </cell>
          <cell r="U47">
            <v>43</v>
          </cell>
          <cell r="V47">
            <v>55</v>
          </cell>
          <cell r="W47">
            <v>53</v>
          </cell>
          <cell r="X47">
            <v>50</v>
          </cell>
          <cell r="Y47">
            <v>58</v>
          </cell>
          <cell r="Z47">
            <v>58</v>
          </cell>
          <cell r="AA47">
            <v>55</v>
          </cell>
          <cell r="AB47">
            <v>41</v>
          </cell>
          <cell r="AC47">
            <v>53</v>
          </cell>
          <cell r="AD47">
            <v>53</v>
          </cell>
          <cell r="AE47">
            <v>50</v>
          </cell>
        </row>
        <row r="48">
          <cell r="B48">
            <v>53</v>
          </cell>
          <cell r="C48">
            <v>58</v>
          </cell>
          <cell r="D48">
            <v>59</v>
          </cell>
          <cell r="E48">
            <v>63</v>
          </cell>
          <cell r="F48">
            <v>51</v>
          </cell>
          <cell r="G48">
            <v>50</v>
          </cell>
          <cell r="H48">
            <v>54</v>
          </cell>
          <cell r="I48">
            <v>50</v>
          </cell>
          <cell r="J48">
            <v>55</v>
          </cell>
          <cell r="K48">
            <v>56</v>
          </cell>
          <cell r="L48">
            <v>60</v>
          </cell>
          <cell r="M48">
            <v>48</v>
          </cell>
          <cell r="N48">
            <v>48</v>
          </cell>
          <cell r="O48">
            <v>51</v>
          </cell>
          <cell r="P48">
            <v>49</v>
          </cell>
          <cell r="Q48">
            <v>54</v>
          </cell>
          <cell r="R48">
            <v>55</v>
          </cell>
          <cell r="S48">
            <v>59</v>
          </cell>
          <cell r="T48">
            <v>47</v>
          </cell>
          <cell r="U48">
            <v>47</v>
          </cell>
          <cell r="V48">
            <v>50</v>
          </cell>
          <cell r="W48">
            <v>47</v>
          </cell>
          <cell r="X48">
            <v>52</v>
          </cell>
          <cell r="Y48">
            <v>52</v>
          </cell>
          <cell r="Z48">
            <v>56</v>
          </cell>
          <cell r="AA48">
            <v>45</v>
          </cell>
          <cell r="AB48">
            <v>45</v>
          </cell>
          <cell r="AC48">
            <v>48</v>
          </cell>
          <cell r="AD48">
            <v>47</v>
          </cell>
          <cell r="AE48">
            <v>52</v>
          </cell>
        </row>
        <row r="49">
          <cell r="B49">
            <v>47</v>
          </cell>
          <cell r="C49">
            <v>45</v>
          </cell>
          <cell r="D49">
            <v>44</v>
          </cell>
          <cell r="E49">
            <v>54</v>
          </cell>
          <cell r="F49">
            <v>51</v>
          </cell>
          <cell r="G49">
            <v>66</v>
          </cell>
          <cell r="H49">
            <v>48</v>
          </cell>
          <cell r="I49">
            <v>44</v>
          </cell>
          <cell r="J49">
            <v>43</v>
          </cell>
          <cell r="K49">
            <v>42</v>
          </cell>
          <cell r="L49">
            <v>51</v>
          </cell>
          <cell r="M49">
            <v>48</v>
          </cell>
          <cell r="N49">
            <v>62</v>
          </cell>
          <cell r="O49">
            <v>45</v>
          </cell>
          <cell r="P49">
            <v>43</v>
          </cell>
          <cell r="Q49">
            <v>42</v>
          </cell>
          <cell r="R49">
            <v>41</v>
          </cell>
          <cell r="S49">
            <v>50</v>
          </cell>
          <cell r="T49">
            <v>47</v>
          </cell>
          <cell r="U49">
            <v>61</v>
          </cell>
          <cell r="V49">
            <v>44</v>
          </cell>
          <cell r="W49">
            <v>41</v>
          </cell>
          <cell r="X49">
            <v>40</v>
          </cell>
          <cell r="Y49">
            <v>39</v>
          </cell>
          <cell r="Z49">
            <v>48</v>
          </cell>
          <cell r="AA49">
            <v>45</v>
          </cell>
          <cell r="AB49">
            <v>58</v>
          </cell>
          <cell r="AC49">
            <v>42</v>
          </cell>
          <cell r="AD49">
            <v>41</v>
          </cell>
          <cell r="AE49">
            <v>40</v>
          </cell>
        </row>
        <row r="50">
          <cell r="B50">
            <v>45</v>
          </cell>
          <cell r="C50">
            <v>59</v>
          </cell>
          <cell r="D50">
            <v>41</v>
          </cell>
          <cell r="E50">
            <v>49</v>
          </cell>
          <cell r="F50">
            <v>52</v>
          </cell>
          <cell r="G50">
            <v>57</v>
          </cell>
          <cell r="H50">
            <v>48</v>
          </cell>
          <cell r="I50">
            <v>42</v>
          </cell>
          <cell r="J50">
            <v>56</v>
          </cell>
          <cell r="K50">
            <v>39</v>
          </cell>
          <cell r="L50">
            <v>46</v>
          </cell>
          <cell r="M50">
            <v>49</v>
          </cell>
          <cell r="N50">
            <v>53</v>
          </cell>
          <cell r="O50">
            <v>45</v>
          </cell>
          <cell r="P50">
            <v>41</v>
          </cell>
          <cell r="Q50">
            <v>55</v>
          </cell>
          <cell r="R50">
            <v>38</v>
          </cell>
          <cell r="S50">
            <v>46</v>
          </cell>
          <cell r="T50">
            <v>48</v>
          </cell>
          <cell r="U50">
            <v>52</v>
          </cell>
          <cell r="V50">
            <v>44</v>
          </cell>
          <cell r="W50">
            <v>39</v>
          </cell>
          <cell r="X50">
            <v>53</v>
          </cell>
          <cell r="Y50">
            <v>37</v>
          </cell>
          <cell r="Z50">
            <v>44</v>
          </cell>
          <cell r="AA50">
            <v>46</v>
          </cell>
          <cell r="AB50">
            <v>50</v>
          </cell>
          <cell r="AC50">
            <v>42</v>
          </cell>
          <cell r="AD50">
            <v>39</v>
          </cell>
          <cell r="AE50">
            <v>53</v>
          </cell>
        </row>
        <row r="51">
          <cell r="B51">
            <v>38</v>
          </cell>
          <cell r="C51">
            <v>39</v>
          </cell>
          <cell r="D51">
            <v>31</v>
          </cell>
          <cell r="E51">
            <v>28</v>
          </cell>
          <cell r="F51">
            <v>47</v>
          </cell>
          <cell r="G51">
            <v>33</v>
          </cell>
          <cell r="H51">
            <v>45</v>
          </cell>
          <cell r="I51">
            <v>36</v>
          </cell>
          <cell r="J51">
            <v>37</v>
          </cell>
          <cell r="K51">
            <v>29</v>
          </cell>
          <cell r="L51">
            <v>27</v>
          </cell>
          <cell r="M51">
            <v>45</v>
          </cell>
          <cell r="N51">
            <v>32</v>
          </cell>
          <cell r="O51">
            <v>42</v>
          </cell>
          <cell r="P51">
            <v>35</v>
          </cell>
          <cell r="Q51">
            <v>36</v>
          </cell>
          <cell r="R51">
            <v>29</v>
          </cell>
          <cell r="S51">
            <v>26</v>
          </cell>
          <cell r="T51">
            <v>44</v>
          </cell>
          <cell r="U51">
            <v>31</v>
          </cell>
          <cell r="V51">
            <v>41</v>
          </cell>
          <cell r="W51">
            <v>34</v>
          </cell>
          <cell r="X51">
            <v>35</v>
          </cell>
          <cell r="Y51">
            <v>28</v>
          </cell>
          <cell r="Z51">
            <v>25</v>
          </cell>
          <cell r="AA51">
            <v>42</v>
          </cell>
          <cell r="AB51">
            <v>30</v>
          </cell>
          <cell r="AC51">
            <v>40</v>
          </cell>
          <cell r="AD51">
            <v>34</v>
          </cell>
          <cell r="AE51">
            <v>35</v>
          </cell>
        </row>
      </sheetData>
      <sheetData sheetId="2">
        <row r="2">
          <cell r="B2">
            <v>45962</v>
          </cell>
          <cell r="C2">
            <v>45963</v>
          </cell>
          <cell r="D2">
            <v>45964</v>
          </cell>
          <cell r="E2">
            <v>45965</v>
          </cell>
          <cell r="F2">
            <v>45966</v>
          </cell>
          <cell r="G2">
            <v>45967</v>
          </cell>
          <cell r="H2">
            <v>45968</v>
          </cell>
          <cell r="I2">
            <v>45969</v>
          </cell>
          <cell r="J2">
            <v>45970</v>
          </cell>
          <cell r="K2">
            <v>45971</v>
          </cell>
          <cell r="L2">
            <v>45972</v>
          </cell>
          <cell r="M2">
            <v>45973</v>
          </cell>
          <cell r="N2">
            <v>45974</v>
          </cell>
          <cell r="O2">
            <v>45975</v>
          </cell>
          <cell r="P2">
            <v>45976</v>
          </cell>
          <cell r="Q2">
            <v>45977</v>
          </cell>
          <cell r="R2">
            <v>45978</v>
          </cell>
          <cell r="S2">
            <v>45979</v>
          </cell>
          <cell r="T2">
            <v>45980</v>
          </cell>
          <cell r="U2">
            <v>45981</v>
          </cell>
          <cell r="V2">
            <v>45982</v>
          </cell>
          <cell r="W2">
            <v>45983</v>
          </cell>
          <cell r="X2">
            <v>45984</v>
          </cell>
          <cell r="Y2">
            <v>45985</v>
          </cell>
          <cell r="Z2">
            <v>45986</v>
          </cell>
          <cell r="AA2">
            <v>45987</v>
          </cell>
          <cell r="AB2">
            <v>45988</v>
          </cell>
          <cell r="AC2">
            <v>45989</v>
          </cell>
          <cell r="AD2">
            <v>45990</v>
          </cell>
          <cell r="AE2">
            <v>45991</v>
          </cell>
        </row>
        <row r="3">
          <cell r="B3">
            <v>1353</v>
          </cell>
          <cell r="C3">
            <v>930</v>
          </cell>
          <cell r="D3">
            <v>940</v>
          </cell>
          <cell r="E3">
            <v>879</v>
          </cell>
          <cell r="F3">
            <v>919</v>
          </cell>
          <cell r="G3">
            <v>898</v>
          </cell>
          <cell r="H3">
            <v>956</v>
          </cell>
          <cell r="I3">
            <v>1311</v>
          </cell>
          <cell r="J3">
            <v>902</v>
          </cell>
          <cell r="K3">
            <v>910</v>
          </cell>
          <cell r="L3">
            <v>852</v>
          </cell>
          <cell r="M3">
            <v>891</v>
          </cell>
          <cell r="N3">
            <v>870</v>
          </cell>
          <cell r="O3">
            <v>926</v>
          </cell>
          <cell r="P3">
            <v>1126</v>
          </cell>
          <cell r="Q3">
            <v>774</v>
          </cell>
          <cell r="R3">
            <v>782</v>
          </cell>
          <cell r="S3">
            <v>732</v>
          </cell>
          <cell r="T3">
            <v>765</v>
          </cell>
          <cell r="U3">
            <v>748</v>
          </cell>
          <cell r="V3">
            <v>796</v>
          </cell>
          <cell r="W3">
            <v>1143</v>
          </cell>
          <cell r="X3">
            <v>787</v>
          </cell>
          <cell r="Y3">
            <v>794</v>
          </cell>
          <cell r="Z3">
            <v>743</v>
          </cell>
          <cell r="AA3">
            <v>777</v>
          </cell>
          <cell r="AB3">
            <v>759</v>
          </cell>
          <cell r="AC3">
            <v>808</v>
          </cell>
          <cell r="AD3">
            <v>1143</v>
          </cell>
          <cell r="AE3">
            <v>786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</row>
        <row r="6"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</row>
        <row r="7"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B20">
            <v>10</v>
          </cell>
          <cell r="C20">
            <v>12</v>
          </cell>
          <cell r="D20">
            <v>17</v>
          </cell>
          <cell r="E20">
            <v>14</v>
          </cell>
          <cell r="F20">
            <v>16</v>
          </cell>
          <cell r="G20">
            <v>9</v>
          </cell>
          <cell r="H20">
            <v>6</v>
          </cell>
          <cell r="I20">
            <v>10</v>
          </cell>
          <cell r="J20">
            <v>12</v>
          </cell>
          <cell r="K20">
            <v>9</v>
          </cell>
          <cell r="L20">
            <v>17</v>
          </cell>
          <cell r="M20">
            <v>15</v>
          </cell>
          <cell r="N20">
            <v>15</v>
          </cell>
          <cell r="O20">
            <v>6</v>
          </cell>
          <cell r="P20">
            <v>8</v>
          </cell>
          <cell r="Q20">
            <v>10</v>
          </cell>
          <cell r="R20">
            <v>14</v>
          </cell>
          <cell r="S20">
            <v>12</v>
          </cell>
          <cell r="T20">
            <v>10</v>
          </cell>
          <cell r="U20">
            <v>11</v>
          </cell>
          <cell r="V20">
            <v>5</v>
          </cell>
          <cell r="W20">
            <v>8</v>
          </cell>
          <cell r="X20">
            <v>10</v>
          </cell>
          <cell r="Y20">
            <v>9</v>
          </cell>
          <cell r="Z20">
            <v>13</v>
          </cell>
          <cell r="AA20">
            <v>13</v>
          </cell>
          <cell r="AB20">
            <v>13</v>
          </cell>
          <cell r="AC20">
            <v>5</v>
          </cell>
          <cell r="AD20">
            <v>8</v>
          </cell>
          <cell r="AE20">
            <v>10</v>
          </cell>
        </row>
        <row r="21">
          <cell r="B21">
            <v>13</v>
          </cell>
          <cell r="C21">
            <v>7</v>
          </cell>
          <cell r="D21">
            <v>9</v>
          </cell>
          <cell r="E21">
            <v>10</v>
          </cell>
          <cell r="F21">
            <v>11</v>
          </cell>
          <cell r="G21">
            <v>7</v>
          </cell>
          <cell r="H21">
            <v>10</v>
          </cell>
          <cell r="I21">
            <v>13</v>
          </cell>
          <cell r="J21">
            <v>7</v>
          </cell>
          <cell r="K21">
            <v>7</v>
          </cell>
          <cell r="L21">
            <v>19</v>
          </cell>
          <cell r="M21">
            <v>11</v>
          </cell>
          <cell r="N21">
            <v>10</v>
          </cell>
          <cell r="O21">
            <v>9</v>
          </cell>
          <cell r="P21">
            <v>11</v>
          </cell>
          <cell r="Q21">
            <v>6</v>
          </cell>
          <cell r="R21">
            <v>7</v>
          </cell>
          <cell r="S21">
            <v>9</v>
          </cell>
          <cell r="T21">
            <v>10</v>
          </cell>
          <cell r="U21">
            <v>8</v>
          </cell>
          <cell r="V21">
            <v>8</v>
          </cell>
          <cell r="W21">
            <v>11</v>
          </cell>
          <cell r="X21">
            <v>6</v>
          </cell>
          <cell r="Y21">
            <v>10</v>
          </cell>
          <cell r="Z21">
            <v>8</v>
          </cell>
          <cell r="AA21">
            <v>9</v>
          </cell>
          <cell r="AB21">
            <v>9</v>
          </cell>
          <cell r="AC21">
            <v>8</v>
          </cell>
          <cell r="AD21">
            <v>11</v>
          </cell>
          <cell r="AE21">
            <v>6</v>
          </cell>
        </row>
        <row r="22">
          <cell r="B22">
            <v>29</v>
          </cell>
          <cell r="C22">
            <v>12</v>
          </cell>
          <cell r="D22">
            <v>15</v>
          </cell>
          <cell r="E22">
            <v>10</v>
          </cell>
          <cell r="F22">
            <v>12</v>
          </cell>
          <cell r="G22">
            <v>10</v>
          </cell>
          <cell r="H22">
            <v>12</v>
          </cell>
          <cell r="I22">
            <v>28</v>
          </cell>
          <cell r="J22">
            <v>12</v>
          </cell>
          <cell r="K22">
            <v>8</v>
          </cell>
          <cell r="L22">
            <v>21</v>
          </cell>
          <cell r="M22">
            <v>12</v>
          </cell>
          <cell r="N22">
            <v>19</v>
          </cell>
          <cell r="O22">
            <v>13</v>
          </cell>
          <cell r="P22">
            <v>24</v>
          </cell>
          <cell r="Q22">
            <v>10</v>
          </cell>
          <cell r="R22">
            <v>13</v>
          </cell>
          <cell r="S22">
            <v>8</v>
          </cell>
          <cell r="T22">
            <v>9</v>
          </cell>
          <cell r="U22">
            <v>7</v>
          </cell>
          <cell r="V22">
            <v>11</v>
          </cell>
          <cell r="W22">
            <v>25</v>
          </cell>
          <cell r="X22">
            <v>10</v>
          </cell>
          <cell r="Y22">
            <v>10</v>
          </cell>
          <cell r="Z22">
            <v>9</v>
          </cell>
          <cell r="AA22">
            <v>10</v>
          </cell>
          <cell r="AB22">
            <v>16</v>
          </cell>
          <cell r="AC22">
            <v>11</v>
          </cell>
          <cell r="AD22">
            <v>25</v>
          </cell>
          <cell r="AE22">
            <v>10</v>
          </cell>
        </row>
        <row r="23">
          <cell r="B23">
            <v>30</v>
          </cell>
          <cell r="C23">
            <v>19</v>
          </cell>
          <cell r="D23">
            <v>20</v>
          </cell>
          <cell r="E23">
            <v>15</v>
          </cell>
          <cell r="F23">
            <v>15</v>
          </cell>
          <cell r="G23">
            <v>16</v>
          </cell>
          <cell r="H23">
            <v>18</v>
          </cell>
          <cell r="I23">
            <v>29</v>
          </cell>
          <cell r="J23">
            <v>18</v>
          </cell>
          <cell r="K23">
            <v>16</v>
          </cell>
          <cell r="L23">
            <v>25</v>
          </cell>
          <cell r="M23">
            <v>15</v>
          </cell>
          <cell r="N23">
            <v>19</v>
          </cell>
          <cell r="O23">
            <v>12</v>
          </cell>
          <cell r="P23">
            <v>25</v>
          </cell>
          <cell r="Q23">
            <v>15</v>
          </cell>
          <cell r="R23">
            <v>16</v>
          </cell>
          <cell r="S23">
            <v>12</v>
          </cell>
          <cell r="T23">
            <v>13</v>
          </cell>
          <cell r="U23">
            <v>15</v>
          </cell>
          <cell r="V23">
            <v>11</v>
          </cell>
          <cell r="W23">
            <v>25</v>
          </cell>
          <cell r="X23">
            <v>16</v>
          </cell>
          <cell r="Y23">
            <v>15</v>
          </cell>
          <cell r="Z23">
            <v>13</v>
          </cell>
          <cell r="AA23">
            <v>13</v>
          </cell>
          <cell r="AB23">
            <v>17</v>
          </cell>
          <cell r="AC23">
            <v>11</v>
          </cell>
          <cell r="AD23">
            <v>25</v>
          </cell>
          <cell r="AE23">
            <v>16</v>
          </cell>
        </row>
        <row r="24">
          <cell r="B24">
            <v>34</v>
          </cell>
          <cell r="C24">
            <v>22</v>
          </cell>
          <cell r="D24">
            <v>21</v>
          </cell>
          <cell r="E24">
            <v>20</v>
          </cell>
          <cell r="F24">
            <v>18</v>
          </cell>
          <cell r="G24">
            <v>17</v>
          </cell>
          <cell r="H24">
            <v>20</v>
          </cell>
          <cell r="I24">
            <v>33</v>
          </cell>
          <cell r="J24">
            <v>21</v>
          </cell>
          <cell r="K24">
            <v>18</v>
          </cell>
          <cell r="L24">
            <v>22</v>
          </cell>
          <cell r="M24">
            <v>17</v>
          </cell>
          <cell r="N24">
            <v>23</v>
          </cell>
          <cell r="O24">
            <v>21</v>
          </cell>
          <cell r="P24">
            <v>29</v>
          </cell>
          <cell r="Q24">
            <v>18</v>
          </cell>
          <cell r="R24">
            <v>17</v>
          </cell>
          <cell r="S24">
            <v>17</v>
          </cell>
          <cell r="T24">
            <v>17</v>
          </cell>
          <cell r="U24">
            <v>20</v>
          </cell>
          <cell r="V24">
            <v>18</v>
          </cell>
          <cell r="W24">
            <v>29</v>
          </cell>
          <cell r="X24">
            <v>18</v>
          </cell>
          <cell r="Y24">
            <v>17</v>
          </cell>
          <cell r="Z24">
            <v>13</v>
          </cell>
          <cell r="AA24">
            <v>15</v>
          </cell>
          <cell r="AB24">
            <v>20</v>
          </cell>
          <cell r="AC24">
            <v>18</v>
          </cell>
          <cell r="AD24">
            <v>29</v>
          </cell>
          <cell r="AE24">
            <v>18</v>
          </cell>
        </row>
        <row r="25">
          <cell r="B25">
            <v>39</v>
          </cell>
          <cell r="C25">
            <v>21</v>
          </cell>
          <cell r="D25">
            <v>25</v>
          </cell>
          <cell r="E25">
            <v>22</v>
          </cell>
          <cell r="F25">
            <v>22</v>
          </cell>
          <cell r="G25">
            <v>24</v>
          </cell>
          <cell r="H25">
            <v>20</v>
          </cell>
          <cell r="I25">
            <v>38</v>
          </cell>
          <cell r="J25">
            <v>20</v>
          </cell>
          <cell r="K25">
            <v>21</v>
          </cell>
          <cell r="L25">
            <v>26</v>
          </cell>
          <cell r="M25">
            <v>22</v>
          </cell>
          <cell r="N25">
            <v>23</v>
          </cell>
          <cell r="O25">
            <v>20</v>
          </cell>
          <cell r="P25">
            <v>32</v>
          </cell>
          <cell r="Q25">
            <v>18</v>
          </cell>
          <cell r="R25">
            <v>21</v>
          </cell>
          <cell r="S25">
            <v>18</v>
          </cell>
          <cell r="T25">
            <v>13</v>
          </cell>
          <cell r="U25">
            <v>18</v>
          </cell>
          <cell r="V25">
            <v>17</v>
          </cell>
          <cell r="W25">
            <v>33</v>
          </cell>
          <cell r="X25">
            <v>18</v>
          </cell>
          <cell r="Y25">
            <v>19</v>
          </cell>
          <cell r="Z25">
            <v>19</v>
          </cell>
          <cell r="AA25">
            <v>19</v>
          </cell>
          <cell r="AB25">
            <v>20</v>
          </cell>
          <cell r="AC25">
            <v>18</v>
          </cell>
          <cell r="AD25">
            <v>33</v>
          </cell>
          <cell r="AE25">
            <v>18</v>
          </cell>
        </row>
        <row r="26">
          <cell r="B26">
            <v>45</v>
          </cell>
          <cell r="C26">
            <v>26</v>
          </cell>
          <cell r="D26">
            <v>19</v>
          </cell>
          <cell r="E26">
            <v>24</v>
          </cell>
          <cell r="F26">
            <v>20</v>
          </cell>
          <cell r="G26">
            <v>24</v>
          </cell>
          <cell r="H26">
            <v>27</v>
          </cell>
          <cell r="I26">
            <v>44</v>
          </cell>
          <cell r="J26">
            <v>25</v>
          </cell>
          <cell r="K26">
            <v>22</v>
          </cell>
          <cell r="L26">
            <v>24</v>
          </cell>
          <cell r="M26">
            <v>19</v>
          </cell>
          <cell r="N26">
            <v>24</v>
          </cell>
          <cell r="O26">
            <v>19</v>
          </cell>
          <cell r="P26">
            <v>38</v>
          </cell>
          <cell r="Q26">
            <v>22</v>
          </cell>
          <cell r="R26">
            <v>16</v>
          </cell>
          <cell r="S26">
            <v>20</v>
          </cell>
          <cell r="T26">
            <v>20</v>
          </cell>
          <cell r="U26">
            <v>26</v>
          </cell>
          <cell r="V26">
            <v>16</v>
          </cell>
          <cell r="W26">
            <v>38</v>
          </cell>
          <cell r="X26">
            <v>22</v>
          </cell>
          <cell r="Y26">
            <v>21</v>
          </cell>
          <cell r="Z26">
            <v>22</v>
          </cell>
          <cell r="AA26">
            <v>17</v>
          </cell>
          <cell r="AB26">
            <v>21</v>
          </cell>
          <cell r="AC26">
            <v>17</v>
          </cell>
          <cell r="AD26">
            <v>38</v>
          </cell>
          <cell r="AE26">
            <v>22</v>
          </cell>
        </row>
        <row r="27">
          <cell r="B27">
            <v>40</v>
          </cell>
          <cell r="C27">
            <v>26</v>
          </cell>
          <cell r="D27">
            <v>26</v>
          </cell>
          <cell r="E27">
            <v>24</v>
          </cell>
          <cell r="F27">
            <v>21</v>
          </cell>
          <cell r="G27">
            <v>20</v>
          </cell>
          <cell r="H27">
            <v>21</v>
          </cell>
          <cell r="I27">
            <v>39</v>
          </cell>
          <cell r="J27">
            <v>25</v>
          </cell>
          <cell r="K27">
            <v>19</v>
          </cell>
          <cell r="L27">
            <v>26</v>
          </cell>
          <cell r="M27">
            <v>21</v>
          </cell>
          <cell r="N27">
            <v>29</v>
          </cell>
          <cell r="O27">
            <v>8</v>
          </cell>
          <cell r="P27">
            <v>33</v>
          </cell>
          <cell r="Q27">
            <v>21</v>
          </cell>
          <cell r="R27">
            <v>21</v>
          </cell>
          <cell r="S27">
            <v>20</v>
          </cell>
          <cell r="T27">
            <v>20</v>
          </cell>
          <cell r="U27">
            <v>24</v>
          </cell>
          <cell r="V27">
            <v>7</v>
          </cell>
          <cell r="W27">
            <v>34</v>
          </cell>
          <cell r="X27">
            <v>22</v>
          </cell>
          <cell r="Y27">
            <v>21</v>
          </cell>
          <cell r="Z27">
            <v>23</v>
          </cell>
          <cell r="AA27">
            <v>18</v>
          </cell>
          <cell r="AB27">
            <v>25</v>
          </cell>
          <cell r="AC27">
            <v>7</v>
          </cell>
          <cell r="AD27">
            <v>34</v>
          </cell>
          <cell r="AE27">
            <v>22</v>
          </cell>
        </row>
        <row r="28">
          <cell r="B28">
            <v>46</v>
          </cell>
          <cell r="C28">
            <v>23</v>
          </cell>
          <cell r="D28">
            <v>30</v>
          </cell>
          <cell r="E28">
            <v>26</v>
          </cell>
          <cell r="F28">
            <v>31</v>
          </cell>
          <cell r="G28">
            <v>25</v>
          </cell>
          <cell r="H28">
            <v>10</v>
          </cell>
          <cell r="I28">
            <v>45</v>
          </cell>
          <cell r="J28">
            <v>22</v>
          </cell>
          <cell r="K28">
            <v>24</v>
          </cell>
          <cell r="L28">
            <v>25</v>
          </cell>
          <cell r="M28">
            <v>30</v>
          </cell>
          <cell r="N28">
            <v>27</v>
          </cell>
          <cell r="O28">
            <v>10</v>
          </cell>
          <cell r="P28">
            <v>38</v>
          </cell>
          <cell r="Q28">
            <v>19</v>
          </cell>
          <cell r="R28">
            <v>25</v>
          </cell>
          <cell r="S28">
            <v>22</v>
          </cell>
          <cell r="T28">
            <v>24</v>
          </cell>
          <cell r="U28">
            <v>27</v>
          </cell>
          <cell r="V28">
            <v>8</v>
          </cell>
          <cell r="W28">
            <v>39</v>
          </cell>
          <cell r="X28">
            <v>19</v>
          </cell>
          <cell r="Y28">
            <v>21</v>
          </cell>
          <cell r="Z28">
            <v>19</v>
          </cell>
          <cell r="AA28">
            <v>26</v>
          </cell>
          <cell r="AB28">
            <v>23</v>
          </cell>
          <cell r="AC28">
            <v>8</v>
          </cell>
          <cell r="AD28">
            <v>39</v>
          </cell>
          <cell r="AE28">
            <v>19</v>
          </cell>
        </row>
        <row r="29">
          <cell r="B29">
            <v>53</v>
          </cell>
          <cell r="C29">
            <v>28</v>
          </cell>
          <cell r="D29">
            <v>32</v>
          </cell>
          <cell r="E29">
            <v>27</v>
          </cell>
          <cell r="F29">
            <v>36</v>
          </cell>
          <cell r="G29">
            <v>29</v>
          </cell>
          <cell r="H29">
            <v>11</v>
          </cell>
          <cell r="I29">
            <v>51</v>
          </cell>
          <cell r="J29">
            <v>27</v>
          </cell>
          <cell r="K29">
            <v>29</v>
          </cell>
          <cell r="L29">
            <v>30</v>
          </cell>
          <cell r="M29">
            <v>35</v>
          </cell>
          <cell r="N29">
            <v>34</v>
          </cell>
          <cell r="O29">
            <v>26</v>
          </cell>
          <cell r="P29">
            <v>44</v>
          </cell>
          <cell r="Q29">
            <v>23</v>
          </cell>
          <cell r="R29">
            <v>26</v>
          </cell>
          <cell r="S29">
            <v>23</v>
          </cell>
          <cell r="T29">
            <v>24</v>
          </cell>
          <cell r="U29">
            <v>23</v>
          </cell>
          <cell r="V29">
            <v>23</v>
          </cell>
          <cell r="W29">
            <v>44</v>
          </cell>
          <cell r="X29">
            <v>23</v>
          </cell>
          <cell r="Y29">
            <v>19</v>
          </cell>
          <cell r="Z29">
            <v>27</v>
          </cell>
          <cell r="AA29">
            <v>30</v>
          </cell>
          <cell r="AB29">
            <v>30</v>
          </cell>
          <cell r="AC29">
            <v>23</v>
          </cell>
          <cell r="AD29">
            <v>44</v>
          </cell>
          <cell r="AE29">
            <v>23</v>
          </cell>
        </row>
        <row r="30">
          <cell r="B30">
            <v>49</v>
          </cell>
          <cell r="C30">
            <v>32</v>
          </cell>
          <cell r="D30">
            <v>26</v>
          </cell>
          <cell r="E30">
            <v>30</v>
          </cell>
          <cell r="F30">
            <v>34</v>
          </cell>
          <cell r="G30">
            <v>35</v>
          </cell>
          <cell r="H30">
            <v>42</v>
          </cell>
          <cell r="I30">
            <v>48</v>
          </cell>
          <cell r="J30">
            <v>31</v>
          </cell>
          <cell r="K30">
            <v>25</v>
          </cell>
          <cell r="L30">
            <v>26</v>
          </cell>
          <cell r="M30">
            <v>33</v>
          </cell>
          <cell r="N30">
            <v>27</v>
          </cell>
          <cell r="O30">
            <v>32</v>
          </cell>
          <cell r="P30">
            <v>41</v>
          </cell>
          <cell r="Q30">
            <v>27</v>
          </cell>
          <cell r="R30">
            <v>22</v>
          </cell>
          <cell r="S30">
            <v>25</v>
          </cell>
          <cell r="T30">
            <v>25</v>
          </cell>
          <cell r="U30">
            <v>29</v>
          </cell>
          <cell r="V30">
            <v>27</v>
          </cell>
          <cell r="W30">
            <v>42</v>
          </cell>
          <cell r="X30">
            <v>27</v>
          </cell>
          <cell r="Y30">
            <v>26</v>
          </cell>
          <cell r="Z30">
            <v>29</v>
          </cell>
          <cell r="AA30">
            <v>29</v>
          </cell>
          <cell r="AB30">
            <v>24</v>
          </cell>
          <cell r="AC30">
            <v>28</v>
          </cell>
          <cell r="AD30">
            <v>42</v>
          </cell>
          <cell r="AE30">
            <v>27</v>
          </cell>
        </row>
        <row r="31">
          <cell r="B31">
            <v>47</v>
          </cell>
          <cell r="C31">
            <v>37</v>
          </cell>
          <cell r="D31">
            <v>29</v>
          </cell>
          <cell r="E31">
            <v>29</v>
          </cell>
          <cell r="F31">
            <v>31</v>
          </cell>
          <cell r="G31">
            <v>30</v>
          </cell>
          <cell r="H31">
            <v>42</v>
          </cell>
          <cell r="I31">
            <v>46</v>
          </cell>
          <cell r="J31">
            <v>36</v>
          </cell>
          <cell r="K31">
            <v>32</v>
          </cell>
          <cell r="L31">
            <v>28</v>
          </cell>
          <cell r="M31">
            <v>30</v>
          </cell>
          <cell r="N31">
            <v>34</v>
          </cell>
          <cell r="O31">
            <v>34</v>
          </cell>
          <cell r="P31">
            <v>39</v>
          </cell>
          <cell r="Q31">
            <v>31</v>
          </cell>
          <cell r="R31">
            <v>24</v>
          </cell>
          <cell r="S31">
            <v>24</v>
          </cell>
          <cell r="T31">
            <v>25</v>
          </cell>
          <cell r="U31">
            <v>26</v>
          </cell>
          <cell r="V31">
            <v>29</v>
          </cell>
          <cell r="W31">
            <v>40</v>
          </cell>
          <cell r="X31">
            <v>31</v>
          </cell>
          <cell r="Y31">
            <v>24</v>
          </cell>
          <cell r="Z31">
            <v>27</v>
          </cell>
          <cell r="AA31">
            <v>26</v>
          </cell>
          <cell r="AB31">
            <v>29</v>
          </cell>
          <cell r="AC31">
            <v>30</v>
          </cell>
          <cell r="AD31">
            <v>40</v>
          </cell>
          <cell r="AE31">
            <v>31</v>
          </cell>
        </row>
        <row r="32">
          <cell r="B32">
            <v>48</v>
          </cell>
          <cell r="C32">
            <v>31</v>
          </cell>
          <cell r="D32">
            <v>29</v>
          </cell>
          <cell r="E32">
            <v>29</v>
          </cell>
          <cell r="F32">
            <v>26</v>
          </cell>
          <cell r="G32">
            <v>31</v>
          </cell>
          <cell r="H32">
            <v>38</v>
          </cell>
          <cell r="I32">
            <v>46</v>
          </cell>
          <cell r="J32">
            <v>30</v>
          </cell>
          <cell r="K32">
            <v>28</v>
          </cell>
          <cell r="L32">
            <v>26</v>
          </cell>
          <cell r="M32">
            <v>25</v>
          </cell>
          <cell r="N32">
            <v>31</v>
          </cell>
          <cell r="O32">
            <v>38</v>
          </cell>
          <cell r="P32">
            <v>40</v>
          </cell>
          <cell r="Q32">
            <v>26</v>
          </cell>
          <cell r="R32">
            <v>24</v>
          </cell>
          <cell r="S32">
            <v>24</v>
          </cell>
          <cell r="T32">
            <v>29</v>
          </cell>
          <cell r="U32">
            <v>25</v>
          </cell>
          <cell r="V32">
            <v>32</v>
          </cell>
          <cell r="W32">
            <v>40</v>
          </cell>
          <cell r="X32">
            <v>26</v>
          </cell>
          <cell r="Y32">
            <v>30</v>
          </cell>
          <cell r="Z32">
            <v>28</v>
          </cell>
          <cell r="AA32">
            <v>22</v>
          </cell>
          <cell r="AB32">
            <v>27</v>
          </cell>
          <cell r="AC32">
            <v>33</v>
          </cell>
          <cell r="AD32">
            <v>40</v>
          </cell>
          <cell r="AE32">
            <v>26</v>
          </cell>
        </row>
        <row r="33">
          <cell r="B33">
            <v>46</v>
          </cell>
          <cell r="C33">
            <v>31</v>
          </cell>
          <cell r="D33">
            <v>29</v>
          </cell>
          <cell r="E33">
            <v>24</v>
          </cell>
          <cell r="F33">
            <v>29</v>
          </cell>
          <cell r="G33">
            <v>30</v>
          </cell>
          <cell r="H33">
            <v>42</v>
          </cell>
          <cell r="I33">
            <v>44</v>
          </cell>
          <cell r="J33">
            <v>30</v>
          </cell>
          <cell r="K33">
            <v>29</v>
          </cell>
          <cell r="L33">
            <v>24</v>
          </cell>
          <cell r="M33">
            <v>29</v>
          </cell>
          <cell r="N33">
            <v>24</v>
          </cell>
          <cell r="O33">
            <v>31</v>
          </cell>
          <cell r="P33">
            <v>38</v>
          </cell>
          <cell r="Q33">
            <v>26</v>
          </cell>
          <cell r="R33">
            <v>24</v>
          </cell>
          <cell r="S33">
            <v>20</v>
          </cell>
          <cell r="T33">
            <v>28</v>
          </cell>
          <cell r="U33">
            <v>27</v>
          </cell>
          <cell r="V33">
            <v>26</v>
          </cell>
          <cell r="W33">
            <v>39</v>
          </cell>
          <cell r="X33">
            <v>26</v>
          </cell>
          <cell r="Y33">
            <v>27</v>
          </cell>
          <cell r="Z33">
            <v>28</v>
          </cell>
          <cell r="AA33">
            <v>25</v>
          </cell>
          <cell r="AB33">
            <v>21</v>
          </cell>
          <cell r="AC33">
            <v>27</v>
          </cell>
          <cell r="AD33">
            <v>39</v>
          </cell>
          <cell r="AE33">
            <v>26</v>
          </cell>
        </row>
        <row r="34">
          <cell r="B34">
            <v>52</v>
          </cell>
          <cell r="C34">
            <v>32</v>
          </cell>
          <cell r="D34">
            <v>25</v>
          </cell>
          <cell r="E34">
            <v>30</v>
          </cell>
          <cell r="F34">
            <v>35</v>
          </cell>
          <cell r="G34">
            <v>30</v>
          </cell>
          <cell r="H34">
            <v>32</v>
          </cell>
          <cell r="I34">
            <v>50</v>
          </cell>
          <cell r="J34">
            <v>31</v>
          </cell>
          <cell r="K34">
            <v>32</v>
          </cell>
          <cell r="L34">
            <v>27</v>
          </cell>
          <cell r="M34">
            <v>34</v>
          </cell>
          <cell r="N34">
            <v>29</v>
          </cell>
          <cell r="O34">
            <v>38</v>
          </cell>
          <cell r="P34">
            <v>43</v>
          </cell>
          <cell r="Q34">
            <v>27</v>
          </cell>
          <cell r="R34">
            <v>21</v>
          </cell>
          <cell r="S34">
            <v>25</v>
          </cell>
          <cell r="T34">
            <v>27</v>
          </cell>
          <cell r="U34">
            <v>27</v>
          </cell>
          <cell r="V34">
            <v>33</v>
          </cell>
          <cell r="W34">
            <v>44</v>
          </cell>
          <cell r="X34">
            <v>27</v>
          </cell>
          <cell r="Y34">
            <v>29</v>
          </cell>
          <cell r="Z34">
            <v>26</v>
          </cell>
          <cell r="AA34">
            <v>30</v>
          </cell>
          <cell r="AB34">
            <v>25</v>
          </cell>
          <cell r="AC34">
            <v>33</v>
          </cell>
          <cell r="AD34">
            <v>44</v>
          </cell>
          <cell r="AE34">
            <v>27</v>
          </cell>
        </row>
        <row r="35">
          <cell r="B35">
            <v>59</v>
          </cell>
          <cell r="C35">
            <v>29</v>
          </cell>
          <cell r="D35">
            <v>30</v>
          </cell>
          <cell r="E35">
            <v>27</v>
          </cell>
          <cell r="F35">
            <v>25</v>
          </cell>
          <cell r="G35">
            <v>28</v>
          </cell>
          <cell r="H35">
            <v>31</v>
          </cell>
          <cell r="I35">
            <v>57</v>
          </cell>
          <cell r="J35">
            <v>28</v>
          </cell>
          <cell r="K35">
            <v>29</v>
          </cell>
          <cell r="L35">
            <v>26</v>
          </cell>
          <cell r="M35">
            <v>24</v>
          </cell>
          <cell r="N35">
            <v>26</v>
          </cell>
          <cell r="O35">
            <v>36</v>
          </cell>
          <cell r="P35">
            <v>49</v>
          </cell>
          <cell r="Q35">
            <v>24</v>
          </cell>
          <cell r="R35">
            <v>25</v>
          </cell>
          <cell r="S35">
            <v>23</v>
          </cell>
          <cell r="T35">
            <v>23</v>
          </cell>
          <cell r="U35">
            <v>17</v>
          </cell>
          <cell r="V35">
            <v>31</v>
          </cell>
          <cell r="W35">
            <v>50</v>
          </cell>
          <cell r="X35">
            <v>25</v>
          </cell>
          <cell r="Y35">
            <v>21</v>
          </cell>
          <cell r="Z35">
            <v>26</v>
          </cell>
          <cell r="AA35">
            <v>21</v>
          </cell>
          <cell r="AB35">
            <v>23</v>
          </cell>
          <cell r="AC35">
            <v>31</v>
          </cell>
          <cell r="AD35">
            <v>50</v>
          </cell>
          <cell r="AE35">
            <v>25</v>
          </cell>
        </row>
        <row r="36">
          <cell r="B36">
            <v>52</v>
          </cell>
          <cell r="C36">
            <v>27</v>
          </cell>
          <cell r="D36">
            <v>35</v>
          </cell>
          <cell r="E36">
            <v>25</v>
          </cell>
          <cell r="F36">
            <v>36</v>
          </cell>
          <cell r="G36">
            <v>33</v>
          </cell>
          <cell r="H36">
            <v>36</v>
          </cell>
          <cell r="I36">
            <v>50</v>
          </cell>
          <cell r="J36">
            <v>26</v>
          </cell>
          <cell r="K36">
            <v>30</v>
          </cell>
          <cell r="L36">
            <v>23</v>
          </cell>
          <cell r="M36">
            <v>35</v>
          </cell>
          <cell r="N36">
            <v>25</v>
          </cell>
          <cell r="O36">
            <v>36</v>
          </cell>
          <cell r="P36">
            <v>43</v>
          </cell>
          <cell r="Q36">
            <v>23</v>
          </cell>
          <cell r="R36">
            <v>29</v>
          </cell>
          <cell r="S36">
            <v>21</v>
          </cell>
          <cell r="T36">
            <v>28</v>
          </cell>
          <cell r="U36">
            <v>24</v>
          </cell>
          <cell r="V36">
            <v>31</v>
          </cell>
          <cell r="W36">
            <v>44</v>
          </cell>
          <cell r="X36">
            <v>23</v>
          </cell>
          <cell r="Y36">
            <v>26</v>
          </cell>
          <cell r="Z36">
            <v>24</v>
          </cell>
          <cell r="AA36">
            <v>30</v>
          </cell>
          <cell r="AB36">
            <v>22</v>
          </cell>
          <cell r="AC36">
            <v>32</v>
          </cell>
          <cell r="AD36">
            <v>44</v>
          </cell>
          <cell r="AE36">
            <v>23</v>
          </cell>
        </row>
        <row r="37">
          <cell r="B37">
            <v>52</v>
          </cell>
          <cell r="C37">
            <v>34</v>
          </cell>
          <cell r="D37">
            <v>28</v>
          </cell>
          <cell r="E37">
            <v>27</v>
          </cell>
          <cell r="F37">
            <v>30</v>
          </cell>
          <cell r="G37">
            <v>30</v>
          </cell>
          <cell r="H37">
            <v>39</v>
          </cell>
          <cell r="I37">
            <v>50</v>
          </cell>
          <cell r="J37">
            <v>33</v>
          </cell>
          <cell r="K37">
            <v>29</v>
          </cell>
          <cell r="L37">
            <v>24</v>
          </cell>
          <cell r="M37">
            <v>29</v>
          </cell>
          <cell r="N37">
            <v>27</v>
          </cell>
          <cell r="O37">
            <v>45</v>
          </cell>
          <cell r="P37">
            <v>43</v>
          </cell>
          <cell r="Q37">
            <v>28</v>
          </cell>
          <cell r="R37">
            <v>23</v>
          </cell>
          <cell r="S37">
            <v>22</v>
          </cell>
          <cell r="T37">
            <v>30</v>
          </cell>
          <cell r="U37">
            <v>28</v>
          </cell>
          <cell r="V37">
            <v>38</v>
          </cell>
          <cell r="W37">
            <v>44</v>
          </cell>
          <cell r="X37">
            <v>29</v>
          </cell>
          <cell r="Y37">
            <v>24</v>
          </cell>
          <cell r="Z37">
            <v>27</v>
          </cell>
          <cell r="AA37">
            <v>26</v>
          </cell>
          <cell r="AB37">
            <v>23</v>
          </cell>
          <cell r="AC37">
            <v>39</v>
          </cell>
          <cell r="AD37">
            <v>44</v>
          </cell>
          <cell r="AE37">
            <v>29</v>
          </cell>
        </row>
        <row r="38">
          <cell r="B38">
            <v>46</v>
          </cell>
          <cell r="C38">
            <v>28</v>
          </cell>
          <cell r="D38">
            <v>25</v>
          </cell>
          <cell r="E38">
            <v>23</v>
          </cell>
          <cell r="F38">
            <v>23</v>
          </cell>
          <cell r="G38">
            <v>29</v>
          </cell>
          <cell r="H38">
            <v>39</v>
          </cell>
          <cell r="I38">
            <v>45</v>
          </cell>
          <cell r="J38">
            <v>27</v>
          </cell>
          <cell r="K38">
            <v>24</v>
          </cell>
          <cell r="L38">
            <v>22</v>
          </cell>
          <cell r="M38">
            <v>22</v>
          </cell>
          <cell r="N38">
            <v>24</v>
          </cell>
          <cell r="O38">
            <v>37</v>
          </cell>
          <cell r="P38">
            <v>38</v>
          </cell>
          <cell r="Q38">
            <v>23</v>
          </cell>
          <cell r="R38">
            <v>21</v>
          </cell>
          <cell r="S38">
            <v>19</v>
          </cell>
          <cell r="T38">
            <v>23</v>
          </cell>
          <cell r="U38">
            <v>26</v>
          </cell>
          <cell r="V38">
            <v>32</v>
          </cell>
          <cell r="W38">
            <v>39</v>
          </cell>
          <cell r="X38">
            <v>24</v>
          </cell>
          <cell r="Y38">
            <v>23</v>
          </cell>
          <cell r="Z38">
            <v>23</v>
          </cell>
          <cell r="AA38">
            <v>19</v>
          </cell>
          <cell r="AB38">
            <v>21</v>
          </cell>
          <cell r="AC38">
            <v>32</v>
          </cell>
          <cell r="AD38">
            <v>39</v>
          </cell>
          <cell r="AE38">
            <v>24</v>
          </cell>
        </row>
        <row r="39">
          <cell r="B39">
            <v>63</v>
          </cell>
          <cell r="C39">
            <v>26</v>
          </cell>
          <cell r="D39">
            <v>31</v>
          </cell>
          <cell r="E39">
            <v>30</v>
          </cell>
          <cell r="F39">
            <v>26</v>
          </cell>
          <cell r="G39">
            <v>29</v>
          </cell>
          <cell r="H39">
            <v>43</v>
          </cell>
          <cell r="I39">
            <v>61</v>
          </cell>
          <cell r="J39">
            <v>25</v>
          </cell>
          <cell r="K39">
            <v>26</v>
          </cell>
          <cell r="L39">
            <v>25</v>
          </cell>
          <cell r="M39">
            <v>26</v>
          </cell>
          <cell r="N39">
            <v>24</v>
          </cell>
          <cell r="O39">
            <v>42</v>
          </cell>
          <cell r="P39">
            <v>53</v>
          </cell>
          <cell r="Q39">
            <v>22</v>
          </cell>
          <cell r="R39">
            <v>26</v>
          </cell>
          <cell r="S39">
            <v>25</v>
          </cell>
          <cell r="T39">
            <v>24</v>
          </cell>
          <cell r="U39">
            <v>21</v>
          </cell>
          <cell r="V39">
            <v>36</v>
          </cell>
          <cell r="W39">
            <v>54</v>
          </cell>
          <cell r="X39">
            <v>22</v>
          </cell>
          <cell r="Y39">
            <v>26</v>
          </cell>
          <cell r="Z39">
            <v>22</v>
          </cell>
          <cell r="AA39">
            <v>22</v>
          </cell>
          <cell r="AB39">
            <v>21</v>
          </cell>
          <cell r="AC39">
            <v>37</v>
          </cell>
          <cell r="AD39">
            <v>54</v>
          </cell>
          <cell r="AE39">
            <v>22</v>
          </cell>
        </row>
        <row r="40">
          <cell r="B40">
            <v>54</v>
          </cell>
          <cell r="C40">
            <v>27</v>
          </cell>
          <cell r="D40">
            <v>25</v>
          </cell>
          <cell r="E40">
            <v>30</v>
          </cell>
          <cell r="F40">
            <v>25</v>
          </cell>
          <cell r="G40">
            <v>24</v>
          </cell>
          <cell r="H40">
            <v>39</v>
          </cell>
          <cell r="I40">
            <v>52</v>
          </cell>
          <cell r="J40">
            <v>27</v>
          </cell>
          <cell r="K40">
            <v>26</v>
          </cell>
          <cell r="L40">
            <v>24</v>
          </cell>
          <cell r="M40">
            <v>24</v>
          </cell>
          <cell r="N40">
            <v>25</v>
          </cell>
          <cell r="O40">
            <v>43</v>
          </cell>
          <cell r="P40">
            <v>45</v>
          </cell>
          <cell r="Q40">
            <v>23</v>
          </cell>
          <cell r="R40">
            <v>21</v>
          </cell>
          <cell r="S40">
            <v>25</v>
          </cell>
          <cell r="T40">
            <v>19</v>
          </cell>
          <cell r="U40">
            <v>16</v>
          </cell>
          <cell r="V40">
            <v>37</v>
          </cell>
          <cell r="W40">
            <v>45</v>
          </cell>
          <cell r="X40">
            <v>23</v>
          </cell>
          <cell r="Y40">
            <v>22</v>
          </cell>
          <cell r="Z40">
            <v>19</v>
          </cell>
          <cell r="AA40">
            <v>21</v>
          </cell>
          <cell r="AB40">
            <v>22</v>
          </cell>
          <cell r="AC40">
            <v>37</v>
          </cell>
          <cell r="AD40">
            <v>45</v>
          </cell>
          <cell r="AE40">
            <v>23</v>
          </cell>
        </row>
        <row r="41">
          <cell r="B41">
            <v>49</v>
          </cell>
          <cell r="C41">
            <v>25</v>
          </cell>
          <cell r="D41">
            <v>24</v>
          </cell>
          <cell r="E41">
            <v>23</v>
          </cell>
          <cell r="F41">
            <v>23</v>
          </cell>
          <cell r="G41">
            <v>38</v>
          </cell>
          <cell r="H41">
            <v>29</v>
          </cell>
          <cell r="I41">
            <v>48</v>
          </cell>
          <cell r="J41">
            <v>24</v>
          </cell>
          <cell r="K41">
            <v>20</v>
          </cell>
          <cell r="L41">
            <v>21</v>
          </cell>
          <cell r="M41">
            <v>22</v>
          </cell>
          <cell r="N41">
            <v>25</v>
          </cell>
          <cell r="O41">
            <v>36</v>
          </cell>
          <cell r="P41">
            <v>41</v>
          </cell>
          <cell r="Q41">
            <v>21</v>
          </cell>
          <cell r="R41">
            <v>20</v>
          </cell>
          <cell r="S41">
            <v>19</v>
          </cell>
          <cell r="T41">
            <v>25</v>
          </cell>
          <cell r="U41">
            <v>25</v>
          </cell>
          <cell r="V41">
            <v>31</v>
          </cell>
          <cell r="W41">
            <v>41</v>
          </cell>
          <cell r="X41">
            <v>21</v>
          </cell>
          <cell r="Y41">
            <v>25</v>
          </cell>
          <cell r="Z41">
            <v>20</v>
          </cell>
          <cell r="AA41">
            <v>20</v>
          </cell>
          <cell r="AB41">
            <v>22</v>
          </cell>
          <cell r="AC41">
            <v>32</v>
          </cell>
          <cell r="AD41">
            <v>41</v>
          </cell>
          <cell r="AE41">
            <v>21</v>
          </cell>
        </row>
        <row r="42">
          <cell r="B42">
            <v>53</v>
          </cell>
          <cell r="C42">
            <v>24</v>
          </cell>
          <cell r="D42">
            <v>26</v>
          </cell>
          <cell r="E42">
            <v>24</v>
          </cell>
          <cell r="F42">
            <v>29</v>
          </cell>
          <cell r="G42">
            <v>22</v>
          </cell>
          <cell r="H42">
            <v>35</v>
          </cell>
          <cell r="I42">
            <v>51</v>
          </cell>
          <cell r="J42">
            <v>24</v>
          </cell>
          <cell r="K42">
            <v>27</v>
          </cell>
          <cell r="L42">
            <v>23</v>
          </cell>
          <cell r="M42">
            <v>28</v>
          </cell>
          <cell r="N42">
            <v>28</v>
          </cell>
          <cell r="O42">
            <v>43</v>
          </cell>
          <cell r="P42">
            <v>44</v>
          </cell>
          <cell r="Q42">
            <v>20</v>
          </cell>
          <cell r="R42">
            <v>21</v>
          </cell>
          <cell r="S42">
            <v>20</v>
          </cell>
          <cell r="T42">
            <v>18</v>
          </cell>
          <cell r="U42">
            <v>19</v>
          </cell>
          <cell r="V42">
            <v>37</v>
          </cell>
          <cell r="W42">
            <v>44</v>
          </cell>
          <cell r="X42">
            <v>21</v>
          </cell>
          <cell r="Y42">
            <v>23</v>
          </cell>
          <cell r="Z42">
            <v>20</v>
          </cell>
          <cell r="AA42">
            <v>24</v>
          </cell>
          <cell r="AB42">
            <v>25</v>
          </cell>
          <cell r="AC42">
            <v>37</v>
          </cell>
          <cell r="AD42">
            <v>44</v>
          </cell>
          <cell r="AE42">
            <v>21</v>
          </cell>
        </row>
        <row r="43">
          <cell r="B43">
            <v>52</v>
          </cell>
          <cell r="C43">
            <v>26</v>
          </cell>
          <cell r="D43">
            <v>28</v>
          </cell>
          <cell r="E43">
            <v>24</v>
          </cell>
          <cell r="F43">
            <v>26</v>
          </cell>
          <cell r="G43">
            <v>26</v>
          </cell>
          <cell r="H43">
            <v>36</v>
          </cell>
          <cell r="I43">
            <v>50</v>
          </cell>
          <cell r="J43">
            <v>25</v>
          </cell>
          <cell r="K43">
            <v>25</v>
          </cell>
          <cell r="L43">
            <v>24</v>
          </cell>
          <cell r="M43">
            <v>26</v>
          </cell>
          <cell r="N43">
            <v>28</v>
          </cell>
          <cell r="O43">
            <v>44</v>
          </cell>
          <cell r="P43">
            <v>43</v>
          </cell>
          <cell r="Q43">
            <v>22</v>
          </cell>
          <cell r="R43">
            <v>23</v>
          </cell>
          <cell r="S43">
            <v>20</v>
          </cell>
          <cell r="T43">
            <v>24</v>
          </cell>
          <cell r="U43">
            <v>16</v>
          </cell>
          <cell r="V43">
            <v>38</v>
          </cell>
          <cell r="W43">
            <v>44</v>
          </cell>
          <cell r="X43">
            <v>22</v>
          </cell>
          <cell r="Y43">
            <v>24</v>
          </cell>
          <cell r="Z43">
            <v>18</v>
          </cell>
          <cell r="AA43">
            <v>22</v>
          </cell>
          <cell r="AB43">
            <v>24</v>
          </cell>
          <cell r="AC43">
            <v>38</v>
          </cell>
          <cell r="AD43">
            <v>44</v>
          </cell>
          <cell r="AE43">
            <v>22</v>
          </cell>
        </row>
        <row r="44">
          <cell r="B44">
            <v>50</v>
          </cell>
          <cell r="C44">
            <v>60</v>
          </cell>
          <cell r="D44">
            <v>55</v>
          </cell>
          <cell r="E44">
            <v>52</v>
          </cell>
          <cell r="F44">
            <v>56</v>
          </cell>
          <cell r="G44">
            <v>34</v>
          </cell>
          <cell r="H44">
            <v>43</v>
          </cell>
          <cell r="I44">
            <v>49</v>
          </cell>
          <cell r="J44">
            <v>58</v>
          </cell>
          <cell r="K44">
            <v>49</v>
          </cell>
          <cell r="L44">
            <v>39</v>
          </cell>
          <cell r="M44">
            <v>54</v>
          </cell>
          <cell r="N44">
            <v>43</v>
          </cell>
          <cell r="O44">
            <v>44</v>
          </cell>
          <cell r="P44">
            <v>42</v>
          </cell>
          <cell r="Q44">
            <v>50</v>
          </cell>
          <cell r="R44">
            <v>46</v>
          </cell>
          <cell r="S44">
            <v>43</v>
          </cell>
          <cell r="T44">
            <v>44</v>
          </cell>
          <cell r="U44">
            <v>41</v>
          </cell>
          <cell r="V44">
            <v>38</v>
          </cell>
          <cell r="W44">
            <v>43</v>
          </cell>
          <cell r="X44">
            <v>51</v>
          </cell>
          <cell r="Y44">
            <v>45</v>
          </cell>
          <cell r="Z44">
            <v>38</v>
          </cell>
          <cell r="AA44">
            <v>47</v>
          </cell>
          <cell r="AB44">
            <v>38</v>
          </cell>
          <cell r="AC44">
            <v>39</v>
          </cell>
          <cell r="AD44">
            <v>43</v>
          </cell>
          <cell r="AE44">
            <v>51</v>
          </cell>
        </row>
        <row r="45">
          <cell r="B45">
            <v>48</v>
          </cell>
          <cell r="C45">
            <v>63</v>
          </cell>
          <cell r="D45">
            <v>54</v>
          </cell>
          <cell r="E45">
            <v>52</v>
          </cell>
          <cell r="F45">
            <v>51</v>
          </cell>
          <cell r="G45">
            <v>34</v>
          </cell>
          <cell r="H45">
            <v>44</v>
          </cell>
          <cell r="I45">
            <v>46</v>
          </cell>
          <cell r="J45">
            <v>61</v>
          </cell>
          <cell r="K45">
            <v>47</v>
          </cell>
          <cell r="L45">
            <v>46</v>
          </cell>
          <cell r="M45">
            <v>50</v>
          </cell>
          <cell r="N45">
            <v>41</v>
          </cell>
          <cell r="O45">
            <v>37</v>
          </cell>
          <cell r="P45">
            <v>40</v>
          </cell>
          <cell r="Q45">
            <v>53</v>
          </cell>
          <cell r="R45">
            <v>45</v>
          </cell>
          <cell r="S45">
            <v>43</v>
          </cell>
          <cell r="T45">
            <v>36</v>
          </cell>
          <cell r="U45">
            <v>43</v>
          </cell>
          <cell r="V45">
            <v>32</v>
          </cell>
          <cell r="W45">
            <v>40</v>
          </cell>
          <cell r="X45">
            <v>54</v>
          </cell>
          <cell r="Y45">
            <v>46</v>
          </cell>
          <cell r="Z45">
            <v>41</v>
          </cell>
          <cell r="AA45">
            <v>43</v>
          </cell>
          <cell r="AB45">
            <v>36</v>
          </cell>
          <cell r="AC45">
            <v>32</v>
          </cell>
          <cell r="AD45">
            <v>40</v>
          </cell>
          <cell r="AE45">
            <v>54</v>
          </cell>
        </row>
        <row r="46">
          <cell r="B46">
            <v>42</v>
          </cell>
          <cell r="C46">
            <v>46</v>
          </cell>
          <cell r="D46">
            <v>57</v>
          </cell>
          <cell r="E46">
            <v>50</v>
          </cell>
          <cell r="F46">
            <v>46</v>
          </cell>
          <cell r="G46">
            <v>33</v>
          </cell>
          <cell r="H46">
            <v>37</v>
          </cell>
          <cell r="I46">
            <v>40</v>
          </cell>
          <cell r="J46">
            <v>45</v>
          </cell>
          <cell r="K46">
            <v>50</v>
          </cell>
          <cell r="L46">
            <v>38</v>
          </cell>
          <cell r="M46">
            <v>45</v>
          </cell>
          <cell r="N46">
            <v>39</v>
          </cell>
          <cell r="O46">
            <v>38</v>
          </cell>
          <cell r="P46">
            <v>35</v>
          </cell>
          <cell r="Q46">
            <v>38</v>
          </cell>
          <cell r="R46">
            <v>48</v>
          </cell>
          <cell r="S46">
            <v>41</v>
          </cell>
          <cell r="T46">
            <v>42</v>
          </cell>
          <cell r="U46">
            <v>36</v>
          </cell>
          <cell r="V46">
            <v>33</v>
          </cell>
          <cell r="W46">
            <v>35</v>
          </cell>
          <cell r="X46">
            <v>39</v>
          </cell>
          <cell r="Y46">
            <v>48</v>
          </cell>
          <cell r="Z46">
            <v>30</v>
          </cell>
          <cell r="AA46">
            <v>39</v>
          </cell>
          <cell r="AB46">
            <v>34</v>
          </cell>
          <cell r="AC46">
            <v>33</v>
          </cell>
          <cell r="AD46">
            <v>35</v>
          </cell>
          <cell r="AE46">
            <v>39</v>
          </cell>
        </row>
        <row r="47">
          <cell r="B47">
            <v>39</v>
          </cell>
          <cell r="C47">
            <v>44</v>
          </cell>
          <cell r="D47">
            <v>57</v>
          </cell>
          <cell r="E47">
            <v>47</v>
          </cell>
          <cell r="F47">
            <v>49</v>
          </cell>
          <cell r="G47">
            <v>34</v>
          </cell>
          <cell r="H47">
            <v>30</v>
          </cell>
          <cell r="I47">
            <v>38</v>
          </cell>
          <cell r="J47">
            <v>43</v>
          </cell>
          <cell r="K47">
            <v>51</v>
          </cell>
          <cell r="L47">
            <v>43</v>
          </cell>
          <cell r="M47">
            <v>48</v>
          </cell>
          <cell r="N47">
            <v>34</v>
          </cell>
          <cell r="O47">
            <v>29</v>
          </cell>
          <cell r="P47">
            <v>33</v>
          </cell>
          <cell r="Q47">
            <v>37</v>
          </cell>
          <cell r="R47">
            <v>47</v>
          </cell>
          <cell r="S47">
            <v>39</v>
          </cell>
          <cell r="T47">
            <v>34</v>
          </cell>
          <cell r="U47">
            <v>32</v>
          </cell>
          <cell r="V47">
            <v>25</v>
          </cell>
          <cell r="W47">
            <v>33</v>
          </cell>
          <cell r="X47">
            <v>37</v>
          </cell>
          <cell r="Y47">
            <v>37</v>
          </cell>
          <cell r="Z47">
            <v>35</v>
          </cell>
          <cell r="AA47">
            <v>41</v>
          </cell>
          <cell r="AB47">
            <v>30</v>
          </cell>
          <cell r="AC47">
            <v>25</v>
          </cell>
          <cell r="AD47">
            <v>33</v>
          </cell>
          <cell r="AE47">
            <v>37</v>
          </cell>
        </row>
        <row r="48">
          <cell r="B48">
            <v>36</v>
          </cell>
          <cell r="C48">
            <v>36</v>
          </cell>
          <cell r="D48">
            <v>38</v>
          </cell>
          <cell r="E48">
            <v>36</v>
          </cell>
          <cell r="F48">
            <v>38</v>
          </cell>
          <cell r="G48">
            <v>43</v>
          </cell>
          <cell r="H48">
            <v>49</v>
          </cell>
          <cell r="I48">
            <v>35</v>
          </cell>
          <cell r="J48">
            <v>35</v>
          </cell>
          <cell r="K48">
            <v>51</v>
          </cell>
          <cell r="L48">
            <v>41</v>
          </cell>
          <cell r="M48">
            <v>37</v>
          </cell>
          <cell r="N48">
            <v>34</v>
          </cell>
          <cell r="O48">
            <v>28</v>
          </cell>
          <cell r="P48">
            <v>30</v>
          </cell>
          <cell r="Q48">
            <v>30</v>
          </cell>
          <cell r="R48">
            <v>32</v>
          </cell>
          <cell r="S48">
            <v>30</v>
          </cell>
          <cell r="T48">
            <v>34</v>
          </cell>
          <cell r="U48">
            <v>35</v>
          </cell>
          <cell r="V48">
            <v>24</v>
          </cell>
          <cell r="W48">
            <v>30</v>
          </cell>
          <cell r="X48">
            <v>31</v>
          </cell>
          <cell r="Y48">
            <v>34</v>
          </cell>
          <cell r="Z48">
            <v>34</v>
          </cell>
          <cell r="AA48">
            <v>32</v>
          </cell>
          <cell r="AB48">
            <v>30</v>
          </cell>
          <cell r="AC48">
            <v>25</v>
          </cell>
          <cell r="AD48">
            <v>30</v>
          </cell>
          <cell r="AE48">
            <v>31</v>
          </cell>
        </row>
        <row r="49">
          <cell r="B49">
            <v>33</v>
          </cell>
          <cell r="C49">
            <v>30</v>
          </cell>
          <cell r="D49">
            <v>30</v>
          </cell>
          <cell r="E49">
            <v>35</v>
          </cell>
          <cell r="F49">
            <v>31</v>
          </cell>
          <cell r="G49">
            <v>43</v>
          </cell>
          <cell r="H49">
            <v>32</v>
          </cell>
          <cell r="I49">
            <v>32</v>
          </cell>
          <cell r="J49">
            <v>29</v>
          </cell>
          <cell r="K49">
            <v>45</v>
          </cell>
          <cell r="L49">
            <v>23</v>
          </cell>
          <cell r="M49">
            <v>30</v>
          </cell>
          <cell r="N49">
            <v>32</v>
          </cell>
          <cell r="O49">
            <v>27</v>
          </cell>
          <cell r="P49">
            <v>27</v>
          </cell>
          <cell r="Q49">
            <v>25</v>
          </cell>
          <cell r="R49">
            <v>25</v>
          </cell>
          <cell r="S49">
            <v>29</v>
          </cell>
          <cell r="T49">
            <v>27</v>
          </cell>
          <cell r="U49">
            <v>22</v>
          </cell>
          <cell r="V49">
            <v>23</v>
          </cell>
          <cell r="W49">
            <v>28</v>
          </cell>
          <cell r="X49">
            <v>25</v>
          </cell>
          <cell r="Y49">
            <v>28</v>
          </cell>
          <cell r="Z49">
            <v>25</v>
          </cell>
          <cell r="AA49">
            <v>26</v>
          </cell>
          <cell r="AB49">
            <v>28</v>
          </cell>
          <cell r="AC49">
            <v>24</v>
          </cell>
          <cell r="AD49">
            <v>28</v>
          </cell>
          <cell r="AE49">
            <v>25</v>
          </cell>
        </row>
        <row r="50">
          <cell r="B50">
            <v>26</v>
          </cell>
          <cell r="C50">
            <v>24</v>
          </cell>
          <cell r="D50">
            <v>28</v>
          </cell>
          <cell r="E50">
            <v>21</v>
          </cell>
          <cell r="F50">
            <v>26</v>
          </cell>
          <cell r="G50">
            <v>37</v>
          </cell>
          <cell r="H50">
            <v>24</v>
          </cell>
          <cell r="I50">
            <v>25</v>
          </cell>
          <cell r="J50">
            <v>23</v>
          </cell>
          <cell r="K50">
            <v>31</v>
          </cell>
          <cell r="L50">
            <v>25</v>
          </cell>
          <cell r="M50">
            <v>25</v>
          </cell>
          <cell r="N50">
            <v>26</v>
          </cell>
          <cell r="O50">
            <v>25</v>
          </cell>
          <cell r="P50">
            <v>21</v>
          </cell>
          <cell r="Q50">
            <v>20</v>
          </cell>
          <cell r="R50">
            <v>23</v>
          </cell>
          <cell r="S50">
            <v>17</v>
          </cell>
          <cell r="T50">
            <v>22</v>
          </cell>
          <cell r="U50">
            <v>18</v>
          </cell>
          <cell r="V50">
            <v>22</v>
          </cell>
          <cell r="W50">
            <v>22</v>
          </cell>
          <cell r="X50">
            <v>20</v>
          </cell>
          <cell r="Y50">
            <v>25</v>
          </cell>
          <cell r="Z50">
            <v>20</v>
          </cell>
          <cell r="AA50">
            <v>22</v>
          </cell>
          <cell r="AB50">
            <v>22</v>
          </cell>
          <cell r="AC50">
            <v>22</v>
          </cell>
          <cell r="AD50">
            <v>22</v>
          </cell>
          <cell r="AE50">
            <v>20</v>
          </cell>
        </row>
        <row r="51">
          <cell r="B51">
            <v>18</v>
          </cell>
          <cell r="C51">
            <v>22</v>
          </cell>
          <cell r="D51">
            <v>17</v>
          </cell>
          <cell r="E51">
            <v>19</v>
          </cell>
          <cell r="F51">
            <v>22</v>
          </cell>
          <cell r="G51">
            <v>44</v>
          </cell>
          <cell r="H51">
            <v>19</v>
          </cell>
          <cell r="I51">
            <v>18</v>
          </cell>
          <cell r="J51">
            <v>22</v>
          </cell>
          <cell r="K51">
            <v>31</v>
          </cell>
          <cell r="L51">
            <v>19</v>
          </cell>
          <cell r="M51">
            <v>18</v>
          </cell>
          <cell r="N51">
            <v>21</v>
          </cell>
          <cell r="O51">
            <v>19</v>
          </cell>
          <cell r="P51">
            <v>16</v>
          </cell>
          <cell r="Q51">
            <v>16</v>
          </cell>
          <cell r="R51">
            <v>16</v>
          </cell>
          <cell r="S51">
            <v>17</v>
          </cell>
          <cell r="T51">
            <v>18</v>
          </cell>
          <cell r="U51">
            <v>16</v>
          </cell>
          <cell r="V51">
            <v>17</v>
          </cell>
          <cell r="W51">
            <v>16</v>
          </cell>
          <cell r="X51">
            <v>19</v>
          </cell>
          <cell r="Y51">
            <v>19</v>
          </cell>
          <cell r="Z51">
            <v>17</v>
          </cell>
          <cell r="AA51">
            <v>20</v>
          </cell>
          <cell r="AB51">
            <v>18</v>
          </cell>
          <cell r="AC51">
            <v>16</v>
          </cell>
          <cell r="AD51">
            <v>16</v>
          </cell>
          <cell r="AE51">
            <v>18</v>
          </cell>
        </row>
      </sheetData>
      <sheetData sheetId="3">
        <row r="2">
          <cell r="B2">
            <v>45962</v>
          </cell>
          <cell r="C2">
            <v>45963</v>
          </cell>
          <cell r="D2">
            <v>45964</v>
          </cell>
          <cell r="E2">
            <v>45965</v>
          </cell>
          <cell r="F2">
            <v>45966</v>
          </cell>
          <cell r="G2">
            <v>45967</v>
          </cell>
          <cell r="H2">
            <v>45968</v>
          </cell>
          <cell r="I2">
            <v>45969</v>
          </cell>
          <cell r="J2">
            <v>45970</v>
          </cell>
          <cell r="K2">
            <v>45971</v>
          </cell>
          <cell r="L2">
            <v>45972</v>
          </cell>
          <cell r="M2">
            <v>45973</v>
          </cell>
          <cell r="N2">
            <v>45974</v>
          </cell>
          <cell r="O2">
            <v>45975</v>
          </cell>
          <cell r="P2">
            <v>45976</v>
          </cell>
          <cell r="Q2">
            <v>45977</v>
          </cell>
          <cell r="R2">
            <v>45978</v>
          </cell>
          <cell r="S2">
            <v>45979</v>
          </cell>
          <cell r="T2">
            <v>45980</v>
          </cell>
          <cell r="U2">
            <v>45981</v>
          </cell>
          <cell r="V2">
            <v>45982</v>
          </cell>
          <cell r="W2">
            <v>45983</v>
          </cell>
          <cell r="X2">
            <v>45984</v>
          </cell>
          <cell r="Y2">
            <v>45985</v>
          </cell>
          <cell r="Z2">
            <v>45986</v>
          </cell>
          <cell r="AA2">
            <v>45987</v>
          </cell>
          <cell r="AB2">
            <v>45988</v>
          </cell>
          <cell r="AC2">
            <v>45989</v>
          </cell>
          <cell r="AD2">
            <v>45990</v>
          </cell>
          <cell r="AE2">
            <v>45991</v>
          </cell>
        </row>
        <row r="3">
          <cell r="B3">
            <v>603</v>
          </cell>
          <cell r="C3">
            <v>646</v>
          </cell>
          <cell r="D3">
            <v>766</v>
          </cell>
          <cell r="E3">
            <v>811</v>
          </cell>
          <cell r="F3">
            <v>835</v>
          </cell>
          <cell r="G3">
            <v>784</v>
          </cell>
          <cell r="H3">
            <v>697</v>
          </cell>
          <cell r="I3">
            <v>588</v>
          </cell>
          <cell r="J3">
            <v>636</v>
          </cell>
          <cell r="K3">
            <v>755</v>
          </cell>
          <cell r="L3">
            <v>790</v>
          </cell>
          <cell r="M3">
            <v>817</v>
          </cell>
          <cell r="N3">
            <v>772</v>
          </cell>
          <cell r="O3">
            <v>684</v>
          </cell>
          <cell r="P3">
            <v>531</v>
          </cell>
          <cell r="Q3">
            <v>574</v>
          </cell>
          <cell r="R3">
            <v>679</v>
          </cell>
          <cell r="S3">
            <v>712</v>
          </cell>
          <cell r="T3">
            <v>740</v>
          </cell>
          <cell r="U3">
            <v>696</v>
          </cell>
          <cell r="V3">
            <v>617</v>
          </cell>
          <cell r="W3">
            <v>588</v>
          </cell>
          <cell r="X3">
            <v>636</v>
          </cell>
          <cell r="Y3">
            <v>755</v>
          </cell>
          <cell r="Z3">
            <v>790</v>
          </cell>
          <cell r="AA3">
            <v>817</v>
          </cell>
          <cell r="AB3">
            <v>772</v>
          </cell>
          <cell r="AC3">
            <v>684</v>
          </cell>
          <cell r="AD3">
            <v>588</v>
          </cell>
          <cell r="AE3">
            <v>637</v>
          </cell>
        </row>
        <row r="4">
          <cell r="B4">
            <v>12</v>
          </cell>
          <cell r="C4">
            <v>14</v>
          </cell>
          <cell r="D4">
            <v>12</v>
          </cell>
          <cell r="E4">
            <v>11</v>
          </cell>
          <cell r="F4">
            <v>10</v>
          </cell>
          <cell r="G4">
            <v>14</v>
          </cell>
          <cell r="H4">
            <v>14</v>
          </cell>
          <cell r="I4">
            <v>12</v>
          </cell>
          <cell r="J4">
            <v>14</v>
          </cell>
          <cell r="K4">
            <v>12</v>
          </cell>
          <cell r="L4">
            <v>10</v>
          </cell>
          <cell r="M4">
            <v>10</v>
          </cell>
          <cell r="N4">
            <v>14</v>
          </cell>
          <cell r="O4">
            <v>14</v>
          </cell>
          <cell r="P4">
            <v>11</v>
          </cell>
          <cell r="Q4">
            <v>12</v>
          </cell>
          <cell r="R4">
            <v>11</v>
          </cell>
          <cell r="S4">
            <v>9</v>
          </cell>
          <cell r="T4">
            <v>9</v>
          </cell>
          <cell r="U4">
            <v>12</v>
          </cell>
          <cell r="V4">
            <v>12</v>
          </cell>
          <cell r="W4">
            <v>12</v>
          </cell>
          <cell r="X4">
            <v>14</v>
          </cell>
          <cell r="Y4">
            <v>12</v>
          </cell>
          <cell r="Z4">
            <v>10</v>
          </cell>
          <cell r="AA4">
            <v>10</v>
          </cell>
          <cell r="AB4">
            <v>14</v>
          </cell>
          <cell r="AC4">
            <v>14</v>
          </cell>
          <cell r="AD4">
            <v>12</v>
          </cell>
          <cell r="AE4">
            <v>14</v>
          </cell>
        </row>
        <row r="5">
          <cell r="B5">
            <v>8</v>
          </cell>
          <cell r="C5">
            <v>8</v>
          </cell>
          <cell r="D5">
            <v>10</v>
          </cell>
          <cell r="E5">
            <v>10</v>
          </cell>
          <cell r="F5">
            <v>12</v>
          </cell>
          <cell r="G5">
            <v>10</v>
          </cell>
          <cell r="H5">
            <v>14</v>
          </cell>
          <cell r="I5">
            <v>8</v>
          </cell>
          <cell r="J5">
            <v>8</v>
          </cell>
          <cell r="K5">
            <v>10</v>
          </cell>
          <cell r="L5">
            <v>10</v>
          </cell>
          <cell r="M5">
            <v>12</v>
          </cell>
          <cell r="N5">
            <v>10</v>
          </cell>
          <cell r="O5">
            <v>14</v>
          </cell>
          <cell r="P5">
            <v>7</v>
          </cell>
          <cell r="Q5">
            <v>7</v>
          </cell>
          <cell r="R5">
            <v>9</v>
          </cell>
          <cell r="S5">
            <v>9</v>
          </cell>
          <cell r="T5">
            <v>11</v>
          </cell>
          <cell r="U5">
            <v>9</v>
          </cell>
          <cell r="V5">
            <v>13</v>
          </cell>
          <cell r="W5">
            <v>8</v>
          </cell>
          <cell r="X5">
            <v>8</v>
          </cell>
          <cell r="Y5">
            <v>10</v>
          </cell>
          <cell r="Z5">
            <v>10</v>
          </cell>
          <cell r="AA5">
            <v>12</v>
          </cell>
          <cell r="AB5">
            <v>10</v>
          </cell>
          <cell r="AC5">
            <v>14</v>
          </cell>
          <cell r="AD5">
            <v>8</v>
          </cell>
          <cell r="AE5">
            <v>8</v>
          </cell>
        </row>
        <row r="6">
          <cell r="B6">
            <v>7</v>
          </cell>
          <cell r="C6">
            <v>6</v>
          </cell>
          <cell r="D6">
            <v>8</v>
          </cell>
          <cell r="E6">
            <v>8</v>
          </cell>
          <cell r="F6">
            <v>7</v>
          </cell>
          <cell r="G6">
            <v>7</v>
          </cell>
          <cell r="H6">
            <v>12</v>
          </cell>
          <cell r="I6">
            <v>7</v>
          </cell>
          <cell r="J6">
            <v>6</v>
          </cell>
          <cell r="K6">
            <v>8</v>
          </cell>
          <cell r="L6">
            <v>8</v>
          </cell>
          <cell r="M6">
            <v>7</v>
          </cell>
          <cell r="N6">
            <v>7</v>
          </cell>
          <cell r="O6">
            <v>11</v>
          </cell>
          <cell r="P6">
            <v>6</v>
          </cell>
          <cell r="Q6">
            <v>5</v>
          </cell>
          <cell r="R6">
            <v>7</v>
          </cell>
          <cell r="S6">
            <v>7</v>
          </cell>
          <cell r="T6">
            <v>7</v>
          </cell>
          <cell r="U6">
            <v>6</v>
          </cell>
          <cell r="V6">
            <v>10</v>
          </cell>
          <cell r="W6">
            <v>7</v>
          </cell>
          <cell r="X6">
            <v>6</v>
          </cell>
          <cell r="Y6">
            <v>8</v>
          </cell>
          <cell r="Z6">
            <v>8</v>
          </cell>
          <cell r="AA6">
            <v>7</v>
          </cell>
          <cell r="AB6">
            <v>7</v>
          </cell>
          <cell r="AC6">
            <v>11</v>
          </cell>
          <cell r="AD6">
            <v>7</v>
          </cell>
          <cell r="AE6">
            <v>6</v>
          </cell>
        </row>
        <row r="7">
          <cell r="B7">
            <v>6</v>
          </cell>
          <cell r="C7">
            <v>5</v>
          </cell>
          <cell r="D7">
            <v>6</v>
          </cell>
          <cell r="E7">
            <v>9</v>
          </cell>
          <cell r="F7">
            <v>8</v>
          </cell>
          <cell r="G7">
            <v>7</v>
          </cell>
          <cell r="H7">
            <v>7</v>
          </cell>
          <cell r="I7">
            <v>5</v>
          </cell>
          <cell r="J7">
            <v>5</v>
          </cell>
          <cell r="K7">
            <v>6</v>
          </cell>
          <cell r="L7">
            <v>8</v>
          </cell>
          <cell r="M7">
            <v>7</v>
          </cell>
          <cell r="N7">
            <v>7</v>
          </cell>
          <cell r="O7">
            <v>7</v>
          </cell>
          <cell r="P7">
            <v>5</v>
          </cell>
          <cell r="Q7">
            <v>5</v>
          </cell>
          <cell r="R7">
            <v>5</v>
          </cell>
          <cell r="S7">
            <v>8</v>
          </cell>
          <cell r="T7">
            <v>7</v>
          </cell>
          <cell r="U7">
            <v>7</v>
          </cell>
          <cell r="V7">
            <v>6</v>
          </cell>
          <cell r="W7">
            <v>5</v>
          </cell>
          <cell r="X7">
            <v>5</v>
          </cell>
          <cell r="Y7">
            <v>6</v>
          </cell>
          <cell r="Z7">
            <v>8</v>
          </cell>
          <cell r="AA7">
            <v>7</v>
          </cell>
          <cell r="AB7">
            <v>7</v>
          </cell>
          <cell r="AC7">
            <v>7</v>
          </cell>
          <cell r="AD7">
            <v>5</v>
          </cell>
          <cell r="AE7">
            <v>5</v>
          </cell>
        </row>
        <row r="8">
          <cell r="B8">
            <v>6</v>
          </cell>
          <cell r="C8">
            <v>5</v>
          </cell>
          <cell r="D8">
            <v>5</v>
          </cell>
          <cell r="E8">
            <v>5</v>
          </cell>
          <cell r="F8">
            <v>5</v>
          </cell>
          <cell r="G8">
            <v>5</v>
          </cell>
          <cell r="H8">
            <v>4</v>
          </cell>
          <cell r="I8">
            <v>6</v>
          </cell>
          <cell r="J8">
            <v>4</v>
          </cell>
          <cell r="K8">
            <v>5</v>
          </cell>
          <cell r="L8">
            <v>5</v>
          </cell>
          <cell r="M8">
            <v>5</v>
          </cell>
          <cell r="N8">
            <v>5</v>
          </cell>
          <cell r="O8">
            <v>4</v>
          </cell>
          <cell r="P8">
            <v>5</v>
          </cell>
          <cell r="Q8">
            <v>4</v>
          </cell>
          <cell r="R8">
            <v>4</v>
          </cell>
          <cell r="S8">
            <v>4</v>
          </cell>
          <cell r="T8">
            <v>5</v>
          </cell>
          <cell r="U8">
            <v>5</v>
          </cell>
          <cell r="V8">
            <v>4</v>
          </cell>
          <cell r="W8">
            <v>6</v>
          </cell>
          <cell r="X8">
            <v>4</v>
          </cell>
          <cell r="Y8">
            <v>5</v>
          </cell>
          <cell r="Z8">
            <v>5</v>
          </cell>
          <cell r="AA8">
            <v>5</v>
          </cell>
          <cell r="AB8">
            <v>5</v>
          </cell>
          <cell r="AC8">
            <v>4</v>
          </cell>
          <cell r="AD8">
            <v>6</v>
          </cell>
          <cell r="AE8">
            <v>4</v>
          </cell>
        </row>
        <row r="9">
          <cell r="B9">
            <v>3</v>
          </cell>
          <cell r="C9">
            <v>4</v>
          </cell>
          <cell r="D9">
            <v>5</v>
          </cell>
          <cell r="E9">
            <v>2</v>
          </cell>
          <cell r="F9">
            <v>3</v>
          </cell>
          <cell r="G9">
            <v>4</v>
          </cell>
          <cell r="H9">
            <v>4</v>
          </cell>
          <cell r="I9">
            <v>3</v>
          </cell>
          <cell r="J9">
            <v>4</v>
          </cell>
          <cell r="K9">
            <v>5</v>
          </cell>
          <cell r="L9">
            <v>2</v>
          </cell>
          <cell r="M9">
            <v>3</v>
          </cell>
          <cell r="N9">
            <v>4</v>
          </cell>
          <cell r="O9">
            <v>4</v>
          </cell>
          <cell r="P9">
            <v>3</v>
          </cell>
          <cell r="Q9">
            <v>4</v>
          </cell>
          <cell r="R9">
            <v>5</v>
          </cell>
          <cell r="S9">
            <v>2</v>
          </cell>
          <cell r="T9">
            <v>2</v>
          </cell>
          <cell r="U9">
            <v>4</v>
          </cell>
          <cell r="V9">
            <v>4</v>
          </cell>
          <cell r="W9">
            <v>3</v>
          </cell>
          <cell r="X9">
            <v>4</v>
          </cell>
          <cell r="Y9">
            <v>5</v>
          </cell>
          <cell r="Z9">
            <v>2</v>
          </cell>
          <cell r="AA9">
            <v>3</v>
          </cell>
          <cell r="AB9">
            <v>4</v>
          </cell>
          <cell r="AC9">
            <v>4</v>
          </cell>
          <cell r="AD9">
            <v>3</v>
          </cell>
          <cell r="AE9">
            <v>4</v>
          </cell>
        </row>
        <row r="10">
          <cell r="B10">
            <v>3</v>
          </cell>
          <cell r="C10">
            <v>4</v>
          </cell>
          <cell r="D10">
            <v>5</v>
          </cell>
          <cell r="E10">
            <v>4</v>
          </cell>
          <cell r="F10">
            <v>2</v>
          </cell>
          <cell r="G10">
            <v>5</v>
          </cell>
          <cell r="H10">
            <v>5</v>
          </cell>
          <cell r="I10">
            <v>3</v>
          </cell>
          <cell r="J10">
            <v>4</v>
          </cell>
          <cell r="K10">
            <v>5</v>
          </cell>
          <cell r="L10">
            <v>4</v>
          </cell>
          <cell r="M10">
            <v>2</v>
          </cell>
          <cell r="N10">
            <v>5</v>
          </cell>
          <cell r="O10">
            <v>5</v>
          </cell>
          <cell r="P10">
            <v>3</v>
          </cell>
          <cell r="Q10">
            <v>4</v>
          </cell>
          <cell r="R10">
            <v>4</v>
          </cell>
          <cell r="S10">
            <v>3</v>
          </cell>
          <cell r="T10">
            <v>1</v>
          </cell>
          <cell r="U10">
            <v>4</v>
          </cell>
          <cell r="V10">
            <v>4</v>
          </cell>
          <cell r="W10">
            <v>3</v>
          </cell>
          <cell r="X10">
            <v>4</v>
          </cell>
          <cell r="Y10">
            <v>5</v>
          </cell>
          <cell r="Z10">
            <v>4</v>
          </cell>
          <cell r="AA10">
            <v>2</v>
          </cell>
          <cell r="AB10">
            <v>5</v>
          </cell>
          <cell r="AC10">
            <v>5</v>
          </cell>
          <cell r="AD10">
            <v>3</v>
          </cell>
          <cell r="AE10">
            <v>4</v>
          </cell>
        </row>
        <row r="11">
          <cell r="B11">
            <v>2</v>
          </cell>
          <cell r="C11">
            <v>3</v>
          </cell>
          <cell r="D11">
            <v>2</v>
          </cell>
          <cell r="E11">
            <v>2</v>
          </cell>
          <cell r="F11">
            <v>4</v>
          </cell>
          <cell r="G11">
            <v>2</v>
          </cell>
          <cell r="H11">
            <v>3</v>
          </cell>
          <cell r="I11">
            <v>2</v>
          </cell>
          <cell r="J11">
            <v>3</v>
          </cell>
          <cell r="K11">
            <v>2</v>
          </cell>
          <cell r="L11">
            <v>2</v>
          </cell>
          <cell r="M11">
            <v>4</v>
          </cell>
          <cell r="N11">
            <v>2</v>
          </cell>
          <cell r="O11">
            <v>3</v>
          </cell>
          <cell r="P11">
            <v>2</v>
          </cell>
          <cell r="Q11">
            <v>3</v>
          </cell>
          <cell r="R11">
            <v>1</v>
          </cell>
          <cell r="S11">
            <v>2</v>
          </cell>
          <cell r="T11">
            <v>4</v>
          </cell>
          <cell r="U11">
            <v>2</v>
          </cell>
          <cell r="V11">
            <v>2</v>
          </cell>
          <cell r="W11">
            <v>2</v>
          </cell>
          <cell r="X11">
            <v>3</v>
          </cell>
          <cell r="Y11">
            <v>2</v>
          </cell>
          <cell r="Z11">
            <v>2</v>
          </cell>
          <cell r="AA11">
            <v>4</v>
          </cell>
          <cell r="AB11">
            <v>2</v>
          </cell>
          <cell r="AC11">
            <v>3</v>
          </cell>
          <cell r="AD11">
            <v>2</v>
          </cell>
          <cell r="AE11">
            <v>3</v>
          </cell>
        </row>
        <row r="12">
          <cell r="B12">
            <v>2</v>
          </cell>
          <cell r="C12">
            <v>2</v>
          </cell>
          <cell r="D12">
            <v>4</v>
          </cell>
          <cell r="E12">
            <v>3</v>
          </cell>
          <cell r="F12">
            <v>2</v>
          </cell>
          <cell r="G12">
            <v>4</v>
          </cell>
          <cell r="H12">
            <v>2</v>
          </cell>
          <cell r="I12">
            <v>2</v>
          </cell>
          <cell r="J12">
            <v>2</v>
          </cell>
          <cell r="K12">
            <v>4</v>
          </cell>
          <cell r="L12">
            <v>2</v>
          </cell>
          <cell r="M12">
            <v>2</v>
          </cell>
          <cell r="N12">
            <v>4</v>
          </cell>
          <cell r="O12">
            <v>2</v>
          </cell>
          <cell r="P12">
            <v>2</v>
          </cell>
          <cell r="Q12">
            <v>2</v>
          </cell>
          <cell r="R12">
            <v>3</v>
          </cell>
          <cell r="S12">
            <v>2</v>
          </cell>
          <cell r="T12">
            <v>2</v>
          </cell>
          <cell r="U12">
            <v>4</v>
          </cell>
          <cell r="V12">
            <v>2</v>
          </cell>
          <cell r="W12">
            <v>2</v>
          </cell>
          <cell r="X12">
            <v>2</v>
          </cell>
          <cell r="Y12">
            <v>4</v>
          </cell>
          <cell r="Z12">
            <v>2</v>
          </cell>
          <cell r="AA12">
            <v>2</v>
          </cell>
          <cell r="AB12">
            <v>4</v>
          </cell>
          <cell r="AC12">
            <v>2</v>
          </cell>
          <cell r="AD12">
            <v>2</v>
          </cell>
          <cell r="AE12">
            <v>2</v>
          </cell>
        </row>
        <row r="13">
          <cell r="B13">
            <v>1</v>
          </cell>
          <cell r="C13">
            <v>2</v>
          </cell>
          <cell r="D13">
            <v>2</v>
          </cell>
          <cell r="E13">
            <v>3</v>
          </cell>
          <cell r="F13">
            <v>4</v>
          </cell>
          <cell r="G13">
            <v>4</v>
          </cell>
          <cell r="H13">
            <v>3</v>
          </cell>
          <cell r="I13">
            <v>1</v>
          </cell>
          <cell r="J13">
            <v>2</v>
          </cell>
          <cell r="K13">
            <v>2</v>
          </cell>
          <cell r="L13">
            <v>3</v>
          </cell>
          <cell r="M13">
            <v>4</v>
          </cell>
          <cell r="N13">
            <v>4</v>
          </cell>
          <cell r="O13">
            <v>3</v>
          </cell>
          <cell r="P13">
            <v>1</v>
          </cell>
          <cell r="Q13">
            <v>2</v>
          </cell>
          <cell r="R13">
            <v>1</v>
          </cell>
          <cell r="S13">
            <v>2</v>
          </cell>
          <cell r="T13">
            <v>4</v>
          </cell>
          <cell r="U13">
            <v>4</v>
          </cell>
          <cell r="V13">
            <v>3</v>
          </cell>
          <cell r="W13">
            <v>1</v>
          </cell>
          <cell r="X13">
            <v>2</v>
          </cell>
          <cell r="Y13">
            <v>2</v>
          </cell>
          <cell r="Z13">
            <v>3</v>
          </cell>
          <cell r="AA13">
            <v>4</v>
          </cell>
          <cell r="AB13">
            <v>4</v>
          </cell>
          <cell r="AC13">
            <v>3</v>
          </cell>
          <cell r="AD13">
            <v>1</v>
          </cell>
          <cell r="AE13">
            <v>2</v>
          </cell>
        </row>
        <row r="14">
          <cell r="B14">
            <v>3</v>
          </cell>
          <cell r="C14">
            <v>2</v>
          </cell>
          <cell r="D14">
            <v>2</v>
          </cell>
          <cell r="E14">
            <v>2</v>
          </cell>
          <cell r="F14">
            <v>3</v>
          </cell>
          <cell r="G14">
            <v>2</v>
          </cell>
          <cell r="H14">
            <v>3</v>
          </cell>
          <cell r="I14">
            <v>3</v>
          </cell>
          <cell r="J14">
            <v>2</v>
          </cell>
          <cell r="K14">
            <v>2</v>
          </cell>
          <cell r="L14">
            <v>2</v>
          </cell>
          <cell r="M14">
            <v>3</v>
          </cell>
          <cell r="N14">
            <v>2</v>
          </cell>
          <cell r="O14">
            <v>3</v>
          </cell>
          <cell r="P14">
            <v>2</v>
          </cell>
          <cell r="Q14">
            <v>1</v>
          </cell>
          <cell r="R14">
            <v>2</v>
          </cell>
          <cell r="S14">
            <v>2</v>
          </cell>
          <cell r="T14">
            <v>3</v>
          </cell>
          <cell r="U14">
            <v>2</v>
          </cell>
          <cell r="V14">
            <v>3</v>
          </cell>
          <cell r="W14">
            <v>3</v>
          </cell>
          <cell r="X14">
            <v>2</v>
          </cell>
          <cell r="Y14">
            <v>2</v>
          </cell>
          <cell r="Z14">
            <v>2</v>
          </cell>
          <cell r="AA14">
            <v>3</v>
          </cell>
          <cell r="AB14">
            <v>2</v>
          </cell>
          <cell r="AC14">
            <v>3</v>
          </cell>
          <cell r="AD14">
            <v>3</v>
          </cell>
          <cell r="AE14">
            <v>2</v>
          </cell>
        </row>
        <row r="15">
          <cell r="B15">
            <v>3</v>
          </cell>
          <cell r="C15">
            <v>2</v>
          </cell>
          <cell r="D15">
            <v>4</v>
          </cell>
          <cell r="E15">
            <v>3</v>
          </cell>
          <cell r="F15">
            <v>4</v>
          </cell>
          <cell r="G15">
            <v>4</v>
          </cell>
          <cell r="H15">
            <v>4</v>
          </cell>
          <cell r="I15">
            <v>3</v>
          </cell>
          <cell r="J15">
            <v>2</v>
          </cell>
          <cell r="K15">
            <v>4</v>
          </cell>
          <cell r="L15">
            <v>3</v>
          </cell>
          <cell r="M15">
            <v>4</v>
          </cell>
          <cell r="N15">
            <v>4</v>
          </cell>
          <cell r="O15">
            <v>4</v>
          </cell>
          <cell r="P15">
            <v>3</v>
          </cell>
          <cell r="Q15">
            <v>2</v>
          </cell>
          <cell r="R15">
            <v>3</v>
          </cell>
          <cell r="S15">
            <v>3</v>
          </cell>
          <cell r="T15">
            <v>4</v>
          </cell>
          <cell r="U15">
            <v>3</v>
          </cell>
          <cell r="V15">
            <v>3</v>
          </cell>
          <cell r="W15">
            <v>3</v>
          </cell>
          <cell r="X15">
            <v>2</v>
          </cell>
          <cell r="Y15">
            <v>4</v>
          </cell>
          <cell r="Z15">
            <v>3</v>
          </cell>
          <cell r="AA15">
            <v>4</v>
          </cell>
          <cell r="AB15">
            <v>4</v>
          </cell>
          <cell r="AC15">
            <v>4</v>
          </cell>
          <cell r="AD15">
            <v>3</v>
          </cell>
          <cell r="AE15">
            <v>2</v>
          </cell>
        </row>
        <row r="16">
          <cell r="B16">
            <v>3</v>
          </cell>
          <cell r="C16">
            <v>3</v>
          </cell>
          <cell r="D16">
            <v>4</v>
          </cell>
          <cell r="E16">
            <v>4</v>
          </cell>
          <cell r="F16">
            <v>5</v>
          </cell>
          <cell r="G16">
            <v>4</v>
          </cell>
          <cell r="H16">
            <v>4</v>
          </cell>
          <cell r="I16">
            <v>3</v>
          </cell>
          <cell r="J16">
            <v>3</v>
          </cell>
          <cell r="K16">
            <v>4</v>
          </cell>
          <cell r="L16">
            <v>4</v>
          </cell>
          <cell r="M16">
            <v>5</v>
          </cell>
          <cell r="N16">
            <v>4</v>
          </cell>
          <cell r="O16">
            <v>3</v>
          </cell>
          <cell r="P16">
            <v>2</v>
          </cell>
          <cell r="Q16">
            <v>3</v>
          </cell>
          <cell r="R16">
            <v>3</v>
          </cell>
          <cell r="S16">
            <v>4</v>
          </cell>
          <cell r="T16">
            <v>4</v>
          </cell>
          <cell r="U16">
            <v>4</v>
          </cell>
          <cell r="V16">
            <v>3</v>
          </cell>
          <cell r="W16">
            <v>3</v>
          </cell>
          <cell r="X16">
            <v>3</v>
          </cell>
          <cell r="Y16">
            <v>4</v>
          </cell>
          <cell r="Z16">
            <v>4</v>
          </cell>
          <cell r="AA16">
            <v>5</v>
          </cell>
          <cell r="AB16">
            <v>4</v>
          </cell>
          <cell r="AC16">
            <v>3</v>
          </cell>
          <cell r="AD16">
            <v>3</v>
          </cell>
          <cell r="AE16">
            <v>3</v>
          </cell>
        </row>
        <row r="17">
          <cell r="B17">
            <v>2</v>
          </cell>
          <cell r="C17">
            <v>3</v>
          </cell>
          <cell r="D17">
            <v>3</v>
          </cell>
          <cell r="E17">
            <v>5</v>
          </cell>
          <cell r="F17">
            <v>5</v>
          </cell>
          <cell r="G17">
            <v>6</v>
          </cell>
          <cell r="H17">
            <v>1</v>
          </cell>
          <cell r="I17">
            <v>2</v>
          </cell>
          <cell r="J17">
            <v>3</v>
          </cell>
          <cell r="K17">
            <v>3</v>
          </cell>
          <cell r="L17">
            <v>5</v>
          </cell>
          <cell r="M17">
            <v>5</v>
          </cell>
          <cell r="N17">
            <v>6</v>
          </cell>
          <cell r="O17">
            <v>1</v>
          </cell>
          <cell r="P17">
            <v>2</v>
          </cell>
          <cell r="Q17">
            <v>3</v>
          </cell>
          <cell r="R17">
            <v>3</v>
          </cell>
          <cell r="S17">
            <v>4</v>
          </cell>
          <cell r="T17">
            <v>4</v>
          </cell>
          <cell r="U17">
            <v>5</v>
          </cell>
          <cell r="V17">
            <v>1</v>
          </cell>
          <cell r="W17">
            <v>2</v>
          </cell>
          <cell r="X17">
            <v>3</v>
          </cell>
          <cell r="Y17">
            <v>3</v>
          </cell>
          <cell r="Z17">
            <v>5</v>
          </cell>
          <cell r="AA17">
            <v>5</v>
          </cell>
          <cell r="AB17">
            <v>6</v>
          </cell>
          <cell r="AC17">
            <v>1</v>
          </cell>
          <cell r="AD17">
            <v>2</v>
          </cell>
          <cell r="AE17">
            <v>3</v>
          </cell>
        </row>
        <row r="18">
          <cell r="B18">
            <v>5</v>
          </cell>
          <cell r="C18">
            <v>5</v>
          </cell>
          <cell r="D18">
            <v>7</v>
          </cell>
          <cell r="E18">
            <v>8</v>
          </cell>
          <cell r="F18">
            <v>8</v>
          </cell>
          <cell r="G18">
            <v>5</v>
          </cell>
          <cell r="H18">
            <v>4</v>
          </cell>
          <cell r="I18">
            <v>5</v>
          </cell>
          <cell r="J18">
            <v>5</v>
          </cell>
          <cell r="K18">
            <v>7</v>
          </cell>
          <cell r="L18">
            <v>8</v>
          </cell>
          <cell r="M18">
            <v>8</v>
          </cell>
          <cell r="N18">
            <v>5</v>
          </cell>
          <cell r="O18">
            <v>4</v>
          </cell>
          <cell r="P18">
            <v>4</v>
          </cell>
          <cell r="Q18">
            <v>5</v>
          </cell>
          <cell r="R18">
            <v>6</v>
          </cell>
          <cell r="S18">
            <v>7</v>
          </cell>
          <cell r="T18">
            <v>7</v>
          </cell>
          <cell r="U18">
            <v>4</v>
          </cell>
          <cell r="V18">
            <v>4</v>
          </cell>
          <cell r="W18">
            <v>5</v>
          </cell>
          <cell r="X18">
            <v>5</v>
          </cell>
          <cell r="Y18">
            <v>7</v>
          </cell>
          <cell r="Z18">
            <v>8</v>
          </cell>
          <cell r="AA18">
            <v>8</v>
          </cell>
          <cell r="AB18">
            <v>5</v>
          </cell>
          <cell r="AC18">
            <v>4</v>
          </cell>
          <cell r="AD18">
            <v>5</v>
          </cell>
          <cell r="AE18">
            <v>5</v>
          </cell>
        </row>
        <row r="19">
          <cell r="B19">
            <v>8</v>
          </cell>
          <cell r="C19">
            <v>9</v>
          </cell>
          <cell r="D19">
            <v>12</v>
          </cell>
          <cell r="E19">
            <v>9</v>
          </cell>
          <cell r="F19">
            <v>8</v>
          </cell>
          <cell r="G19">
            <v>8</v>
          </cell>
          <cell r="H19">
            <v>5</v>
          </cell>
          <cell r="I19">
            <v>8</v>
          </cell>
          <cell r="J19">
            <v>9</v>
          </cell>
          <cell r="K19">
            <v>12</v>
          </cell>
          <cell r="L19">
            <v>9</v>
          </cell>
          <cell r="M19">
            <v>8</v>
          </cell>
          <cell r="N19">
            <v>8</v>
          </cell>
          <cell r="O19">
            <v>5</v>
          </cell>
          <cell r="P19">
            <v>7</v>
          </cell>
          <cell r="Q19">
            <v>8</v>
          </cell>
          <cell r="R19">
            <v>11</v>
          </cell>
          <cell r="S19">
            <v>8</v>
          </cell>
          <cell r="T19">
            <v>7</v>
          </cell>
          <cell r="U19">
            <v>7</v>
          </cell>
          <cell r="V19">
            <v>5</v>
          </cell>
          <cell r="W19">
            <v>8</v>
          </cell>
          <cell r="X19">
            <v>9</v>
          </cell>
          <cell r="Y19">
            <v>12</v>
          </cell>
          <cell r="Z19">
            <v>9</v>
          </cell>
          <cell r="AA19">
            <v>8</v>
          </cell>
          <cell r="AB19">
            <v>8</v>
          </cell>
          <cell r="AC19">
            <v>5</v>
          </cell>
          <cell r="AD19">
            <v>8</v>
          </cell>
          <cell r="AE19">
            <v>9</v>
          </cell>
        </row>
        <row r="20">
          <cell r="B20">
            <v>6</v>
          </cell>
          <cell r="C20">
            <v>11</v>
          </cell>
          <cell r="D20">
            <v>14</v>
          </cell>
          <cell r="E20">
            <v>14</v>
          </cell>
          <cell r="F20">
            <v>12</v>
          </cell>
          <cell r="G20">
            <v>9</v>
          </cell>
          <cell r="H20">
            <v>5</v>
          </cell>
          <cell r="I20">
            <v>5</v>
          </cell>
          <cell r="J20">
            <v>11</v>
          </cell>
          <cell r="K20">
            <v>13</v>
          </cell>
          <cell r="L20">
            <v>14</v>
          </cell>
          <cell r="M20">
            <v>11</v>
          </cell>
          <cell r="N20">
            <v>9</v>
          </cell>
          <cell r="O20">
            <v>5</v>
          </cell>
          <cell r="P20">
            <v>5</v>
          </cell>
          <cell r="Q20">
            <v>10</v>
          </cell>
          <cell r="R20">
            <v>12</v>
          </cell>
          <cell r="S20">
            <v>12</v>
          </cell>
          <cell r="T20">
            <v>10</v>
          </cell>
          <cell r="U20">
            <v>8</v>
          </cell>
          <cell r="V20">
            <v>5</v>
          </cell>
          <cell r="W20">
            <v>5</v>
          </cell>
          <cell r="X20">
            <v>11</v>
          </cell>
          <cell r="Y20">
            <v>13</v>
          </cell>
          <cell r="Z20">
            <v>14</v>
          </cell>
          <cell r="AA20">
            <v>11</v>
          </cell>
          <cell r="AB20">
            <v>9</v>
          </cell>
          <cell r="AC20">
            <v>5</v>
          </cell>
          <cell r="AD20">
            <v>5</v>
          </cell>
          <cell r="AE20">
            <v>11</v>
          </cell>
        </row>
        <row r="21">
          <cell r="B21">
            <v>8</v>
          </cell>
          <cell r="C21">
            <v>14</v>
          </cell>
          <cell r="D21">
            <v>15</v>
          </cell>
          <cell r="E21">
            <v>14</v>
          </cell>
          <cell r="F21">
            <v>18</v>
          </cell>
          <cell r="G21">
            <v>13</v>
          </cell>
          <cell r="H21">
            <v>6</v>
          </cell>
          <cell r="I21">
            <v>8</v>
          </cell>
          <cell r="J21">
            <v>14</v>
          </cell>
          <cell r="K21">
            <v>15</v>
          </cell>
          <cell r="L21">
            <v>14</v>
          </cell>
          <cell r="M21">
            <v>17</v>
          </cell>
          <cell r="N21">
            <v>13</v>
          </cell>
          <cell r="O21">
            <v>6</v>
          </cell>
          <cell r="P21">
            <v>7</v>
          </cell>
          <cell r="Q21">
            <v>13</v>
          </cell>
          <cell r="R21">
            <v>13</v>
          </cell>
          <cell r="S21">
            <v>13</v>
          </cell>
          <cell r="T21">
            <v>16</v>
          </cell>
          <cell r="U21">
            <v>11</v>
          </cell>
          <cell r="V21">
            <v>6</v>
          </cell>
          <cell r="W21">
            <v>8</v>
          </cell>
          <cell r="X21">
            <v>14</v>
          </cell>
          <cell r="Y21">
            <v>15</v>
          </cell>
          <cell r="Z21">
            <v>14</v>
          </cell>
          <cell r="AA21">
            <v>17</v>
          </cell>
          <cell r="AB21">
            <v>13</v>
          </cell>
          <cell r="AC21">
            <v>6</v>
          </cell>
          <cell r="AD21">
            <v>8</v>
          </cell>
          <cell r="AE21">
            <v>14</v>
          </cell>
        </row>
        <row r="22">
          <cell r="B22">
            <v>9</v>
          </cell>
          <cell r="C22">
            <v>17</v>
          </cell>
          <cell r="D22">
            <v>17</v>
          </cell>
          <cell r="E22">
            <v>21</v>
          </cell>
          <cell r="F22">
            <v>16</v>
          </cell>
          <cell r="G22">
            <v>15</v>
          </cell>
          <cell r="H22">
            <v>9</v>
          </cell>
          <cell r="I22">
            <v>9</v>
          </cell>
          <cell r="J22">
            <v>17</v>
          </cell>
          <cell r="K22">
            <v>17</v>
          </cell>
          <cell r="L22">
            <v>20</v>
          </cell>
          <cell r="M22">
            <v>15</v>
          </cell>
          <cell r="N22">
            <v>14</v>
          </cell>
          <cell r="O22">
            <v>9</v>
          </cell>
          <cell r="P22">
            <v>8</v>
          </cell>
          <cell r="Q22">
            <v>15</v>
          </cell>
          <cell r="R22">
            <v>15</v>
          </cell>
          <cell r="S22">
            <v>18</v>
          </cell>
          <cell r="T22">
            <v>14</v>
          </cell>
          <cell r="U22">
            <v>13</v>
          </cell>
          <cell r="V22">
            <v>8</v>
          </cell>
          <cell r="W22">
            <v>9</v>
          </cell>
          <cell r="X22">
            <v>17</v>
          </cell>
          <cell r="Y22">
            <v>17</v>
          </cell>
          <cell r="Z22">
            <v>20</v>
          </cell>
          <cell r="AA22">
            <v>15</v>
          </cell>
          <cell r="AB22">
            <v>14</v>
          </cell>
          <cell r="AC22">
            <v>9</v>
          </cell>
          <cell r="AD22">
            <v>9</v>
          </cell>
          <cell r="AE22">
            <v>17</v>
          </cell>
        </row>
        <row r="23">
          <cell r="B23">
            <v>13</v>
          </cell>
          <cell r="C23">
            <v>16</v>
          </cell>
          <cell r="D23">
            <v>20</v>
          </cell>
          <cell r="E23">
            <v>19</v>
          </cell>
          <cell r="F23">
            <v>23</v>
          </cell>
          <cell r="G23">
            <v>18</v>
          </cell>
          <cell r="H23">
            <v>9</v>
          </cell>
          <cell r="I23">
            <v>13</v>
          </cell>
          <cell r="J23">
            <v>16</v>
          </cell>
          <cell r="K23">
            <v>20</v>
          </cell>
          <cell r="L23">
            <v>18</v>
          </cell>
          <cell r="M23">
            <v>23</v>
          </cell>
          <cell r="N23">
            <v>17</v>
          </cell>
          <cell r="O23">
            <v>9</v>
          </cell>
          <cell r="P23">
            <v>12</v>
          </cell>
          <cell r="Q23">
            <v>14</v>
          </cell>
          <cell r="R23">
            <v>18</v>
          </cell>
          <cell r="S23">
            <v>16</v>
          </cell>
          <cell r="T23">
            <v>21</v>
          </cell>
          <cell r="U23">
            <v>16</v>
          </cell>
          <cell r="V23">
            <v>8</v>
          </cell>
          <cell r="W23">
            <v>13</v>
          </cell>
          <cell r="X23">
            <v>16</v>
          </cell>
          <cell r="Y23">
            <v>20</v>
          </cell>
          <cell r="Z23">
            <v>18</v>
          </cell>
          <cell r="AA23">
            <v>23</v>
          </cell>
          <cell r="AB23">
            <v>17</v>
          </cell>
          <cell r="AC23">
            <v>9</v>
          </cell>
          <cell r="AD23">
            <v>13</v>
          </cell>
          <cell r="AE23">
            <v>16</v>
          </cell>
        </row>
        <row r="24">
          <cell r="B24">
            <v>15</v>
          </cell>
          <cell r="C24">
            <v>17</v>
          </cell>
          <cell r="D24">
            <v>19</v>
          </cell>
          <cell r="E24">
            <v>19</v>
          </cell>
          <cell r="F24">
            <v>22</v>
          </cell>
          <cell r="G24">
            <v>19</v>
          </cell>
          <cell r="H24">
            <v>14</v>
          </cell>
          <cell r="I24">
            <v>15</v>
          </cell>
          <cell r="J24">
            <v>16</v>
          </cell>
          <cell r="K24">
            <v>18</v>
          </cell>
          <cell r="L24">
            <v>18</v>
          </cell>
          <cell r="M24">
            <v>21</v>
          </cell>
          <cell r="N24">
            <v>19</v>
          </cell>
          <cell r="O24">
            <v>14</v>
          </cell>
          <cell r="P24">
            <v>14</v>
          </cell>
          <cell r="Q24">
            <v>15</v>
          </cell>
          <cell r="R24">
            <v>16</v>
          </cell>
          <cell r="S24">
            <v>16</v>
          </cell>
          <cell r="T24">
            <v>19</v>
          </cell>
          <cell r="U24">
            <v>17</v>
          </cell>
          <cell r="V24">
            <v>12</v>
          </cell>
          <cell r="W24">
            <v>15</v>
          </cell>
          <cell r="X24">
            <v>16</v>
          </cell>
          <cell r="Y24">
            <v>18</v>
          </cell>
          <cell r="Z24">
            <v>18</v>
          </cell>
          <cell r="AA24">
            <v>21</v>
          </cell>
          <cell r="AB24">
            <v>19</v>
          </cell>
          <cell r="AC24">
            <v>14</v>
          </cell>
          <cell r="AD24">
            <v>15</v>
          </cell>
          <cell r="AE24">
            <v>16</v>
          </cell>
        </row>
        <row r="25">
          <cell r="B25">
            <v>15</v>
          </cell>
          <cell r="C25">
            <v>18</v>
          </cell>
          <cell r="D25">
            <v>21</v>
          </cell>
          <cell r="E25">
            <v>20</v>
          </cell>
          <cell r="F25">
            <v>20</v>
          </cell>
          <cell r="G25">
            <v>17</v>
          </cell>
          <cell r="H25">
            <v>15</v>
          </cell>
          <cell r="I25">
            <v>15</v>
          </cell>
          <cell r="J25">
            <v>18</v>
          </cell>
          <cell r="K25">
            <v>21</v>
          </cell>
          <cell r="L25">
            <v>20</v>
          </cell>
          <cell r="M25">
            <v>20</v>
          </cell>
          <cell r="N25">
            <v>17</v>
          </cell>
          <cell r="O25">
            <v>15</v>
          </cell>
          <cell r="P25">
            <v>13</v>
          </cell>
          <cell r="Q25">
            <v>16</v>
          </cell>
          <cell r="R25">
            <v>19</v>
          </cell>
          <cell r="S25">
            <v>18</v>
          </cell>
          <cell r="T25">
            <v>18</v>
          </cell>
          <cell r="U25">
            <v>15</v>
          </cell>
          <cell r="V25">
            <v>13</v>
          </cell>
          <cell r="W25">
            <v>15</v>
          </cell>
          <cell r="X25">
            <v>18</v>
          </cell>
          <cell r="Y25">
            <v>21</v>
          </cell>
          <cell r="Z25">
            <v>20</v>
          </cell>
          <cell r="AA25">
            <v>20</v>
          </cell>
          <cell r="AB25">
            <v>17</v>
          </cell>
          <cell r="AC25">
            <v>15</v>
          </cell>
          <cell r="AD25">
            <v>15</v>
          </cell>
          <cell r="AE25">
            <v>18</v>
          </cell>
        </row>
        <row r="26">
          <cell r="B26">
            <v>14</v>
          </cell>
          <cell r="C26">
            <v>19</v>
          </cell>
          <cell r="D26">
            <v>19</v>
          </cell>
          <cell r="E26">
            <v>22</v>
          </cell>
          <cell r="F26">
            <v>23</v>
          </cell>
          <cell r="G26">
            <v>24</v>
          </cell>
          <cell r="H26">
            <v>15</v>
          </cell>
          <cell r="I26">
            <v>14</v>
          </cell>
          <cell r="J26">
            <v>19</v>
          </cell>
          <cell r="K26">
            <v>19</v>
          </cell>
          <cell r="L26">
            <v>21</v>
          </cell>
          <cell r="M26">
            <v>23</v>
          </cell>
          <cell r="N26">
            <v>24</v>
          </cell>
          <cell r="O26">
            <v>15</v>
          </cell>
          <cell r="P26">
            <v>12</v>
          </cell>
          <cell r="Q26">
            <v>17</v>
          </cell>
          <cell r="R26">
            <v>17</v>
          </cell>
          <cell r="S26">
            <v>19</v>
          </cell>
          <cell r="T26">
            <v>20</v>
          </cell>
          <cell r="U26">
            <v>21</v>
          </cell>
          <cell r="V26">
            <v>13</v>
          </cell>
          <cell r="W26">
            <v>14</v>
          </cell>
          <cell r="X26">
            <v>19</v>
          </cell>
          <cell r="Y26">
            <v>19</v>
          </cell>
          <cell r="Z26">
            <v>21</v>
          </cell>
          <cell r="AA26">
            <v>23</v>
          </cell>
          <cell r="AB26">
            <v>24</v>
          </cell>
          <cell r="AC26">
            <v>15</v>
          </cell>
          <cell r="AD26">
            <v>14</v>
          </cell>
          <cell r="AE26">
            <v>19</v>
          </cell>
        </row>
        <row r="27">
          <cell r="B27">
            <v>18</v>
          </cell>
          <cell r="C27">
            <v>14</v>
          </cell>
          <cell r="D27">
            <v>20</v>
          </cell>
          <cell r="E27">
            <v>22</v>
          </cell>
          <cell r="F27">
            <v>23</v>
          </cell>
          <cell r="G27">
            <v>20</v>
          </cell>
          <cell r="H27">
            <v>12</v>
          </cell>
          <cell r="I27">
            <v>17</v>
          </cell>
          <cell r="J27">
            <v>13</v>
          </cell>
          <cell r="K27">
            <v>19</v>
          </cell>
          <cell r="L27">
            <v>21</v>
          </cell>
          <cell r="M27">
            <v>23</v>
          </cell>
          <cell r="N27">
            <v>20</v>
          </cell>
          <cell r="O27">
            <v>12</v>
          </cell>
          <cell r="P27">
            <v>16</v>
          </cell>
          <cell r="Q27">
            <v>12</v>
          </cell>
          <cell r="R27">
            <v>18</v>
          </cell>
          <cell r="S27">
            <v>19</v>
          </cell>
          <cell r="T27">
            <v>21</v>
          </cell>
          <cell r="U27">
            <v>18</v>
          </cell>
          <cell r="V27">
            <v>11</v>
          </cell>
          <cell r="W27">
            <v>17</v>
          </cell>
          <cell r="X27">
            <v>13</v>
          </cell>
          <cell r="Y27">
            <v>19</v>
          </cell>
          <cell r="Z27">
            <v>21</v>
          </cell>
          <cell r="AA27">
            <v>23</v>
          </cell>
          <cell r="AB27">
            <v>20</v>
          </cell>
          <cell r="AC27">
            <v>12</v>
          </cell>
          <cell r="AD27">
            <v>17</v>
          </cell>
          <cell r="AE27">
            <v>13</v>
          </cell>
        </row>
        <row r="28">
          <cell r="B28">
            <v>17</v>
          </cell>
          <cell r="C28">
            <v>16</v>
          </cell>
          <cell r="D28">
            <v>21</v>
          </cell>
          <cell r="E28">
            <v>22</v>
          </cell>
          <cell r="F28">
            <v>24</v>
          </cell>
          <cell r="G28">
            <v>21</v>
          </cell>
          <cell r="H28">
            <v>7</v>
          </cell>
          <cell r="I28">
            <v>17</v>
          </cell>
          <cell r="J28">
            <v>16</v>
          </cell>
          <cell r="K28">
            <v>21</v>
          </cell>
          <cell r="L28">
            <v>21</v>
          </cell>
          <cell r="M28">
            <v>24</v>
          </cell>
          <cell r="N28">
            <v>21</v>
          </cell>
          <cell r="O28">
            <v>7</v>
          </cell>
          <cell r="P28">
            <v>15</v>
          </cell>
          <cell r="Q28">
            <v>14</v>
          </cell>
          <cell r="R28">
            <v>19</v>
          </cell>
          <cell r="S28">
            <v>19</v>
          </cell>
          <cell r="T28">
            <v>22</v>
          </cell>
          <cell r="U28">
            <v>19</v>
          </cell>
          <cell r="V28">
            <v>6</v>
          </cell>
          <cell r="W28">
            <v>17</v>
          </cell>
          <cell r="X28">
            <v>16</v>
          </cell>
          <cell r="Y28">
            <v>21</v>
          </cell>
          <cell r="Z28">
            <v>21</v>
          </cell>
          <cell r="AA28">
            <v>24</v>
          </cell>
          <cell r="AB28">
            <v>21</v>
          </cell>
          <cell r="AC28">
            <v>7</v>
          </cell>
          <cell r="AD28">
            <v>17</v>
          </cell>
          <cell r="AE28">
            <v>16</v>
          </cell>
        </row>
        <row r="29">
          <cell r="B29">
            <v>15</v>
          </cell>
          <cell r="C29">
            <v>21</v>
          </cell>
          <cell r="D29">
            <v>24</v>
          </cell>
          <cell r="E29">
            <v>28</v>
          </cell>
          <cell r="F29">
            <v>20</v>
          </cell>
          <cell r="G29">
            <v>21</v>
          </cell>
          <cell r="H29">
            <v>20</v>
          </cell>
          <cell r="I29">
            <v>14</v>
          </cell>
          <cell r="J29">
            <v>20</v>
          </cell>
          <cell r="K29">
            <v>23</v>
          </cell>
          <cell r="L29">
            <v>28</v>
          </cell>
          <cell r="M29">
            <v>20</v>
          </cell>
          <cell r="N29">
            <v>21</v>
          </cell>
          <cell r="O29">
            <v>20</v>
          </cell>
          <cell r="P29">
            <v>13</v>
          </cell>
          <cell r="Q29">
            <v>18</v>
          </cell>
          <cell r="R29">
            <v>21</v>
          </cell>
          <cell r="S29">
            <v>25</v>
          </cell>
          <cell r="T29">
            <v>18</v>
          </cell>
          <cell r="U29">
            <v>19</v>
          </cell>
          <cell r="V29">
            <v>18</v>
          </cell>
          <cell r="W29">
            <v>14</v>
          </cell>
          <cell r="X29">
            <v>20</v>
          </cell>
          <cell r="Y29">
            <v>23</v>
          </cell>
          <cell r="Z29">
            <v>28</v>
          </cell>
          <cell r="AA29">
            <v>20</v>
          </cell>
          <cell r="AB29">
            <v>21</v>
          </cell>
          <cell r="AC29">
            <v>20</v>
          </cell>
          <cell r="AD29">
            <v>14</v>
          </cell>
          <cell r="AE29">
            <v>20</v>
          </cell>
        </row>
        <row r="30">
          <cell r="B30">
            <v>19</v>
          </cell>
          <cell r="C30">
            <v>18</v>
          </cell>
          <cell r="D30">
            <v>22</v>
          </cell>
          <cell r="E30">
            <v>21</v>
          </cell>
          <cell r="F30">
            <v>24</v>
          </cell>
          <cell r="G30">
            <v>25</v>
          </cell>
          <cell r="H30">
            <v>23</v>
          </cell>
          <cell r="I30">
            <v>19</v>
          </cell>
          <cell r="J30">
            <v>18</v>
          </cell>
          <cell r="K30">
            <v>22</v>
          </cell>
          <cell r="L30">
            <v>20</v>
          </cell>
          <cell r="M30">
            <v>23</v>
          </cell>
          <cell r="N30">
            <v>24</v>
          </cell>
          <cell r="O30">
            <v>22</v>
          </cell>
          <cell r="P30">
            <v>17</v>
          </cell>
          <cell r="Q30">
            <v>16</v>
          </cell>
          <cell r="R30">
            <v>20</v>
          </cell>
          <cell r="S30">
            <v>18</v>
          </cell>
          <cell r="T30">
            <v>21</v>
          </cell>
          <cell r="U30">
            <v>22</v>
          </cell>
          <cell r="V30">
            <v>20</v>
          </cell>
          <cell r="W30">
            <v>19</v>
          </cell>
          <cell r="X30">
            <v>18</v>
          </cell>
          <cell r="Y30">
            <v>22</v>
          </cell>
          <cell r="Z30">
            <v>20</v>
          </cell>
          <cell r="AA30">
            <v>23</v>
          </cell>
          <cell r="AB30">
            <v>24</v>
          </cell>
          <cell r="AC30">
            <v>22</v>
          </cell>
          <cell r="AD30">
            <v>19</v>
          </cell>
          <cell r="AE30">
            <v>18</v>
          </cell>
        </row>
        <row r="31">
          <cell r="B31">
            <v>19</v>
          </cell>
          <cell r="C31">
            <v>19</v>
          </cell>
          <cell r="D31">
            <v>23</v>
          </cell>
          <cell r="E31">
            <v>27</v>
          </cell>
          <cell r="F31">
            <v>27</v>
          </cell>
          <cell r="G31">
            <v>21</v>
          </cell>
          <cell r="H31">
            <v>25</v>
          </cell>
          <cell r="I31">
            <v>18</v>
          </cell>
          <cell r="J31">
            <v>19</v>
          </cell>
          <cell r="K31">
            <v>23</v>
          </cell>
          <cell r="L31">
            <v>27</v>
          </cell>
          <cell r="M31">
            <v>26</v>
          </cell>
          <cell r="N31">
            <v>21</v>
          </cell>
          <cell r="O31">
            <v>25</v>
          </cell>
          <cell r="P31">
            <v>16</v>
          </cell>
          <cell r="Q31">
            <v>17</v>
          </cell>
          <cell r="R31">
            <v>21</v>
          </cell>
          <cell r="S31">
            <v>24</v>
          </cell>
          <cell r="T31">
            <v>24</v>
          </cell>
          <cell r="U31">
            <v>19</v>
          </cell>
          <cell r="V31">
            <v>22</v>
          </cell>
          <cell r="W31">
            <v>18</v>
          </cell>
          <cell r="X31">
            <v>19</v>
          </cell>
          <cell r="Y31">
            <v>23</v>
          </cell>
          <cell r="Z31">
            <v>27</v>
          </cell>
          <cell r="AA31">
            <v>26</v>
          </cell>
          <cell r="AB31">
            <v>21</v>
          </cell>
          <cell r="AC31">
            <v>25</v>
          </cell>
          <cell r="AD31">
            <v>18</v>
          </cell>
          <cell r="AE31">
            <v>19</v>
          </cell>
        </row>
        <row r="32">
          <cell r="B32">
            <v>18</v>
          </cell>
          <cell r="C32">
            <v>18</v>
          </cell>
          <cell r="D32">
            <v>23</v>
          </cell>
          <cell r="E32">
            <v>28</v>
          </cell>
          <cell r="F32">
            <v>26</v>
          </cell>
          <cell r="G32">
            <v>22</v>
          </cell>
          <cell r="H32">
            <v>24</v>
          </cell>
          <cell r="I32">
            <v>18</v>
          </cell>
          <cell r="J32">
            <v>18</v>
          </cell>
          <cell r="K32">
            <v>22</v>
          </cell>
          <cell r="L32">
            <v>27</v>
          </cell>
          <cell r="M32">
            <v>26</v>
          </cell>
          <cell r="N32">
            <v>22</v>
          </cell>
          <cell r="O32">
            <v>23</v>
          </cell>
          <cell r="P32">
            <v>16</v>
          </cell>
          <cell r="Q32">
            <v>16</v>
          </cell>
          <cell r="R32">
            <v>20</v>
          </cell>
          <cell r="S32">
            <v>24</v>
          </cell>
          <cell r="T32">
            <v>23</v>
          </cell>
          <cell r="U32">
            <v>20</v>
          </cell>
          <cell r="V32">
            <v>21</v>
          </cell>
          <cell r="W32">
            <v>18</v>
          </cell>
          <cell r="X32">
            <v>18</v>
          </cell>
          <cell r="Y32">
            <v>22</v>
          </cell>
          <cell r="Z32">
            <v>27</v>
          </cell>
          <cell r="AA32">
            <v>26</v>
          </cell>
          <cell r="AB32">
            <v>22</v>
          </cell>
          <cell r="AC32">
            <v>23</v>
          </cell>
          <cell r="AD32">
            <v>18</v>
          </cell>
          <cell r="AE32">
            <v>18</v>
          </cell>
        </row>
        <row r="33">
          <cell r="B33">
            <v>19</v>
          </cell>
          <cell r="C33">
            <v>19</v>
          </cell>
          <cell r="D33">
            <v>23</v>
          </cell>
          <cell r="E33">
            <v>25</v>
          </cell>
          <cell r="F33">
            <v>26</v>
          </cell>
          <cell r="G33">
            <v>25</v>
          </cell>
          <cell r="H33">
            <v>22</v>
          </cell>
          <cell r="I33">
            <v>19</v>
          </cell>
          <cell r="J33">
            <v>19</v>
          </cell>
          <cell r="K33">
            <v>23</v>
          </cell>
          <cell r="L33">
            <v>25</v>
          </cell>
          <cell r="M33">
            <v>25</v>
          </cell>
          <cell r="N33">
            <v>24</v>
          </cell>
          <cell r="O33">
            <v>22</v>
          </cell>
          <cell r="P33">
            <v>17</v>
          </cell>
          <cell r="Q33">
            <v>17</v>
          </cell>
          <cell r="R33">
            <v>21</v>
          </cell>
          <cell r="S33">
            <v>22</v>
          </cell>
          <cell r="T33">
            <v>23</v>
          </cell>
          <cell r="U33">
            <v>22</v>
          </cell>
          <cell r="V33">
            <v>19</v>
          </cell>
          <cell r="W33">
            <v>19</v>
          </cell>
          <cell r="X33">
            <v>19</v>
          </cell>
          <cell r="Y33">
            <v>23</v>
          </cell>
          <cell r="Z33">
            <v>25</v>
          </cell>
          <cell r="AA33">
            <v>25</v>
          </cell>
          <cell r="AB33">
            <v>24</v>
          </cell>
          <cell r="AC33">
            <v>22</v>
          </cell>
          <cell r="AD33">
            <v>19</v>
          </cell>
          <cell r="AE33">
            <v>19</v>
          </cell>
        </row>
        <row r="34">
          <cell r="B34">
            <v>18</v>
          </cell>
          <cell r="C34">
            <v>17</v>
          </cell>
          <cell r="D34">
            <v>23</v>
          </cell>
          <cell r="E34">
            <v>23</v>
          </cell>
          <cell r="F34">
            <v>26</v>
          </cell>
          <cell r="G34">
            <v>24</v>
          </cell>
          <cell r="H34">
            <v>21</v>
          </cell>
          <cell r="I34">
            <v>17</v>
          </cell>
          <cell r="J34">
            <v>17</v>
          </cell>
          <cell r="K34">
            <v>23</v>
          </cell>
          <cell r="L34">
            <v>22</v>
          </cell>
          <cell r="M34">
            <v>25</v>
          </cell>
          <cell r="N34">
            <v>23</v>
          </cell>
          <cell r="O34">
            <v>20</v>
          </cell>
          <cell r="P34">
            <v>16</v>
          </cell>
          <cell r="Q34">
            <v>15</v>
          </cell>
          <cell r="R34">
            <v>21</v>
          </cell>
          <cell r="S34">
            <v>20</v>
          </cell>
          <cell r="T34">
            <v>23</v>
          </cell>
          <cell r="U34">
            <v>21</v>
          </cell>
          <cell r="V34">
            <v>18</v>
          </cell>
          <cell r="W34">
            <v>17</v>
          </cell>
          <cell r="X34">
            <v>17</v>
          </cell>
          <cell r="Y34">
            <v>23</v>
          </cell>
          <cell r="Z34">
            <v>22</v>
          </cell>
          <cell r="AA34">
            <v>25</v>
          </cell>
          <cell r="AB34">
            <v>23</v>
          </cell>
          <cell r="AC34">
            <v>20</v>
          </cell>
          <cell r="AD34">
            <v>17</v>
          </cell>
          <cell r="AE34">
            <v>17</v>
          </cell>
        </row>
        <row r="35">
          <cell r="B35">
            <v>18</v>
          </cell>
          <cell r="C35">
            <v>20</v>
          </cell>
          <cell r="D35">
            <v>23</v>
          </cell>
          <cell r="E35">
            <v>23</v>
          </cell>
          <cell r="F35">
            <v>22</v>
          </cell>
          <cell r="G35">
            <v>22</v>
          </cell>
          <cell r="H35">
            <v>22</v>
          </cell>
          <cell r="I35">
            <v>17</v>
          </cell>
          <cell r="J35">
            <v>20</v>
          </cell>
          <cell r="K35">
            <v>23</v>
          </cell>
          <cell r="L35">
            <v>22</v>
          </cell>
          <cell r="M35">
            <v>22</v>
          </cell>
          <cell r="N35">
            <v>22</v>
          </cell>
          <cell r="O35">
            <v>22</v>
          </cell>
          <cell r="P35">
            <v>16</v>
          </cell>
          <cell r="Q35">
            <v>18</v>
          </cell>
          <cell r="R35">
            <v>21</v>
          </cell>
          <cell r="S35">
            <v>20</v>
          </cell>
          <cell r="T35">
            <v>19</v>
          </cell>
          <cell r="U35">
            <v>20</v>
          </cell>
          <cell r="V35">
            <v>19</v>
          </cell>
          <cell r="W35">
            <v>17</v>
          </cell>
          <cell r="X35">
            <v>20</v>
          </cell>
          <cell r="Y35">
            <v>23</v>
          </cell>
          <cell r="Z35">
            <v>22</v>
          </cell>
          <cell r="AA35">
            <v>22</v>
          </cell>
          <cell r="AB35">
            <v>22</v>
          </cell>
          <cell r="AC35">
            <v>22</v>
          </cell>
          <cell r="AD35">
            <v>17</v>
          </cell>
          <cell r="AE35">
            <v>20</v>
          </cell>
        </row>
        <row r="36">
          <cell r="B36">
            <v>22</v>
          </cell>
          <cell r="C36">
            <v>17</v>
          </cell>
          <cell r="D36">
            <v>24</v>
          </cell>
          <cell r="E36">
            <v>26</v>
          </cell>
          <cell r="F36">
            <v>25</v>
          </cell>
          <cell r="G36">
            <v>26</v>
          </cell>
          <cell r="H36">
            <v>21</v>
          </cell>
          <cell r="I36">
            <v>22</v>
          </cell>
          <cell r="J36">
            <v>17</v>
          </cell>
          <cell r="K36">
            <v>23</v>
          </cell>
          <cell r="L36">
            <v>25</v>
          </cell>
          <cell r="M36">
            <v>24</v>
          </cell>
          <cell r="N36">
            <v>25</v>
          </cell>
          <cell r="O36">
            <v>21</v>
          </cell>
          <cell r="P36">
            <v>19</v>
          </cell>
          <cell r="Q36">
            <v>15</v>
          </cell>
          <cell r="R36">
            <v>21</v>
          </cell>
          <cell r="S36">
            <v>23</v>
          </cell>
          <cell r="T36">
            <v>22</v>
          </cell>
          <cell r="U36">
            <v>23</v>
          </cell>
          <cell r="V36">
            <v>19</v>
          </cell>
          <cell r="W36">
            <v>22</v>
          </cell>
          <cell r="X36">
            <v>17</v>
          </cell>
          <cell r="Y36">
            <v>23</v>
          </cell>
          <cell r="Z36">
            <v>25</v>
          </cell>
          <cell r="AA36">
            <v>24</v>
          </cell>
          <cell r="AB36">
            <v>25</v>
          </cell>
          <cell r="AC36">
            <v>21</v>
          </cell>
          <cell r="AD36">
            <v>22</v>
          </cell>
          <cell r="AE36">
            <v>17</v>
          </cell>
        </row>
        <row r="37">
          <cell r="B37">
            <v>20</v>
          </cell>
          <cell r="C37">
            <v>18</v>
          </cell>
          <cell r="D37">
            <v>23</v>
          </cell>
          <cell r="E37">
            <v>22</v>
          </cell>
          <cell r="F37">
            <v>25</v>
          </cell>
          <cell r="G37">
            <v>24</v>
          </cell>
          <cell r="H37">
            <v>19</v>
          </cell>
          <cell r="I37">
            <v>20</v>
          </cell>
          <cell r="J37">
            <v>18</v>
          </cell>
          <cell r="K37">
            <v>22</v>
          </cell>
          <cell r="L37">
            <v>22</v>
          </cell>
          <cell r="M37">
            <v>24</v>
          </cell>
          <cell r="N37">
            <v>24</v>
          </cell>
          <cell r="O37">
            <v>19</v>
          </cell>
          <cell r="P37">
            <v>18</v>
          </cell>
          <cell r="Q37">
            <v>16</v>
          </cell>
          <cell r="R37">
            <v>20</v>
          </cell>
          <cell r="S37">
            <v>20</v>
          </cell>
          <cell r="T37">
            <v>22</v>
          </cell>
          <cell r="U37">
            <v>21</v>
          </cell>
          <cell r="V37">
            <v>17</v>
          </cell>
          <cell r="W37">
            <v>20</v>
          </cell>
          <cell r="X37">
            <v>18</v>
          </cell>
          <cell r="Y37">
            <v>22</v>
          </cell>
          <cell r="Z37">
            <v>22</v>
          </cell>
          <cell r="AA37">
            <v>24</v>
          </cell>
          <cell r="AB37">
            <v>24</v>
          </cell>
          <cell r="AC37">
            <v>19</v>
          </cell>
          <cell r="AD37">
            <v>20</v>
          </cell>
          <cell r="AE37">
            <v>18</v>
          </cell>
        </row>
        <row r="38">
          <cell r="B38">
            <v>19</v>
          </cell>
          <cell r="C38">
            <v>20</v>
          </cell>
          <cell r="D38">
            <v>23</v>
          </cell>
          <cell r="E38">
            <v>21</v>
          </cell>
          <cell r="F38">
            <v>27</v>
          </cell>
          <cell r="G38">
            <v>23</v>
          </cell>
          <cell r="H38">
            <v>22</v>
          </cell>
          <cell r="I38">
            <v>19</v>
          </cell>
          <cell r="J38">
            <v>19</v>
          </cell>
          <cell r="K38">
            <v>23</v>
          </cell>
          <cell r="L38">
            <v>21</v>
          </cell>
          <cell r="M38">
            <v>26</v>
          </cell>
          <cell r="N38">
            <v>22</v>
          </cell>
          <cell r="O38">
            <v>21</v>
          </cell>
          <cell r="P38">
            <v>17</v>
          </cell>
          <cell r="Q38">
            <v>17</v>
          </cell>
          <cell r="R38">
            <v>21</v>
          </cell>
          <cell r="S38">
            <v>19</v>
          </cell>
          <cell r="T38">
            <v>24</v>
          </cell>
          <cell r="U38">
            <v>20</v>
          </cell>
          <cell r="V38">
            <v>19</v>
          </cell>
          <cell r="W38">
            <v>19</v>
          </cell>
          <cell r="X38">
            <v>19</v>
          </cell>
          <cell r="Y38">
            <v>23</v>
          </cell>
          <cell r="Z38">
            <v>21</v>
          </cell>
          <cell r="AA38">
            <v>26</v>
          </cell>
          <cell r="AB38">
            <v>22</v>
          </cell>
          <cell r="AC38">
            <v>21</v>
          </cell>
          <cell r="AD38">
            <v>19</v>
          </cell>
          <cell r="AE38">
            <v>19</v>
          </cell>
        </row>
        <row r="39">
          <cell r="B39">
            <v>17</v>
          </cell>
          <cell r="C39">
            <v>20</v>
          </cell>
          <cell r="D39">
            <v>24</v>
          </cell>
          <cell r="E39">
            <v>24</v>
          </cell>
          <cell r="F39">
            <v>24</v>
          </cell>
          <cell r="G39">
            <v>28</v>
          </cell>
          <cell r="H39">
            <v>22</v>
          </cell>
          <cell r="I39">
            <v>16</v>
          </cell>
          <cell r="J39">
            <v>19</v>
          </cell>
          <cell r="K39">
            <v>23</v>
          </cell>
          <cell r="L39">
            <v>23</v>
          </cell>
          <cell r="M39">
            <v>24</v>
          </cell>
          <cell r="N39">
            <v>28</v>
          </cell>
          <cell r="O39">
            <v>22</v>
          </cell>
          <cell r="P39">
            <v>15</v>
          </cell>
          <cell r="Q39">
            <v>18</v>
          </cell>
          <cell r="R39">
            <v>21</v>
          </cell>
          <cell r="S39">
            <v>21</v>
          </cell>
          <cell r="T39">
            <v>21</v>
          </cell>
          <cell r="U39">
            <v>25</v>
          </cell>
          <cell r="V39">
            <v>20</v>
          </cell>
          <cell r="W39">
            <v>16</v>
          </cell>
          <cell r="X39">
            <v>19</v>
          </cell>
          <cell r="Y39">
            <v>23</v>
          </cell>
          <cell r="Z39">
            <v>23</v>
          </cell>
          <cell r="AA39">
            <v>24</v>
          </cell>
          <cell r="AB39">
            <v>28</v>
          </cell>
          <cell r="AC39">
            <v>22</v>
          </cell>
          <cell r="AD39">
            <v>16</v>
          </cell>
          <cell r="AE39">
            <v>20</v>
          </cell>
        </row>
        <row r="40">
          <cell r="B40">
            <v>18</v>
          </cell>
          <cell r="C40">
            <v>19</v>
          </cell>
          <cell r="D40">
            <v>22</v>
          </cell>
          <cell r="E40">
            <v>23</v>
          </cell>
          <cell r="F40">
            <v>25</v>
          </cell>
          <cell r="G40">
            <v>25</v>
          </cell>
          <cell r="H40">
            <v>22</v>
          </cell>
          <cell r="I40">
            <v>17</v>
          </cell>
          <cell r="J40">
            <v>19</v>
          </cell>
          <cell r="K40">
            <v>22</v>
          </cell>
          <cell r="L40">
            <v>23</v>
          </cell>
          <cell r="M40">
            <v>24</v>
          </cell>
          <cell r="N40">
            <v>24</v>
          </cell>
          <cell r="O40">
            <v>22</v>
          </cell>
          <cell r="P40">
            <v>16</v>
          </cell>
          <cell r="Q40">
            <v>17</v>
          </cell>
          <cell r="R40">
            <v>20</v>
          </cell>
          <cell r="S40">
            <v>21</v>
          </cell>
          <cell r="T40">
            <v>22</v>
          </cell>
          <cell r="U40">
            <v>22</v>
          </cell>
          <cell r="V40">
            <v>20</v>
          </cell>
          <cell r="W40">
            <v>17</v>
          </cell>
          <cell r="X40">
            <v>19</v>
          </cell>
          <cell r="Y40">
            <v>22</v>
          </cell>
          <cell r="Z40">
            <v>23</v>
          </cell>
          <cell r="AA40">
            <v>24</v>
          </cell>
          <cell r="AB40">
            <v>24</v>
          </cell>
          <cell r="AC40">
            <v>22</v>
          </cell>
          <cell r="AD40">
            <v>17</v>
          </cell>
          <cell r="AE40">
            <v>19</v>
          </cell>
        </row>
        <row r="41">
          <cell r="B41">
            <v>18</v>
          </cell>
          <cell r="C41">
            <v>19</v>
          </cell>
          <cell r="D41">
            <v>22</v>
          </cell>
          <cell r="E41">
            <v>27</v>
          </cell>
          <cell r="F41">
            <v>29</v>
          </cell>
          <cell r="G41">
            <v>24</v>
          </cell>
          <cell r="H41">
            <v>22</v>
          </cell>
          <cell r="I41">
            <v>17</v>
          </cell>
          <cell r="J41">
            <v>19</v>
          </cell>
          <cell r="K41">
            <v>21</v>
          </cell>
          <cell r="L41">
            <v>26</v>
          </cell>
          <cell r="M41">
            <v>29</v>
          </cell>
          <cell r="N41">
            <v>23</v>
          </cell>
          <cell r="O41">
            <v>22</v>
          </cell>
          <cell r="P41">
            <v>16</v>
          </cell>
          <cell r="Q41">
            <v>17</v>
          </cell>
          <cell r="R41">
            <v>19</v>
          </cell>
          <cell r="S41">
            <v>24</v>
          </cell>
          <cell r="T41">
            <v>26</v>
          </cell>
          <cell r="U41">
            <v>21</v>
          </cell>
          <cell r="V41">
            <v>20</v>
          </cell>
          <cell r="W41">
            <v>17</v>
          </cell>
          <cell r="X41">
            <v>19</v>
          </cell>
          <cell r="Y41">
            <v>21</v>
          </cell>
          <cell r="Z41">
            <v>26</v>
          </cell>
          <cell r="AA41">
            <v>29</v>
          </cell>
          <cell r="AB41">
            <v>23</v>
          </cell>
          <cell r="AC41">
            <v>22</v>
          </cell>
          <cell r="AD41">
            <v>17</v>
          </cell>
          <cell r="AE41">
            <v>19</v>
          </cell>
        </row>
        <row r="42">
          <cell r="B42">
            <v>19</v>
          </cell>
          <cell r="C42">
            <v>17</v>
          </cell>
          <cell r="D42">
            <v>21</v>
          </cell>
          <cell r="E42">
            <v>23</v>
          </cell>
          <cell r="F42">
            <v>23</v>
          </cell>
          <cell r="G42">
            <v>21</v>
          </cell>
          <cell r="H42">
            <v>22</v>
          </cell>
          <cell r="I42">
            <v>18</v>
          </cell>
          <cell r="J42">
            <v>17</v>
          </cell>
          <cell r="K42">
            <v>21</v>
          </cell>
          <cell r="L42">
            <v>22</v>
          </cell>
          <cell r="M42">
            <v>22</v>
          </cell>
          <cell r="N42">
            <v>21</v>
          </cell>
          <cell r="O42">
            <v>21</v>
          </cell>
          <cell r="P42">
            <v>16</v>
          </cell>
          <cell r="Q42">
            <v>15</v>
          </cell>
          <cell r="R42">
            <v>19</v>
          </cell>
          <cell r="S42">
            <v>20</v>
          </cell>
          <cell r="T42">
            <v>20</v>
          </cell>
          <cell r="U42">
            <v>19</v>
          </cell>
          <cell r="V42">
            <v>19</v>
          </cell>
          <cell r="W42">
            <v>18</v>
          </cell>
          <cell r="X42">
            <v>17</v>
          </cell>
          <cell r="Y42">
            <v>21</v>
          </cell>
          <cell r="Z42">
            <v>22</v>
          </cell>
          <cell r="AA42">
            <v>22</v>
          </cell>
          <cell r="AB42">
            <v>21</v>
          </cell>
          <cell r="AC42">
            <v>21</v>
          </cell>
          <cell r="AD42">
            <v>18</v>
          </cell>
          <cell r="AE42">
            <v>17</v>
          </cell>
        </row>
        <row r="43">
          <cell r="B43">
            <v>19</v>
          </cell>
          <cell r="C43">
            <v>19</v>
          </cell>
          <cell r="D43">
            <v>27</v>
          </cell>
          <cell r="E43">
            <v>27</v>
          </cell>
          <cell r="F43">
            <v>31</v>
          </cell>
          <cell r="G43">
            <v>24</v>
          </cell>
          <cell r="H43">
            <v>26</v>
          </cell>
          <cell r="I43">
            <v>19</v>
          </cell>
          <cell r="J43">
            <v>19</v>
          </cell>
          <cell r="K43">
            <v>26</v>
          </cell>
          <cell r="L43">
            <v>26</v>
          </cell>
          <cell r="M43">
            <v>31</v>
          </cell>
          <cell r="N43">
            <v>24</v>
          </cell>
          <cell r="O43">
            <v>25</v>
          </cell>
          <cell r="P43">
            <v>17</v>
          </cell>
          <cell r="Q43">
            <v>17</v>
          </cell>
          <cell r="R43">
            <v>24</v>
          </cell>
          <cell r="S43">
            <v>24</v>
          </cell>
          <cell r="T43">
            <v>28</v>
          </cell>
          <cell r="U43">
            <v>21</v>
          </cell>
          <cell r="V43">
            <v>23</v>
          </cell>
          <cell r="W43">
            <v>19</v>
          </cell>
          <cell r="X43">
            <v>19</v>
          </cell>
          <cell r="Y43">
            <v>26</v>
          </cell>
          <cell r="Z43">
            <v>26</v>
          </cell>
          <cell r="AA43">
            <v>31</v>
          </cell>
          <cell r="AB43">
            <v>24</v>
          </cell>
          <cell r="AC43">
            <v>25</v>
          </cell>
          <cell r="AD43">
            <v>19</v>
          </cell>
          <cell r="AE43">
            <v>19</v>
          </cell>
        </row>
        <row r="44">
          <cell r="B44">
            <v>19</v>
          </cell>
          <cell r="C44">
            <v>20</v>
          </cell>
          <cell r="D44">
            <v>24</v>
          </cell>
          <cell r="E44">
            <v>24</v>
          </cell>
          <cell r="F44">
            <v>27</v>
          </cell>
          <cell r="G44">
            <v>27</v>
          </cell>
          <cell r="H44">
            <v>23</v>
          </cell>
          <cell r="I44">
            <v>19</v>
          </cell>
          <cell r="J44">
            <v>20</v>
          </cell>
          <cell r="K44">
            <v>24</v>
          </cell>
          <cell r="L44">
            <v>24</v>
          </cell>
          <cell r="M44">
            <v>27</v>
          </cell>
          <cell r="N44">
            <v>27</v>
          </cell>
          <cell r="O44">
            <v>23</v>
          </cell>
          <cell r="P44">
            <v>17</v>
          </cell>
          <cell r="Q44">
            <v>18</v>
          </cell>
          <cell r="R44">
            <v>21</v>
          </cell>
          <cell r="S44">
            <v>21</v>
          </cell>
          <cell r="T44">
            <v>24</v>
          </cell>
          <cell r="U44">
            <v>24</v>
          </cell>
          <cell r="V44">
            <v>20</v>
          </cell>
          <cell r="W44">
            <v>19</v>
          </cell>
          <cell r="X44">
            <v>20</v>
          </cell>
          <cell r="Y44">
            <v>24</v>
          </cell>
          <cell r="Z44">
            <v>24</v>
          </cell>
          <cell r="AA44">
            <v>27</v>
          </cell>
          <cell r="AB44">
            <v>27</v>
          </cell>
          <cell r="AC44">
            <v>23</v>
          </cell>
          <cell r="AD44">
            <v>19</v>
          </cell>
          <cell r="AE44">
            <v>20</v>
          </cell>
        </row>
        <row r="45">
          <cell r="B45">
            <v>19</v>
          </cell>
          <cell r="C45">
            <v>18</v>
          </cell>
          <cell r="D45">
            <v>20</v>
          </cell>
          <cell r="E45">
            <v>22</v>
          </cell>
          <cell r="F45">
            <v>28</v>
          </cell>
          <cell r="G45">
            <v>25</v>
          </cell>
          <cell r="H45">
            <v>27</v>
          </cell>
          <cell r="I45">
            <v>19</v>
          </cell>
          <cell r="J45">
            <v>18</v>
          </cell>
          <cell r="K45">
            <v>20</v>
          </cell>
          <cell r="L45">
            <v>22</v>
          </cell>
          <cell r="M45">
            <v>27</v>
          </cell>
          <cell r="N45">
            <v>25</v>
          </cell>
          <cell r="O45">
            <v>26</v>
          </cell>
          <cell r="P45">
            <v>17</v>
          </cell>
          <cell r="Q45">
            <v>16</v>
          </cell>
          <cell r="R45">
            <v>18</v>
          </cell>
          <cell r="S45">
            <v>20</v>
          </cell>
          <cell r="T45">
            <v>25</v>
          </cell>
          <cell r="U45">
            <v>22</v>
          </cell>
          <cell r="V45">
            <v>24</v>
          </cell>
          <cell r="W45">
            <v>19</v>
          </cell>
          <cell r="X45">
            <v>18</v>
          </cell>
          <cell r="Y45">
            <v>20</v>
          </cell>
          <cell r="Z45">
            <v>22</v>
          </cell>
          <cell r="AA45">
            <v>27</v>
          </cell>
          <cell r="AB45">
            <v>25</v>
          </cell>
          <cell r="AC45">
            <v>26</v>
          </cell>
          <cell r="AD45">
            <v>19</v>
          </cell>
          <cell r="AE45">
            <v>18</v>
          </cell>
        </row>
        <row r="46">
          <cell r="B46">
            <v>17</v>
          </cell>
          <cell r="C46">
            <v>19</v>
          </cell>
          <cell r="D46">
            <v>21</v>
          </cell>
          <cell r="E46">
            <v>23</v>
          </cell>
          <cell r="F46">
            <v>26</v>
          </cell>
          <cell r="G46">
            <v>24</v>
          </cell>
          <cell r="H46">
            <v>23</v>
          </cell>
          <cell r="I46">
            <v>17</v>
          </cell>
          <cell r="J46">
            <v>18</v>
          </cell>
          <cell r="K46">
            <v>21</v>
          </cell>
          <cell r="L46">
            <v>23</v>
          </cell>
          <cell r="M46">
            <v>26</v>
          </cell>
          <cell r="N46">
            <v>23</v>
          </cell>
          <cell r="O46">
            <v>22</v>
          </cell>
          <cell r="P46">
            <v>15</v>
          </cell>
          <cell r="Q46">
            <v>17</v>
          </cell>
          <cell r="R46">
            <v>19</v>
          </cell>
          <cell r="S46">
            <v>21</v>
          </cell>
          <cell r="T46">
            <v>23</v>
          </cell>
          <cell r="U46">
            <v>21</v>
          </cell>
          <cell r="V46">
            <v>20</v>
          </cell>
          <cell r="W46">
            <v>17</v>
          </cell>
          <cell r="X46">
            <v>18</v>
          </cell>
          <cell r="Y46">
            <v>21</v>
          </cell>
          <cell r="Z46">
            <v>23</v>
          </cell>
          <cell r="AA46">
            <v>26</v>
          </cell>
          <cell r="AB46">
            <v>23</v>
          </cell>
          <cell r="AC46">
            <v>22</v>
          </cell>
          <cell r="AD46">
            <v>17</v>
          </cell>
          <cell r="AE46">
            <v>18</v>
          </cell>
        </row>
        <row r="47">
          <cell r="B47">
            <v>18</v>
          </cell>
          <cell r="C47">
            <v>22</v>
          </cell>
          <cell r="D47">
            <v>26</v>
          </cell>
          <cell r="E47">
            <v>21</v>
          </cell>
          <cell r="F47">
            <v>29</v>
          </cell>
          <cell r="G47">
            <v>23</v>
          </cell>
          <cell r="H47">
            <v>28</v>
          </cell>
          <cell r="I47">
            <v>17</v>
          </cell>
          <cell r="J47">
            <v>21</v>
          </cell>
          <cell r="K47">
            <v>26</v>
          </cell>
          <cell r="L47">
            <v>21</v>
          </cell>
          <cell r="M47">
            <v>28</v>
          </cell>
          <cell r="N47">
            <v>22</v>
          </cell>
          <cell r="O47">
            <v>27</v>
          </cell>
          <cell r="P47">
            <v>16</v>
          </cell>
          <cell r="Q47">
            <v>19</v>
          </cell>
          <cell r="R47">
            <v>23</v>
          </cell>
          <cell r="S47">
            <v>19</v>
          </cell>
          <cell r="T47">
            <v>25</v>
          </cell>
          <cell r="U47">
            <v>20</v>
          </cell>
          <cell r="V47">
            <v>25</v>
          </cell>
          <cell r="W47">
            <v>17</v>
          </cell>
          <cell r="X47">
            <v>21</v>
          </cell>
          <cell r="Y47">
            <v>26</v>
          </cell>
          <cell r="Z47">
            <v>21</v>
          </cell>
          <cell r="AA47">
            <v>28</v>
          </cell>
          <cell r="AB47">
            <v>22</v>
          </cell>
          <cell r="AC47">
            <v>27</v>
          </cell>
          <cell r="AD47">
            <v>17</v>
          </cell>
          <cell r="AE47">
            <v>21</v>
          </cell>
        </row>
        <row r="48">
          <cell r="B48">
            <v>18</v>
          </cell>
          <cell r="C48">
            <v>20</v>
          </cell>
          <cell r="D48">
            <v>21</v>
          </cell>
          <cell r="E48">
            <v>27</v>
          </cell>
          <cell r="F48">
            <v>22</v>
          </cell>
          <cell r="G48">
            <v>24</v>
          </cell>
          <cell r="H48">
            <v>22</v>
          </cell>
          <cell r="I48">
            <v>18</v>
          </cell>
          <cell r="J48">
            <v>20</v>
          </cell>
          <cell r="K48">
            <v>21</v>
          </cell>
          <cell r="L48">
            <v>27</v>
          </cell>
          <cell r="M48">
            <v>21</v>
          </cell>
          <cell r="N48">
            <v>24</v>
          </cell>
          <cell r="O48">
            <v>21</v>
          </cell>
          <cell r="P48">
            <v>16</v>
          </cell>
          <cell r="Q48">
            <v>18</v>
          </cell>
          <cell r="R48">
            <v>19</v>
          </cell>
          <cell r="S48">
            <v>24</v>
          </cell>
          <cell r="T48">
            <v>19</v>
          </cell>
          <cell r="U48">
            <v>22</v>
          </cell>
          <cell r="V48">
            <v>19</v>
          </cell>
          <cell r="W48">
            <v>18</v>
          </cell>
          <cell r="X48">
            <v>20</v>
          </cell>
          <cell r="Y48">
            <v>21</v>
          </cell>
          <cell r="Z48">
            <v>27</v>
          </cell>
          <cell r="AA48">
            <v>21</v>
          </cell>
          <cell r="AB48">
            <v>24</v>
          </cell>
          <cell r="AC48">
            <v>21</v>
          </cell>
          <cell r="AD48">
            <v>18</v>
          </cell>
          <cell r="AE48">
            <v>20</v>
          </cell>
        </row>
        <row r="49">
          <cell r="B49">
            <v>16</v>
          </cell>
          <cell r="C49">
            <v>17</v>
          </cell>
          <cell r="D49">
            <v>17</v>
          </cell>
          <cell r="E49">
            <v>22</v>
          </cell>
          <cell r="F49">
            <v>19</v>
          </cell>
          <cell r="G49">
            <v>18</v>
          </cell>
          <cell r="H49">
            <v>24</v>
          </cell>
          <cell r="I49">
            <v>15</v>
          </cell>
          <cell r="J49">
            <v>16</v>
          </cell>
          <cell r="K49">
            <v>17</v>
          </cell>
          <cell r="L49">
            <v>21</v>
          </cell>
          <cell r="M49">
            <v>19</v>
          </cell>
          <cell r="N49">
            <v>18</v>
          </cell>
          <cell r="O49">
            <v>24</v>
          </cell>
          <cell r="P49">
            <v>14</v>
          </cell>
          <cell r="Q49">
            <v>15</v>
          </cell>
          <cell r="R49">
            <v>15</v>
          </cell>
          <cell r="S49">
            <v>19</v>
          </cell>
          <cell r="T49">
            <v>17</v>
          </cell>
          <cell r="U49">
            <v>16</v>
          </cell>
          <cell r="V49">
            <v>22</v>
          </cell>
          <cell r="W49">
            <v>15</v>
          </cell>
          <cell r="X49">
            <v>16</v>
          </cell>
          <cell r="Y49">
            <v>17</v>
          </cell>
          <cell r="Z49">
            <v>21</v>
          </cell>
          <cell r="AA49">
            <v>19</v>
          </cell>
          <cell r="AB49">
            <v>18</v>
          </cell>
          <cell r="AC49">
            <v>24</v>
          </cell>
          <cell r="AD49">
            <v>15</v>
          </cell>
          <cell r="AE49">
            <v>16</v>
          </cell>
        </row>
        <row r="50">
          <cell r="B50">
            <v>15</v>
          </cell>
          <cell r="C50">
            <v>16</v>
          </cell>
          <cell r="D50">
            <v>21</v>
          </cell>
          <cell r="E50">
            <v>25</v>
          </cell>
          <cell r="F50">
            <v>18</v>
          </cell>
          <cell r="G50">
            <v>23</v>
          </cell>
          <cell r="H50">
            <v>21</v>
          </cell>
          <cell r="I50">
            <v>15</v>
          </cell>
          <cell r="J50">
            <v>16</v>
          </cell>
          <cell r="K50">
            <v>21</v>
          </cell>
          <cell r="L50">
            <v>24</v>
          </cell>
          <cell r="M50">
            <v>17</v>
          </cell>
          <cell r="N50">
            <v>22</v>
          </cell>
          <cell r="O50">
            <v>21</v>
          </cell>
          <cell r="P50">
            <v>13</v>
          </cell>
          <cell r="Q50">
            <v>14</v>
          </cell>
          <cell r="R50">
            <v>19</v>
          </cell>
          <cell r="S50">
            <v>22</v>
          </cell>
          <cell r="T50">
            <v>16</v>
          </cell>
          <cell r="U50">
            <v>20</v>
          </cell>
          <cell r="V50">
            <v>19</v>
          </cell>
          <cell r="W50">
            <v>15</v>
          </cell>
          <cell r="X50">
            <v>16</v>
          </cell>
          <cell r="Y50">
            <v>21</v>
          </cell>
          <cell r="Z50">
            <v>24</v>
          </cell>
          <cell r="AA50">
            <v>17</v>
          </cell>
          <cell r="AB50">
            <v>22</v>
          </cell>
          <cell r="AC50">
            <v>21</v>
          </cell>
          <cell r="AD50">
            <v>15</v>
          </cell>
          <cell r="AE50">
            <v>16</v>
          </cell>
        </row>
        <row r="51">
          <cell r="B51">
            <v>14</v>
          </cell>
          <cell r="C51">
            <v>14</v>
          </cell>
          <cell r="D51">
            <v>12</v>
          </cell>
          <cell r="E51">
            <v>18</v>
          </cell>
          <cell r="F51">
            <v>15</v>
          </cell>
          <cell r="G51">
            <v>18</v>
          </cell>
          <cell r="H51">
            <v>15</v>
          </cell>
          <cell r="I51">
            <v>12</v>
          </cell>
          <cell r="J51">
            <v>13</v>
          </cell>
          <cell r="K51">
            <v>11</v>
          </cell>
          <cell r="L51">
            <v>17</v>
          </cell>
          <cell r="M51">
            <v>15</v>
          </cell>
          <cell r="N51">
            <v>18</v>
          </cell>
          <cell r="O51">
            <v>14</v>
          </cell>
          <cell r="P51">
            <v>11</v>
          </cell>
          <cell r="Q51">
            <v>12</v>
          </cell>
          <cell r="R51">
            <v>10</v>
          </cell>
          <cell r="S51">
            <v>15</v>
          </cell>
          <cell r="T51">
            <v>13</v>
          </cell>
          <cell r="U51">
            <v>16</v>
          </cell>
          <cell r="V51">
            <v>13</v>
          </cell>
          <cell r="W51">
            <v>12</v>
          </cell>
          <cell r="X51">
            <v>13</v>
          </cell>
          <cell r="Y51">
            <v>11</v>
          </cell>
          <cell r="Z51">
            <v>17</v>
          </cell>
          <cell r="AA51">
            <v>15</v>
          </cell>
          <cell r="AB51">
            <v>18</v>
          </cell>
          <cell r="AC51">
            <v>14</v>
          </cell>
          <cell r="AD51">
            <v>12</v>
          </cell>
          <cell r="AE51">
            <v>13</v>
          </cell>
        </row>
      </sheetData>
      <sheetData sheetId="4">
        <row r="2">
          <cell r="B2">
            <v>45962</v>
          </cell>
          <cell r="C2">
            <v>45963</v>
          </cell>
          <cell r="D2">
            <v>45964</v>
          </cell>
          <cell r="E2">
            <v>45965</v>
          </cell>
          <cell r="F2">
            <v>45966</v>
          </cell>
          <cell r="G2">
            <v>45967</v>
          </cell>
          <cell r="H2">
            <v>45968</v>
          </cell>
          <cell r="I2">
            <v>45969</v>
          </cell>
          <cell r="J2">
            <v>45970</v>
          </cell>
          <cell r="K2">
            <v>45971</v>
          </cell>
          <cell r="L2">
            <v>45972</v>
          </cell>
          <cell r="M2">
            <v>45973</v>
          </cell>
          <cell r="N2">
            <v>45974</v>
          </cell>
          <cell r="O2">
            <v>45975</v>
          </cell>
          <cell r="P2">
            <v>45976</v>
          </cell>
          <cell r="Q2">
            <v>45977</v>
          </cell>
          <cell r="R2">
            <v>45978</v>
          </cell>
          <cell r="S2">
            <v>45979</v>
          </cell>
          <cell r="T2">
            <v>45980</v>
          </cell>
          <cell r="U2">
            <v>45981</v>
          </cell>
          <cell r="V2">
            <v>45982</v>
          </cell>
          <cell r="W2">
            <v>45983</v>
          </cell>
          <cell r="X2">
            <v>45984</v>
          </cell>
          <cell r="Y2">
            <v>45985</v>
          </cell>
          <cell r="Z2">
            <v>45986</v>
          </cell>
          <cell r="AA2">
            <v>45987</v>
          </cell>
          <cell r="AB2">
            <v>45988</v>
          </cell>
          <cell r="AC2">
            <v>45989</v>
          </cell>
          <cell r="AD2">
            <v>45990</v>
          </cell>
          <cell r="AE2">
            <v>45991</v>
          </cell>
        </row>
        <row r="3">
          <cell r="B3">
            <v>2629</v>
          </cell>
          <cell r="C3">
            <v>2643</v>
          </cell>
          <cell r="D3">
            <v>2400</v>
          </cell>
          <cell r="E3">
            <v>2567</v>
          </cell>
          <cell r="F3">
            <v>2528</v>
          </cell>
          <cell r="G3">
            <v>2479</v>
          </cell>
          <cell r="H3">
            <v>2550</v>
          </cell>
          <cell r="I3">
            <v>2415</v>
          </cell>
          <cell r="J3">
            <v>2427</v>
          </cell>
          <cell r="K3">
            <v>2204</v>
          </cell>
          <cell r="L3">
            <v>2358</v>
          </cell>
          <cell r="M3">
            <v>2322</v>
          </cell>
          <cell r="N3">
            <v>2277</v>
          </cell>
          <cell r="O3">
            <v>2342</v>
          </cell>
          <cell r="P3">
            <v>2556</v>
          </cell>
          <cell r="Q3">
            <v>2569</v>
          </cell>
          <cell r="R3">
            <v>2333</v>
          </cell>
          <cell r="S3">
            <v>2495</v>
          </cell>
          <cell r="T3">
            <v>2458</v>
          </cell>
          <cell r="U3">
            <v>2409</v>
          </cell>
          <cell r="V3">
            <v>2478</v>
          </cell>
          <cell r="W3">
            <v>2343</v>
          </cell>
          <cell r="X3">
            <v>2356</v>
          </cell>
          <cell r="Y3">
            <v>2139</v>
          </cell>
          <cell r="Z3">
            <v>2288</v>
          </cell>
          <cell r="AA3">
            <v>2254</v>
          </cell>
          <cell r="AB3">
            <v>2209</v>
          </cell>
          <cell r="AC3">
            <v>2273</v>
          </cell>
          <cell r="AD3">
            <v>2343</v>
          </cell>
          <cell r="AE3">
            <v>2356</v>
          </cell>
        </row>
        <row r="4">
          <cell r="B4">
            <v>58</v>
          </cell>
          <cell r="C4">
            <v>54</v>
          </cell>
          <cell r="D4">
            <v>46</v>
          </cell>
          <cell r="E4">
            <v>49</v>
          </cell>
          <cell r="F4">
            <v>57</v>
          </cell>
          <cell r="G4">
            <v>64</v>
          </cell>
          <cell r="H4">
            <v>56</v>
          </cell>
          <cell r="I4">
            <v>53</v>
          </cell>
          <cell r="J4">
            <v>50</v>
          </cell>
          <cell r="K4">
            <v>42</v>
          </cell>
          <cell r="L4">
            <v>45</v>
          </cell>
          <cell r="M4">
            <v>52</v>
          </cell>
          <cell r="N4">
            <v>59</v>
          </cell>
          <cell r="O4">
            <v>51</v>
          </cell>
          <cell r="P4">
            <v>56</v>
          </cell>
          <cell r="Q4">
            <v>53</v>
          </cell>
          <cell r="R4">
            <v>44</v>
          </cell>
          <cell r="S4">
            <v>48</v>
          </cell>
          <cell r="T4">
            <v>55</v>
          </cell>
          <cell r="U4">
            <v>63</v>
          </cell>
          <cell r="V4">
            <v>54</v>
          </cell>
          <cell r="W4">
            <v>51</v>
          </cell>
          <cell r="X4">
            <v>49</v>
          </cell>
          <cell r="Y4">
            <v>41</v>
          </cell>
          <cell r="Z4">
            <v>44</v>
          </cell>
          <cell r="AA4">
            <v>51</v>
          </cell>
          <cell r="AB4">
            <v>57</v>
          </cell>
          <cell r="AC4">
            <v>50</v>
          </cell>
          <cell r="AD4">
            <v>51</v>
          </cell>
          <cell r="AE4">
            <v>49</v>
          </cell>
        </row>
        <row r="5">
          <cell r="B5">
            <v>50</v>
          </cell>
          <cell r="C5">
            <v>53</v>
          </cell>
          <cell r="D5">
            <v>45</v>
          </cell>
          <cell r="E5">
            <v>49</v>
          </cell>
          <cell r="F5">
            <v>53</v>
          </cell>
          <cell r="G5">
            <v>48</v>
          </cell>
          <cell r="H5">
            <v>55</v>
          </cell>
          <cell r="I5">
            <v>46</v>
          </cell>
          <cell r="J5">
            <v>49</v>
          </cell>
          <cell r="K5">
            <v>41</v>
          </cell>
          <cell r="L5">
            <v>45</v>
          </cell>
          <cell r="M5">
            <v>48</v>
          </cell>
          <cell r="N5">
            <v>44</v>
          </cell>
          <cell r="O5">
            <v>50</v>
          </cell>
          <cell r="P5">
            <v>49</v>
          </cell>
          <cell r="Q5">
            <v>52</v>
          </cell>
          <cell r="R5">
            <v>44</v>
          </cell>
          <cell r="S5">
            <v>48</v>
          </cell>
          <cell r="T5">
            <v>51</v>
          </cell>
          <cell r="U5">
            <v>47</v>
          </cell>
          <cell r="V5">
            <v>53</v>
          </cell>
          <cell r="W5">
            <v>45</v>
          </cell>
          <cell r="X5">
            <v>47</v>
          </cell>
          <cell r="Y5">
            <v>40</v>
          </cell>
          <cell r="Z5">
            <v>44</v>
          </cell>
          <cell r="AA5">
            <v>47</v>
          </cell>
          <cell r="AB5">
            <v>43</v>
          </cell>
          <cell r="AC5">
            <v>49</v>
          </cell>
          <cell r="AD5">
            <v>45</v>
          </cell>
          <cell r="AE5">
            <v>47</v>
          </cell>
        </row>
        <row r="6">
          <cell r="B6">
            <v>43</v>
          </cell>
          <cell r="C6">
            <v>43</v>
          </cell>
          <cell r="D6">
            <v>39</v>
          </cell>
          <cell r="E6">
            <v>40</v>
          </cell>
          <cell r="F6">
            <v>42</v>
          </cell>
          <cell r="G6">
            <v>38</v>
          </cell>
          <cell r="H6">
            <v>52</v>
          </cell>
          <cell r="I6">
            <v>39</v>
          </cell>
          <cell r="J6">
            <v>40</v>
          </cell>
          <cell r="K6">
            <v>36</v>
          </cell>
          <cell r="L6">
            <v>37</v>
          </cell>
          <cell r="M6">
            <v>38</v>
          </cell>
          <cell r="N6">
            <v>35</v>
          </cell>
          <cell r="O6">
            <v>48</v>
          </cell>
          <cell r="P6">
            <v>42</v>
          </cell>
          <cell r="Q6">
            <v>42</v>
          </cell>
          <cell r="R6">
            <v>38</v>
          </cell>
          <cell r="S6">
            <v>39</v>
          </cell>
          <cell r="T6">
            <v>40</v>
          </cell>
          <cell r="U6">
            <v>37</v>
          </cell>
          <cell r="V6">
            <v>51</v>
          </cell>
          <cell r="W6">
            <v>38</v>
          </cell>
          <cell r="X6">
            <v>38</v>
          </cell>
          <cell r="Y6">
            <v>35</v>
          </cell>
          <cell r="Z6">
            <v>36</v>
          </cell>
          <cell r="AA6">
            <v>37</v>
          </cell>
          <cell r="AB6">
            <v>34</v>
          </cell>
          <cell r="AC6">
            <v>47</v>
          </cell>
          <cell r="AD6">
            <v>38</v>
          </cell>
          <cell r="AE6">
            <v>38</v>
          </cell>
        </row>
        <row r="7">
          <cell r="B7">
            <v>35</v>
          </cell>
          <cell r="C7">
            <v>33</v>
          </cell>
          <cell r="D7">
            <v>31</v>
          </cell>
          <cell r="E7">
            <v>30</v>
          </cell>
          <cell r="F7">
            <v>30</v>
          </cell>
          <cell r="G7">
            <v>29</v>
          </cell>
          <cell r="H7">
            <v>42</v>
          </cell>
          <cell r="I7">
            <v>33</v>
          </cell>
          <cell r="J7">
            <v>30</v>
          </cell>
          <cell r="K7">
            <v>29</v>
          </cell>
          <cell r="L7">
            <v>28</v>
          </cell>
          <cell r="M7">
            <v>28</v>
          </cell>
          <cell r="N7">
            <v>26</v>
          </cell>
          <cell r="O7">
            <v>38</v>
          </cell>
          <cell r="P7">
            <v>34</v>
          </cell>
          <cell r="Q7">
            <v>32</v>
          </cell>
          <cell r="R7">
            <v>31</v>
          </cell>
          <cell r="S7">
            <v>30</v>
          </cell>
          <cell r="T7">
            <v>30</v>
          </cell>
          <cell r="U7">
            <v>28</v>
          </cell>
          <cell r="V7">
            <v>41</v>
          </cell>
          <cell r="W7">
            <v>32</v>
          </cell>
          <cell r="X7">
            <v>29</v>
          </cell>
          <cell r="Y7">
            <v>28</v>
          </cell>
          <cell r="Z7">
            <v>27</v>
          </cell>
          <cell r="AA7">
            <v>27</v>
          </cell>
          <cell r="AB7">
            <v>26</v>
          </cell>
          <cell r="AC7">
            <v>37</v>
          </cell>
          <cell r="AD7">
            <v>32</v>
          </cell>
          <cell r="AE7">
            <v>29</v>
          </cell>
        </row>
        <row r="8">
          <cell r="B8">
            <v>27</v>
          </cell>
          <cell r="C8">
            <v>25</v>
          </cell>
          <cell r="D8">
            <v>24</v>
          </cell>
          <cell r="E8">
            <v>24</v>
          </cell>
          <cell r="F8">
            <v>24</v>
          </cell>
          <cell r="G8">
            <v>21</v>
          </cell>
          <cell r="H8">
            <v>36</v>
          </cell>
          <cell r="I8">
            <v>25</v>
          </cell>
          <cell r="J8">
            <v>23</v>
          </cell>
          <cell r="K8">
            <v>22</v>
          </cell>
          <cell r="L8">
            <v>22</v>
          </cell>
          <cell r="M8">
            <v>22</v>
          </cell>
          <cell r="N8">
            <v>19</v>
          </cell>
          <cell r="O8">
            <v>33</v>
          </cell>
          <cell r="P8">
            <v>26</v>
          </cell>
          <cell r="Q8">
            <v>24</v>
          </cell>
          <cell r="R8">
            <v>23</v>
          </cell>
          <cell r="S8">
            <v>23</v>
          </cell>
          <cell r="T8">
            <v>23</v>
          </cell>
          <cell r="U8">
            <v>20</v>
          </cell>
          <cell r="V8">
            <v>35</v>
          </cell>
          <cell r="W8">
            <v>24</v>
          </cell>
          <cell r="X8">
            <v>22</v>
          </cell>
          <cell r="Y8">
            <v>21</v>
          </cell>
          <cell r="Z8">
            <v>21</v>
          </cell>
          <cell r="AA8">
            <v>21</v>
          </cell>
          <cell r="AB8">
            <v>19</v>
          </cell>
          <cell r="AC8">
            <v>32</v>
          </cell>
          <cell r="AD8">
            <v>24</v>
          </cell>
          <cell r="AE8">
            <v>22</v>
          </cell>
        </row>
        <row r="9">
          <cell r="B9">
            <v>19</v>
          </cell>
          <cell r="C9">
            <v>19</v>
          </cell>
          <cell r="D9">
            <v>17</v>
          </cell>
          <cell r="E9">
            <v>19</v>
          </cell>
          <cell r="F9">
            <v>18</v>
          </cell>
          <cell r="G9">
            <v>16</v>
          </cell>
          <cell r="H9">
            <v>29</v>
          </cell>
          <cell r="I9">
            <v>18</v>
          </cell>
          <cell r="J9">
            <v>18</v>
          </cell>
          <cell r="K9">
            <v>15</v>
          </cell>
          <cell r="L9">
            <v>17</v>
          </cell>
          <cell r="M9">
            <v>16</v>
          </cell>
          <cell r="N9">
            <v>14</v>
          </cell>
          <cell r="O9">
            <v>27</v>
          </cell>
          <cell r="P9">
            <v>19</v>
          </cell>
          <cell r="Q9">
            <v>19</v>
          </cell>
          <cell r="R9">
            <v>16</v>
          </cell>
          <cell r="S9">
            <v>18</v>
          </cell>
          <cell r="T9">
            <v>17</v>
          </cell>
          <cell r="U9">
            <v>15</v>
          </cell>
          <cell r="V9">
            <v>28</v>
          </cell>
          <cell r="W9">
            <v>17</v>
          </cell>
          <cell r="X9">
            <v>17</v>
          </cell>
          <cell r="Y9">
            <v>15</v>
          </cell>
          <cell r="Z9">
            <v>17</v>
          </cell>
          <cell r="AA9">
            <v>16</v>
          </cell>
          <cell r="AB9">
            <v>14</v>
          </cell>
          <cell r="AC9">
            <v>26</v>
          </cell>
          <cell r="AD9">
            <v>17</v>
          </cell>
          <cell r="AE9">
            <v>17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B18">
            <v>9</v>
          </cell>
          <cell r="C18">
            <v>8</v>
          </cell>
          <cell r="D18">
            <v>10</v>
          </cell>
          <cell r="E18">
            <v>11</v>
          </cell>
          <cell r="F18">
            <v>13</v>
          </cell>
          <cell r="G18">
            <v>11</v>
          </cell>
          <cell r="H18">
            <v>9</v>
          </cell>
          <cell r="I18">
            <v>8</v>
          </cell>
          <cell r="J18">
            <v>8</v>
          </cell>
          <cell r="K18">
            <v>9</v>
          </cell>
          <cell r="L18">
            <v>10</v>
          </cell>
          <cell r="M18">
            <v>12</v>
          </cell>
          <cell r="N18">
            <v>10</v>
          </cell>
          <cell r="O18">
            <v>8</v>
          </cell>
          <cell r="P18">
            <v>9</v>
          </cell>
          <cell r="Q18">
            <v>8</v>
          </cell>
          <cell r="R18">
            <v>10</v>
          </cell>
          <cell r="S18">
            <v>11</v>
          </cell>
          <cell r="T18">
            <v>12</v>
          </cell>
          <cell r="U18">
            <v>10</v>
          </cell>
          <cell r="V18">
            <v>9</v>
          </cell>
          <cell r="W18">
            <v>8</v>
          </cell>
          <cell r="X18">
            <v>7</v>
          </cell>
          <cell r="Y18">
            <v>9</v>
          </cell>
          <cell r="Z18">
            <v>10</v>
          </cell>
          <cell r="AA18">
            <v>11</v>
          </cell>
          <cell r="AB18">
            <v>10</v>
          </cell>
          <cell r="AC18">
            <v>8</v>
          </cell>
          <cell r="AD18">
            <v>8</v>
          </cell>
          <cell r="AE18">
            <v>7</v>
          </cell>
        </row>
        <row r="19">
          <cell r="B19">
            <v>13</v>
          </cell>
          <cell r="C19">
            <v>9</v>
          </cell>
          <cell r="D19">
            <v>11</v>
          </cell>
          <cell r="E19">
            <v>13</v>
          </cell>
          <cell r="F19">
            <v>13</v>
          </cell>
          <cell r="G19">
            <v>13</v>
          </cell>
          <cell r="H19">
            <v>9</v>
          </cell>
          <cell r="I19">
            <v>12</v>
          </cell>
          <cell r="J19">
            <v>9</v>
          </cell>
          <cell r="K19">
            <v>10</v>
          </cell>
          <cell r="L19">
            <v>12</v>
          </cell>
          <cell r="M19">
            <v>12</v>
          </cell>
          <cell r="N19">
            <v>12</v>
          </cell>
          <cell r="O19">
            <v>9</v>
          </cell>
          <cell r="P19">
            <v>12</v>
          </cell>
          <cell r="Q19">
            <v>9</v>
          </cell>
          <cell r="R19">
            <v>11</v>
          </cell>
          <cell r="S19">
            <v>13</v>
          </cell>
          <cell r="T19">
            <v>13</v>
          </cell>
          <cell r="U19">
            <v>13</v>
          </cell>
          <cell r="V19">
            <v>9</v>
          </cell>
          <cell r="W19">
            <v>11</v>
          </cell>
          <cell r="X19">
            <v>8</v>
          </cell>
          <cell r="Y19">
            <v>10</v>
          </cell>
          <cell r="Z19">
            <v>12</v>
          </cell>
          <cell r="AA19">
            <v>12</v>
          </cell>
          <cell r="AB19">
            <v>12</v>
          </cell>
          <cell r="AC19">
            <v>8</v>
          </cell>
          <cell r="AD19">
            <v>11</v>
          </cell>
          <cell r="AE19">
            <v>8</v>
          </cell>
        </row>
        <row r="20">
          <cell r="B20">
            <v>15</v>
          </cell>
          <cell r="C20">
            <v>14</v>
          </cell>
          <cell r="D20">
            <v>13</v>
          </cell>
          <cell r="E20">
            <v>15</v>
          </cell>
          <cell r="F20">
            <v>15</v>
          </cell>
          <cell r="G20">
            <v>15</v>
          </cell>
          <cell r="H20">
            <v>14</v>
          </cell>
          <cell r="I20">
            <v>14</v>
          </cell>
          <cell r="J20">
            <v>13</v>
          </cell>
          <cell r="K20">
            <v>12</v>
          </cell>
          <cell r="L20">
            <v>14</v>
          </cell>
          <cell r="M20">
            <v>14</v>
          </cell>
          <cell r="N20">
            <v>14</v>
          </cell>
          <cell r="O20">
            <v>13</v>
          </cell>
          <cell r="P20">
            <v>15</v>
          </cell>
          <cell r="Q20">
            <v>14</v>
          </cell>
          <cell r="R20">
            <v>13</v>
          </cell>
          <cell r="S20">
            <v>15</v>
          </cell>
          <cell r="T20">
            <v>15</v>
          </cell>
          <cell r="U20">
            <v>15</v>
          </cell>
          <cell r="V20">
            <v>14</v>
          </cell>
          <cell r="W20">
            <v>14</v>
          </cell>
          <cell r="X20">
            <v>12</v>
          </cell>
          <cell r="Y20">
            <v>11</v>
          </cell>
          <cell r="Z20">
            <v>14</v>
          </cell>
          <cell r="AA20">
            <v>13</v>
          </cell>
          <cell r="AB20">
            <v>14</v>
          </cell>
          <cell r="AC20">
            <v>12</v>
          </cell>
          <cell r="AD20">
            <v>14</v>
          </cell>
          <cell r="AE20">
            <v>12</v>
          </cell>
        </row>
        <row r="21">
          <cell r="B21">
            <v>16</v>
          </cell>
          <cell r="C21">
            <v>18</v>
          </cell>
          <cell r="D21">
            <v>17</v>
          </cell>
          <cell r="E21">
            <v>21</v>
          </cell>
          <cell r="F21">
            <v>20</v>
          </cell>
          <cell r="G21">
            <v>19</v>
          </cell>
          <cell r="H21">
            <v>17</v>
          </cell>
          <cell r="I21">
            <v>15</v>
          </cell>
          <cell r="J21">
            <v>16</v>
          </cell>
          <cell r="K21">
            <v>16</v>
          </cell>
          <cell r="L21">
            <v>19</v>
          </cell>
          <cell r="M21">
            <v>18</v>
          </cell>
          <cell r="N21">
            <v>17</v>
          </cell>
          <cell r="O21">
            <v>16</v>
          </cell>
          <cell r="P21">
            <v>16</v>
          </cell>
          <cell r="Q21">
            <v>17</v>
          </cell>
          <cell r="R21">
            <v>17</v>
          </cell>
          <cell r="S21">
            <v>20</v>
          </cell>
          <cell r="T21">
            <v>19</v>
          </cell>
          <cell r="U21">
            <v>19</v>
          </cell>
          <cell r="V21">
            <v>16</v>
          </cell>
          <cell r="W21">
            <v>14</v>
          </cell>
          <cell r="X21">
            <v>16</v>
          </cell>
          <cell r="Y21">
            <v>15</v>
          </cell>
          <cell r="Z21">
            <v>18</v>
          </cell>
          <cell r="AA21">
            <v>18</v>
          </cell>
          <cell r="AB21">
            <v>17</v>
          </cell>
          <cell r="AC21">
            <v>15</v>
          </cell>
          <cell r="AD21">
            <v>14</v>
          </cell>
          <cell r="AE21">
            <v>16</v>
          </cell>
        </row>
        <row r="22">
          <cell r="B22">
            <v>23</v>
          </cell>
          <cell r="C22">
            <v>27</v>
          </cell>
          <cell r="D22">
            <v>22</v>
          </cell>
          <cell r="E22">
            <v>24</v>
          </cell>
          <cell r="F22">
            <v>25</v>
          </cell>
          <cell r="G22">
            <v>25</v>
          </cell>
          <cell r="H22">
            <v>20</v>
          </cell>
          <cell r="I22">
            <v>21</v>
          </cell>
          <cell r="J22">
            <v>25</v>
          </cell>
          <cell r="K22">
            <v>20</v>
          </cell>
          <cell r="L22">
            <v>22</v>
          </cell>
          <cell r="M22">
            <v>23</v>
          </cell>
          <cell r="N22">
            <v>23</v>
          </cell>
          <cell r="O22">
            <v>18</v>
          </cell>
          <cell r="P22">
            <v>23</v>
          </cell>
          <cell r="Q22">
            <v>26</v>
          </cell>
          <cell r="R22">
            <v>21</v>
          </cell>
          <cell r="S22">
            <v>23</v>
          </cell>
          <cell r="T22">
            <v>24</v>
          </cell>
          <cell r="U22">
            <v>25</v>
          </cell>
          <cell r="V22">
            <v>19</v>
          </cell>
          <cell r="W22">
            <v>21</v>
          </cell>
          <cell r="X22">
            <v>24</v>
          </cell>
          <cell r="Y22">
            <v>20</v>
          </cell>
          <cell r="Z22">
            <v>21</v>
          </cell>
          <cell r="AA22">
            <v>22</v>
          </cell>
          <cell r="AB22">
            <v>23</v>
          </cell>
          <cell r="AC22">
            <v>18</v>
          </cell>
          <cell r="AD22">
            <v>21</v>
          </cell>
          <cell r="AE22">
            <v>24</v>
          </cell>
        </row>
        <row r="23">
          <cell r="B23">
            <v>33</v>
          </cell>
          <cell r="C23">
            <v>28</v>
          </cell>
          <cell r="D23">
            <v>25</v>
          </cell>
          <cell r="E23">
            <v>29</v>
          </cell>
          <cell r="F23">
            <v>27</v>
          </cell>
          <cell r="G23">
            <v>28</v>
          </cell>
          <cell r="H23">
            <v>29</v>
          </cell>
          <cell r="I23">
            <v>30</v>
          </cell>
          <cell r="J23">
            <v>26</v>
          </cell>
          <cell r="K23">
            <v>23</v>
          </cell>
          <cell r="L23">
            <v>27</v>
          </cell>
          <cell r="M23">
            <v>25</v>
          </cell>
          <cell r="N23">
            <v>26</v>
          </cell>
          <cell r="O23">
            <v>27</v>
          </cell>
          <cell r="P23">
            <v>32</v>
          </cell>
          <cell r="Q23">
            <v>28</v>
          </cell>
          <cell r="R23">
            <v>25</v>
          </cell>
          <cell r="S23">
            <v>29</v>
          </cell>
          <cell r="T23">
            <v>26</v>
          </cell>
          <cell r="U23">
            <v>27</v>
          </cell>
          <cell r="V23">
            <v>29</v>
          </cell>
          <cell r="W23">
            <v>29</v>
          </cell>
          <cell r="X23">
            <v>25</v>
          </cell>
          <cell r="Y23">
            <v>23</v>
          </cell>
          <cell r="Z23">
            <v>26</v>
          </cell>
          <cell r="AA23">
            <v>24</v>
          </cell>
          <cell r="AB23">
            <v>25</v>
          </cell>
          <cell r="AC23">
            <v>26</v>
          </cell>
          <cell r="AD23">
            <v>29</v>
          </cell>
          <cell r="AE23">
            <v>25</v>
          </cell>
        </row>
        <row r="24">
          <cell r="B24">
            <v>35</v>
          </cell>
          <cell r="C24">
            <v>39</v>
          </cell>
          <cell r="D24">
            <v>29</v>
          </cell>
          <cell r="E24">
            <v>34</v>
          </cell>
          <cell r="F24">
            <v>33</v>
          </cell>
          <cell r="G24">
            <v>31</v>
          </cell>
          <cell r="H24">
            <v>33</v>
          </cell>
          <cell r="I24">
            <v>32</v>
          </cell>
          <cell r="J24">
            <v>36</v>
          </cell>
          <cell r="K24">
            <v>27</v>
          </cell>
          <cell r="L24">
            <v>31</v>
          </cell>
          <cell r="M24">
            <v>30</v>
          </cell>
          <cell r="N24">
            <v>28</v>
          </cell>
          <cell r="O24">
            <v>30</v>
          </cell>
          <cell r="P24">
            <v>34</v>
          </cell>
          <cell r="Q24">
            <v>38</v>
          </cell>
          <cell r="R24">
            <v>28</v>
          </cell>
          <cell r="S24">
            <v>33</v>
          </cell>
          <cell r="T24">
            <v>32</v>
          </cell>
          <cell r="U24">
            <v>30</v>
          </cell>
          <cell r="V24">
            <v>32</v>
          </cell>
          <cell r="W24">
            <v>31</v>
          </cell>
          <cell r="X24">
            <v>35</v>
          </cell>
          <cell r="Y24">
            <v>26</v>
          </cell>
          <cell r="Z24">
            <v>30</v>
          </cell>
          <cell r="AA24">
            <v>29</v>
          </cell>
          <cell r="AB24">
            <v>27</v>
          </cell>
          <cell r="AC24">
            <v>30</v>
          </cell>
          <cell r="AD24">
            <v>31</v>
          </cell>
          <cell r="AE24">
            <v>35</v>
          </cell>
        </row>
        <row r="25">
          <cell r="B25">
            <v>48</v>
          </cell>
          <cell r="C25">
            <v>43</v>
          </cell>
          <cell r="D25">
            <v>35</v>
          </cell>
          <cell r="E25">
            <v>41</v>
          </cell>
          <cell r="F25">
            <v>38</v>
          </cell>
          <cell r="G25">
            <v>36</v>
          </cell>
          <cell r="H25">
            <v>40</v>
          </cell>
          <cell r="I25">
            <v>44</v>
          </cell>
          <cell r="J25">
            <v>39</v>
          </cell>
          <cell r="K25">
            <v>33</v>
          </cell>
          <cell r="L25">
            <v>38</v>
          </cell>
          <cell r="M25">
            <v>35</v>
          </cell>
          <cell r="N25">
            <v>33</v>
          </cell>
          <cell r="O25">
            <v>37</v>
          </cell>
          <cell r="P25">
            <v>47</v>
          </cell>
          <cell r="Q25">
            <v>42</v>
          </cell>
          <cell r="R25">
            <v>34</v>
          </cell>
          <cell r="S25">
            <v>40</v>
          </cell>
          <cell r="T25">
            <v>37</v>
          </cell>
          <cell r="U25">
            <v>35</v>
          </cell>
          <cell r="V25">
            <v>39</v>
          </cell>
          <cell r="W25">
            <v>43</v>
          </cell>
          <cell r="X25">
            <v>38</v>
          </cell>
          <cell r="Y25">
            <v>32</v>
          </cell>
          <cell r="Z25">
            <v>36</v>
          </cell>
          <cell r="AA25">
            <v>34</v>
          </cell>
          <cell r="AB25">
            <v>32</v>
          </cell>
          <cell r="AC25">
            <v>35</v>
          </cell>
          <cell r="AD25">
            <v>43</v>
          </cell>
          <cell r="AE25">
            <v>38</v>
          </cell>
        </row>
        <row r="26">
          <cell r="B26">
            <v>52</v>
          </cell>
          <cell r="C26">
            <v>49</v>
          </cell>
          <cell r="D26">
            <v>41</v>
          </cell>
          <cell r="E26">
            <v>46</v>
          </cell>
          <cell r="F26">
            <v>42</v>
          </cell>
          <cell r="G26">
            <v>45</v>
          </cell>
          <cell r="H26">
            <v>37</v>
          </cell>
          <cell r="I26">
            <v>48</v>
          </cell>
          <cell r="J26">
            <v>45</v>
          </cell>
          <cell r="K26">
            <v>37</v>
          </cell>
          <cell r="L26">
            <v>42</v>
          </cell>
          <cell r="M26">
            <v>39</v>
          </cell>
          <cell r="N26">
            <v>42</v>
          </cell>
          <cell r="O26">
            <v>34</v>
          </cell>
          <cell r="P26">
            <v>51</v>
          </cell>
          <cell r="Q26">
            <v>47</v>
          </cell>
          <cell r="R26">
            <v>39</v>
          </cell>
          <cell r="S26">
            <v>44</v>
          </cell>
          <cell r="T26">
            <v>41</v>
          </cell>
          <cell r="U26">
            <v>44</v>
          </cell>
          <cell r="V26">
            <v>36</v>
          </cell>
          <cell r="W26">
            <v>47</v>
          </cell>
          <cell r="X26">
            <v>43</v>
          </cell>
          <cell r="Y26">
            <v>36</v>
          </cell>
          <cell r="Z26">
            <v>41</v>
          </cell>
          <cell r="AA26">
            <v>38</v>
          </cell>
          <cell r="AB26">
            <v>40</v>
          </cell>
          <cell r="AC26">
            <v>33</v>
          </cell>
          <cell r="AD26">
            <v>47</v>
          </cell>
          <cell r="AE26">
            <v>43</v>
          </cell>
        </row>
        <row r="27">
          <cell r="B27">
            <v>55</v>
          </cell>
          <cell r="C27">
            <v>51</v>
          </cell>
          <cell r="D27">
            <v>46</v>
          </cell>
          <cell r="E27">
            <v>49</v>
          </cell>
          <cell r="F27">
            <v>47</v>
          </cell>
          <cell r="G27">
            <v>49</v>
          </cell>
          <cell r="H27">
            <v>31</v>
          </cell>
          <cell r="I27">
            <v>51</v>
          </cell>
          <cell r="J27">
            <v>46</v>
          </cell>
          <cell r="K27">
            <v>42</v>
          </cell>
          <cell r="L27">
            <v>45</v>
          </cell>
          <cell r="M27">
            <v>43</v>
          </cell>
          <cell r="N27">
            <v>45</v>
          </cell>
          <cell r="O27">
            <v>29</v>
          </cell>
          <cell r="P27">
            <v>54</v>
          </cell>
          <cell r="Q27">
            <v>49</v>
          </cell>
          <cell r="R27">
            <v>44</v>
          </cell>
          <cell r="S27">
            <v>48</v>
          </cell>
          <cell r="T27">
            <v>45</v>
          </cell>
          <cell r="U27">
            <v>47</v>
          </cell>
          <cell r="V27">
            <v>31</v>
          </cell>
          <cell r="W27">
            <v>49</v>
          </cell>
          <cell r="X27">
            <v>45</v>
          </cell>
          <cell r="Y27">
            <v>41</v>
          </cell>
          <cell r="Z27">
            <v>44</v>
          </cell>
          <cell r="AA27">
            <v>42</v>
          </cell>
          <cell r="AB27">
            <v>43</v>
          </cell>
          <cell r="AC27">
            <v>28</v>
          </cell>
          <cell r="AD27">
            <v>49</v>
          </cell>
          <cell r="AE27">
            <v>45</v>
          </cell>
        </row>
        <row r="28">
          <cell r="B28">
            <v>60</v>
          </cell>
          <cell r="C28">
            <v>56</v>
          </cell>
          <cell r="D28">
            <v>51</v>
          </cell>
          <cell r="E28">
            <v>57</v>
          </cell>
          <cell r="F28">
            <v>53</v>
          </cell>
          <cell r="G28">
            <v>52</v>
          </cell>
          <cell r="H28">
            <v>28</v>
          </cell>
          <cell r="I28">
            <v>55</v>
          </cell>
          <cell r="J28">
            <v>51</v>
          </cell>
          <cell r="K28">
            <v>47</v>
          </cell>
          <cell r="L28">
            <v>52</v>
          </cell>
          <cell r="M28">
            <v>48</v>
          </cell>
          <cell r="N28">
            <v>48</v>
          </cell>
          <cell r="O28">
            <v>26</v>
          </cell>
          <cell r="P28">
            <v>58</v>
          </cell>
          <cell r="Q28">
            <v>54</v>
          </cell>
          <cell r="R28">
            <v>49</v>
          </cell>
          <cell r="S28">
            <v>55</v>
          </cell>
          <cell r="T28">
            <v>51</v>
          </cell>
          <cell r="U28">
            <v>51</v>
          </cell>
          <cell r="V28">
            <v>27</v>
          </cell>
          <cell r="W28">
            <v>54</v>
          </cell>
          <cell r="X28">
            <v>50</v>
          </cell>
          <cell r="Y28">
            <v>45</v>
          </cell>
          <cell r="Z28">
            <v>50</v>
          </cell>
          <cell r="AA28">
            <v>47</v>
          </cell>
          <cell r="AB28">
            <v>46</v>
          </cell>
          <cell r="AC28">
            <v>25</v>
          </cell>
          <cell r="AD28">
            <v>54</v>
          </cell>
          <cell r="AE28">
            <v>50</v>
          </cell>
        </row>
        <row r="29">
          <cell r="B29">
            <v>80</v>
          </cell>
          <cell r="C29">
            <v>66</v>
          </cell>
          <cell r="D29">
            <v>63</v>
          </cell>
          <cell r="E29">
            <v>54</v>
          </cell>
          <cell r="F29">
            <v>59</v>
          </cell>
          <cell r="G29">
            <v>61</v>
          </cell>
          <cell r="H29">
            <v>69</v>
          </cell>
          <cell r="I29">
            <v>73</v>
          </cell>
          <cell r="J29">
            <v>61</v>
          </cell>
          <cell r="K29">
            <v>58</v>
          </cell>
          <cell r="L29">
            <v>50</v>
          </cell>
          <cell r="M29">
            <v>54</v>
          </cell>
          <cell r="N29">
            <v>56</v>
          </cell>
          <cell r="O29">
            <v>63</v>
          </cell>
          <cell r="P29">
            <v>77</v>
          </cell>
          <cell r="Q29">
            <v>64</v>
          </cell>
          <cell r="R29">
            <v>61</v>
          </cell>
          <cell r="S29">
            <v>52</v>
          </cell>
          <cell r="T29">
            <v>57</v>
          </cell>
          <cell r="U29">
            <v>59</v>
          </cell>
          <cell r="V29">
            <v>67</v>
          </cell>
          <cell r="W29">
            <v>71</v>
          </cell>
          <cell r="X29">
            <v>59</v>
          </cell>
          <cell r="Y29">
            <v>56</v>
          </cell>
          <cell r="Z29">
            <v>48</v>
          </cell>
          <cell r="AA29">
            <v>52</v>
          </cell>
          <cell r="AB29">
            <v>54</v>
          </cell>
          <cell r="AC29">
            <v>61</v>
          </cell>
          <cell r="AD29">
            <v>71</v>
          </cell>
          <cell r="AE29">
            <v>59</v>
          </cell>
        </row>
        <row r="30">
          <cell r="B30">
            <v>85</v>
          </cell>
          <cell r="C30">
            <v>72</v>
          </cell>
          <cell r="D30">
            <v>63</v>
          </cell>
          <cell r="E30">
            <v>68</v>
          </cell>
          <cell r="F30">
            <v>71</v>
          </cell>
          <cell r="G30">
            <v>69</v>
          </cell>
          <cell r="H30">
            <v>95</v>
          </cell>
          <cell r="I30">
            <v>78</v>
          </cell>
          <cell r="J30">
            <v>66</v>
          </cell>
          <cell r="K30">
            <v>57</v>
          </cell>
          <cell r="L30">
            <v>62</v>
          </cell>
          <cell r="M30">
            <v>66</v>
          </cell>
          <cell r="N30">
            <v>63</v>
          </cell>
          <cell r="O30">
            <v>87</v>
          </cell>
          <cell r="P30">
            <v>82</v>
          </cell>
          <cell r="Q30">
            <v>70</v>
          </cell>
          <cell r="R30">
            <v>61</v>
          </cell>
          <cell r="S30">
            <v>66</v>
          </cell>
          <cell r="T30">
            <v>70</v>
          </cell>
          <cell r="U30">
            <v>67</v>
          </cell>
          <cell r="V30">
            <v>92</v>
          </cell>
          <cell r="W30">
            <v>75</v>
          </cell>
          <cell r="X30">
            <v>64</v>
          </cell>
          <cell r="Y30">
            <v>56</v>
          </cell>
          <cell r="Z30">
            <v>60</v>
          </cell>
          <cell r="AA30">
            <v>64</v>
          </cell>
          <cell r="AB30">
            <v>61</v>
          </cell>
          <cell r="AC30">
            <v>85</v>
          </cell>
          <cell r="AD30">
            <v>75</v>
          </cell>
          <cell r="AE30">
            <v>64</v>
          </cell>
        </row>
        <row r="31">
          <cell r="B31">
            <v>86</v>
          </cell>
          <cell r="C31">
            <v>76</v>
          </cell>
          <cell r="D31">
            <v>65</v>
          </cell>
          <cell r="E31">
            <v>64</v>
          </cell>
          <cell r="F31">
            <v>73</v>
          </cell>
          <cell r="G31">
            <v>77</v>
          </cell>
          <cell r="H31">
            <v>100</v>
          </cell>
          <cell r="I31">
            <v>79</v>
          </cell>
          <cell r="J31">
            <v>69</v>
          </cell>
          <cell r="K31">
            <v>60</v>
          </cell>
          <cell r="L31">
            <v>59</v>
          </cell>
          <cell r="M31">
            <v>67</v>
          </cell>
          <cell r="N31">
            <v>70</v>
          </cell>
          <cell r="O31">
            <v>92</v>
          </cell>
          <cell r="P31">
            <v>84</v>
          </cell>
          <cell r="Q31">
            <v>73</v>
          </cell>
          <cell r="R31">
            <v>63</v>
          </cell>
          <cell r="S31">
            <v>62</v>
          </cell>
          <cell r="T31">
            <v>71</v>
          </cell>
          <cell r="U31">
            <v>75</v>
          </cell>
          <cell r="V31">
            <v>97</v>
          </cell>
          <cell r="W31">
            <v>77</v>
          </cell>
          <cell r="X31">
            <v>67</v>
          </cell>
          <cell r="Y31">
            <v>58</v>
          </cell>
          <cell r="Z31">
            <v>57</v>
          </cell>
          <cell r="AA31">
            <v>65</v>
          </cell>
          <cell r="AB31">
            <v>68</v>
          </cell>
          <cell r="AC31">
            <v>89</v>
          </cell>
          <cell r="AD31">
            <v>77</v>
          </cell>
          <cell r="AE31">
            <v>67</v>
          </cell>
        </row>
        <row r="32">
          <cell r="B32">
            <v>90</v>
          </cell>
          <cell r="C32">
            <v>79</v>
          </cell>
          <cell r="D32">
            <v>65</v>
          </cell>
          <cell r="E32">
            <v>85</v>
          </cell>
          <cell r="F32">
            <v>72</v>
          </cell>
          <cell r="G32">
            <v>77</v>
          </cell>
          <cell r="H32">
            <v>89</v>
          </cell>
          <cell r="I32">
            <v>83</v>
          </cell>
          <cell r="J32">
            <v>73</v>
          </cell>
          <cell r="K32">
            <v>60</v>
          </cell>
          <cell r="L32">
            <v>78</v>
          </cell>
          <cell r="M32">
            <v>66</v>
          </cell>
          <cell r="N32">
            <v>70</v>
          </cell>
          <cell r="O32">
            <v>82</v>
          </cell>
          <cell r="P32">
            <v>88</v>
          </cell>
          <cell r="Q32">
            <v>77</v>
          </cell>
          <cell r="R32">
            <v>63</v>
          </cell>
          <cell r="S32">
            <v>83</v>
          </cell>
          <cell r="T32">
            <v>70</v>
          </cell>
          <cell r="U32">
            <v>74</v>
          </cell>
          <cell r="V32">
            <v>87</v>
          </cell>
          <cell r="W32">
            <v>80</v>
          </cell>
          <cell r="X32">
            <v>71</v>
          </cell>
          <cell r="Y32">
            <v>58</v>
          </cell>
          <cell r="Z32">
            <v>76</v>
          </cell>
          <cell r="AA32">
            <v>64</v>
          </cell>
          <cell r="AB32">
            <v>68</v>
          </cell>
          <cell r="AC32">
            <v>80</v>
          </cell>
          <cell r="AD32">
            <v>80</v>
          </cell>
          <cell r="AE32">
            <v>71</v>
          </cell>
        </row>
        <row r="33">
          <cell r="B33">
            <v>81</v>
          </cell>
          <cell r="C33">
            <v>82</v>
          </cell>
          <cell r="D33">
            <v>68</v>
          </cell>
          <cell r="E33">
            <v>81</v>
          </cell>
          <cell r="F33">
            <v>72</v>
          </cell>
          <cell r="G33">
            <v>72</v>
          </cell>
          <cell r="H33">
            <v>93</v>
          </cell>
          <cell r="I33">
            <v>74</v>
          </cell>
          <cell r="J33">
            <v>75</v>
          </cell>
          <cell r="K33">
            <v>62</v>
          </cell>
          <cell r="L33">
            <v>74</v>
          </cell>
          <cell r="M33">
            <v>66</v>
          </cell>
          <cell r="N33">
            <v>66</v>
          </cell>
          <cell r="O33">
            <v>85</v>
          </cell>
          <cell r="P33">
            <v>79</v>
          </cell>
          <cell r="Q33">
            <v>80</v>
          </cell>
          <cell r="R33">
            <v>66</v>
          </cell>
          <cell r="S33">
            <v>79</v>
          </cell>
          <cell r="T33">
            <v>70</v>
          </cell>
          <cell r="U33">
            <v>70</v>
          </cell>
          <cell r="V33">
            <v>90</v>
          </cell>
          <cell r="W33">
            <v>72</v>
          </cell>
          <cell r="X33">
            <v>73</v>
          </cell>
          <cell r="Y33">
            <v>61</v>
          </cell>
          <cell r="Z33">
            <v>72</v>
          </cell>
          <cell r="AA33">
            <v>64</v>
          </cell>
          <cell r="AB33">
            <v>64</v>
          </cell>
          <cell r="AC33">
            <v>83</v>
          </cell>
          <cell r="AD33">
            <v>72</v>
          </cell>
          <cell r="AE33">
            <v>73</v>
          </cell>
        </row>
        <row r="34">
          <cell r="B34">
            <v>71</v>
          </cell>
          <cell r="C34">
            <v>88</v>
          </cell>
          <cell r="D34">
            <v>71</v>
          </cell>
          <cell r="E34">
            <v>77</v>
          </cell>
          <cell r="F34">
            <v>69</v>
          </cell>
          <cell r="G34">
            <v>77</v>
          </cell>
          <cell r="H34">
            <v>79</v>
          </cell>
          <cell r="I34">
            <v>65</v>
          </cell>
          <cell r="J34">
            <v>81</v>
          </cell>
          <cell r="K34">
            <v>65</v>
          </cell>
          <cell r="L34">
            <v>71</v>
          </cell>
          <cell r="M34">
            <v>63</v>
          </cell>
          <cell r="N34">
            <v>70</v>
          </cell>
          <cell r="O34">
            <v>72</v>
          </cell>
          <cell r="P34">
            <v>69</v>
          </cell>
          <cell r="Q34">
            <v>85</v>
          </cell>
          <cell r="R34">
            <v>69</v>
          </cell>
          <cell r="S34">
            <v>75</v>
          </cell>
          <cell r="T34">
            <v>67</v>
          </cell>
          <cell r="U34">
            <v>74</v>
          </cell>
          <cell r="V34">
            <v>76</v>
          </cell>
          <cell r="W34">
            <v>63</v>
          </cell>
          <cell r="X34">
            <v>78</v>
          </cell>
          <cell r="Y34">
            <v>63</v>
          </cell>
          <cell r="Z34">
            <v>69</v>
          </cell>
          <cell r="AA34">
            <v>61</v>
          </cell>
          <cell r="AB34">
            <v>68</v>
          </cell>
          <cell r="AC34">
            <v>70</v>
          </cell>
          <cell r="AD34">
            <v>63</v>
          </cell>
          <cell r="AE34">
            <v>78</v>
          </cell>
        </row>
        <row r="35">
          <cell r="B35">
            <v>78</v>
          </cell>
          <cell r="C35">
            <v>85</v>
          </cell>
          <cell r="D35">
            <v>79</v>
          </cell>
          <cell r="E35">
            <v>73</v>
          </cell>
          <cell r="F35">
            <v>71</v>
          </cell>
          <cell r="G35">
            <v>81</v>
          </cell>
          <cell r="H35">
            <v>87</v>
          </cell>
          <cell r="I35">
            <v>72</v>
          </cell>
          <cell r="J35">
            <v>78</v>
          </cell>
          <cell r="K35">
            <v>73</v>
          </cell>
          <cell r="L35">
            <v>67</v>
          </cell>
          <cell r="M35">
            <v>65</v>
          </cell>
          <cell r="N35">
            <v>74</v>
          </cell>
          <cell r="O35">
            <v>80</v>
          </cell>
          <cell r="P35">
            <v>76</v>
          </cell>
          <cell r="Q35">
            <v>82</v>
          </cell>
          <cell r="R35">
            <v>77</v>
          </cell>
          <cell r="S35">
            <v>71</v>
          </cell>
          <cell r="T35">
            <v>69</v>
          </cell>
          <cell r="U35">
            <v>78</v>
          </cell>
          <cell r="V35">
            <v>85</v>
          </cell>
          <cell r="W35">
            <v>69</v>
          </cell>
          <cell r="X35">
            <v>75</v>
          </cell>
          <cell r="Y35">
            <v>70</v>
          </cell>
          <cell r="Z35">
            <v>65</v>
          </cell>
          <cell r="AA35">
            <v>63</v>
          </cell>
          <cell r="AB35">
            <v>72</v>
          </cell>
          <cell r="AC35">
            <v>78</v>
          </cell>
          <cell r="AD35">
            <v>69</v>
          </cell>
          <cell r="AE35">
            <v>75</v>
          </cell>
        </row>
        <row r="36">
          <cell r="B36">
            <v>82</v>
          </cell>
          <cell r="C36">
            <v>85</v>
          </cell>
          <cell r="D36">
            <v>76</v>
          </cell>
          <cell r="E36">
            <v>80</v>
          </cell>
          <cell r="F36">
            <v>76</v>
          </cell>
          <cell r="G36">
            <v>77</v>
          </cell>
          <cell r="H36">
            <v>81</v>
          </cell>
          <cell r="I36">
            <v>75</v>
          </cell>
          <cell r="J36">
            <v>78</v>
          </cell>
          <cell r="K36">
            <v>70</v>
          </cell>
          <cell r="L36">
            <v>73</v>
          </cell>
          <cell r="M36">
            <v>69</v>
          </cell>
          <cell r="N36">
            <v>71</v>
          </cell>
          <cell r="O36">
            <v>74</v>
          </cell>
          <cell r="P36">
            <v>80</v>
          </cell>
          <cell r="Q36">
            <v>83</v>
          </cell>
          <cell r="R36">
            <v>74</v>
          </cell>
          <cell r="S36">
            <v>78</v>
          </cell>
          <cell r="T36">
            <v>74</v>
          </cell>
          <cell r="U36">
            <v>75</v>
          </cell>
          <cell r="V36">
            <v>79</v>
          </cell>
          <cell r="W36">
            <v>73</v>
          </cell>
          <cell r="X36">
            <v>76</v>
          </cell>
          <cell r="Y36">
            <v>68</v>
          </cell>
          <cell r="Z36">
            <v>71</v>
          </cell>
          <cell r="AA36">
            <v>67</v>
          </cell>
          <cell r="AB36">
            <v>69</v>
          </cell>
          <cell r="AC36">
            <v>72</v>
          </cell>
          <cell r="AD36">
            <v>73</v>
          </cell>
          <cell r="AE36">
            <v>76</v>
          </cell>
        </row>
        <row r="37">
          <cell r="B37">
            <v>79</v>
          </cell>
          <cell r="C37">
            <v>91</v>
          </cell>
          <cell r="D37">
            <v>76</v>
          </cell>
          <cell r="E37">
            <v>86</v>
          </cell>
          <cell r="F37">
            <v>81</v>
          </cell>
          <cell r="G37">
            <v>76</v>
          </cell>
          <cell r="H37">
            <v>86</v>
          </cell>
          <cell r="I37">
            <v>73</v>
          </cell>
          <cell r="J37">
            <v>84</v>
          </cell>
          <cell r="K37">
            <v>70</v>
          </cell>
          <cell r="L37">
            <v>79</v>
          </cell>
          <cell r="M37">
            <v>74</v>
          </cell>
          <cell r="N37">
            <v>70</v>
          </cell>
          <cell r="O37">
            <v>79</v>
          </cell>
          <cell r="P37">
            <v>77</v>
          </cell>
          <cell r="Q37">
            <v>88</v>
          </cell>
          <cell r="R37">
            <v>74</v>
          </cell>
          <cell r="S37">
            <v>84</v>
          </cell>
          <cell r="T37">
            <v>79</v>
          </cell>
          <cell r="U37">
            <v>74</v>
          </cell>
          <cell r="V37">
            <v>84</v>
          </cell>
          <cell r="W37">
            <v>71</v>
          </cell>
          <cell r="X37">
            <v>81</v>
          </cell>
          <cell r="Y37">
            <v>68</v>
          </cell>
          <cell r="Z37">
            <v>77</v>
          </cell>
          <cell r="AA37">
            <v>72</v>
          </cell>
          <cell r="AB37">
            <v>68</v>
          </cell>
          <cell r="AC37">
            <v>77</v>
          </cell>
          <cell r="AD37">
            <v>71</v>
          </cell>
          <cell r="AE37">
            <v>81</v>
          </cell>
        </row>
        <row r="38">
          <cell r="B38">
            <v>80</v>
          </cell>
          <cell r="C38">
            <v>83</v>
          </cell>
          <cell r="D38">
            <v>77</v>
          </cell>
          <cell r="E38">
            <v>89</v>
          </cell>
          <cell r="F38">
            <v>83</v>
          </cell>
          <cell r="G38">
            <v>75</v>
          </cell>
          <cell r="H38">
            <v>82</v>
          </cell>
          <cell r="I38">
            <v>73</v>
          </cell>
          <cell r="J38">
            <v>77</v>
          </cell>
          <cell r="K38">
            <v>70</v>
          </cell>
          <cell r="L38">
            <v>82</v>
          </cell>
          <cell r="M38">
            <v>76</v>
          </cell>
          <cell r="N38">
            <v>69</v>
          </cell>
          <cell r="O38">
            <v>76</v>
          </cell>
          <cell r="P38">
            <v>77</v>
          </cell>
          <cell r="Q38">
            <v>81</v>
          </cell>
          <cell r="R38">
            <v>74</v>
          </cell>
          <cell r="S38">
            <v>87</v>
          </cell>
          <cell r="T38">
            <v>81</v>
          </cell>
          <cell r="U38">
            <v>73</v>
          </cell>
          <cell r="V38">
            <v>80</v>
          </cell>
          <cell r="W38">
            <v>71</v>
          </cell>
          <cell r="X38">
            <v>74</v>
          </cell>
          <cell r="Y38">
            <v>68</v>
          </cell>
          <cell r="Z38">
            <v>79</v>
          </cell>
          <cell r="AA38">
            <v>74</v>
          </cell>
          <cell r="AB38">
            <v>67</v>
          </cell>
          <cell r="AC38">
            <v>74</v>
          </cell>
          <cell r="AD38">
            <v>71</v>
          </cell>
          <cell r="AE38">
            <v>74</v>
          </cell>
        </row>
        <row r="39">
          <cell r="B39">
            <v>91</v>
          </cell>
          <cell r="C39">
            <v>98</v>
          </cell>
          <cell r="D39">
            <v>87</v>
          </cell>
          <cell r="E39">
            <v>97</v>
          </cell>
          <cell r="F39">
            <v>85</v>
          </cell>
          <cell r="G39">
            <v>82</v>
          </cell>
          <cell r="H39">
            <v>81</v>
          </cell>
          <cell r="I39">
            <v>83</v>
          </cell>
          <cell r="J39">
            <v>90</v>
          </cell>
          <cell r="K39">
            <v>80</v>
          </cell>
          <cell r="L39">
            <v>89</v>
          </cell>
          <cell r="M39">
            <v>78</v>
          </cell>
          <cell r="N39">
            <v>76</v>
          </cell>
          <cell r="O39">
            <v>75</v>
          </cell>
          <cell r="P39">
            <v>88</v>
          </cell>
          <cell r="Q39">
            <v>96</v>
          </cell>
          <cell r="R39">
            <v>84</v>
          </cell>
          <cell r="S39">
            <v>95</v>
          </cell>
          <cell r="T39">
            <v>82</v>
          </cell>
          <cell r="U39">
            <v>80</v>
          </cell>
          <cell r="V39">
            <v>79</v>
          </cell>
          <cell r="W39">
            <v>81</v>
          </cell>
          <cell r="X39">
            <v>88</v>
          </cell>
          <cell r="Y39">
            <v>77</v>
          </cell>
          <cell r="Z39">
            <v>87</v>
          </cell>
          <cell r="AA39">
            <v>76</v>
          </cell>
          <cell r="AB39">
            <v>73</v>
          </cell>
          <cell r="AC39">
            <v>73</v>
          </cell>
          <cell r="AD39">
            <v>81</v>
          </cell>
          <cell r="AE39">
            <v>88</v>
          </cell>
        </row>
        <row r="40">
          <cell r="B40">
            <v>95</v>
          </cell>
          <cell r="C40">
            <v>94</v>
          </cell>
          <cell r="D40">
            <v>85</v>
          </cell>
          <cell r="E40">
            <v>99</v>
          </cell>
          <cell r="F40">
            <v>90</v>
          </cell>
          <cell r="G40">
            <v>89</v>
          </cell>
          <cell r="H40">
            <v>90</v>
          </cell>
          <cell r="I40">
            <v>88</v>
          </cell>
          <cell r="J40">
            <v>86</v>
          </cell>
          <cell r="K40">
            <v>78</v>
          </cell>
          <cell r="L40">
            <v>91</v>
          </cell>
          <cell r="M40">
            <v>83</v>
          </cell>
          <cell r="N40">
            <v>82</v>
          </cell>
          <cell r="O40">
            <v>83</v>
          </cell>
          <cell r="P40">
            <v>93</v>
          </cell>
          <cell r="Q40">
            <v>91</v>
          </cell>
          <cell r="R40">
            <v>82</v>
          </cell>
          <cell r="S40">
            <v>96</v>
          </cell>
          <cell r="T40">
            <v>88</v>
          </cell>
          <cell r="U40">
            <v>87</v>
          </cell>
          <cell r="V40">
            <v>88</v>
          </cell>
          <cell r="W40">
            <v>85</v>
          </cell>
          <cell r="X40">
            <v>83</v>
          </cell>
          <cell r="Y40">
            <v>75</v>
          </cell>
          <cell r="Z40">
            <v>88</v>
          </cell>
          <cell r="AA40">
            <v>81</v>
          </cell>
          <cell r="AB40">
            <v>79</v>
          </cell>
          <cell r="AC40">
            <v>80</v>
          </cell>
          <cell r="AD40">
            <v>85</v>
          </cell>
          <cell r="AE40">
            <v>83</v>
          </cell>
        </row>
        <row r="41">
          <cell r="B41">
            <v>92</v>
          </cell>
          <cell r="C41">
            <v>100</v>
          </cell>
          <cell r="D41">
            <v>87</v>
          </cell>
          <cell r="E41">
            <v>100</v>
          </cell>
          <cell r="F41">
            <v>96</v>
          </cell>
          <cell r="G41">
            <v>96</v>
          </cell>
          <cell r="H41">
            <v>83</v>
          </cell>
          <cell r="I41">
            <v>85</v>
          </cell>
          <cell r="J41">
            <v>92</v>
          </cell>
          <cell r="K41">
            <v>80</v>
          </cell>
          <cell r="L41">
            <v>92</v>
          </cell>
          <cell r="M41">
            <v>88</v>
          </cell>
          <cell r="N41">
            <v>89</v>
          </cell>
          <cell r="O41">
            <v>76</v>
          </cell>
          <cell r="P41">
            <v>89</v>
          </cell>
          <cell r="Q41">
            <v>97</v>
          </cell>
          <cell r="R41">
            <v>85</v>
          </cell>
          <cell r="S41">
            <v>97</v>
          </cell>
          <cell r="T41">
            <v>93</v>
          </cell>
          <cell r="U41">
            <v>94</v>
          </cell>
          <cell r="V41">
            <v>81</v>
          </cell>
          <cell r="W41">
            <v>82</v>
          </cell>
          <cell r="X41">
            <v>89</v>
          </cell>
          <cell r="Y41">
            <v>78</v>
          </cell>
          <cell r="Z41">
            <v>89</v>
          </cell>
          <cell r="AA41">
            <v>85</v>
          </cell>
          <cell r="AB41">
            <v>86</v>
          </cell>
          <cell r="AC41">
            <v>74</v>
          </cell>
          <cell r="AD41">
            <v>82</v>
          </cell>
          <cell r="AE41">
            <v>89</v>
          </cell>
        </row>
        <row r="42">
          <cell r="B42">
            <v>98</v>
          </cell>
          <cell r="C42">
            <v>106</v>
          </cell>
          <cell r="D42">
            <v>94</v>
          </cell>
          <cell r="E42">
            <v>100</v>
          </cell>
          <cell r="F42">
            <v>103</v>
          </cell>
          <cell r="G42">
            <v>98</v>
          </cell>
          <cell r="H42">
            <v>100</v>
          </cell>
          <cell r="I42">
            <v>90</v>
          </cell>
          <cell r="J42">
            <v>97</v>
          </cell>
          <cell r="K42">
            <v>87</v>
          </cell>
          <cell r="L42">
            <v>92</v>
          </cell>
          <cell r="M42">
            <v>94</v>
          </cell>
          <cell r="N42">
            <v>90</v>
          </cell>
          <cell r="O42">
            <v>92</v>
          </cell>
          <cell r="P42">
            <v>96</v>
          </cell>
          <cell r="Q42">
            <v>103</v>
          </cell>
          <cell r="R42">
            <v>92</v>
          </cell>
          <cell r="S42">
            <v>97</v>
          </cell>
          <cell r="T42">
            <v>100</v>
          </cell>
          <cell r="U42">
            <v>95</v>
          </cell>
          <cell r="V42">
            <v>97</v>
          </cell>
          <cell r="W42">
            <v>88</v>
          </cell>
          <cell r="X42">
            <v>94</v>
          </cell>
          <cell r="Y42">
            <v>84</v>
          </cell>
          <cell r="Z42">
            <v>89</v>
          </cell>
          <cell r="AA42">
            <v>92</v>
          </cell>
          <cell r="AB42">
            <v>87</v>
          </cell>
          <cell r="AC42">
            <v>89</v>
          </cell>
          <cell r="AD42">
            <v>88</v>
          </cell>
          <cell r="AE42">
            <v>94</v>
          </cell>
        </row>
        <row r="43">
          <cell r="B43">
            <v>103</v>
          </cell>
          <cell r="C43">
            <v>109</v>
          </cell>
          <cell r="D43">
            <v>97</v>
          </cell>
          <cell r="E43">
            <v>110</v>
          </cell>
          <cell r="F43">
            <v>102</v>
          </cell>
          <cell r="G43">
            <v>99</v>
          </cell>
          <cell r="H43">
            <v>98</v>
          </cell>
          <cell r="I43">
            <v>93</v>
          </cell>
          <cell r="J43">
            <v>98</v>
          </cell>
          <cell r="K43">
            <v>90</v>
          </cell>
          <cell r="L43">
            <v>101</v>
          </cell>
          <cell r="M43">
            <v>99</v>
          </cell>
          <cell r="N43">
            <v>94</v>
          </cell>
          <cell r="O43">
            <v>89</v>
          </cell>
          <cell r="P43">
            <v>98</v>
          </cell>
          <cell r="Q43">
            <v>106</v>
          </cell>
          <cell r="R43">
            <v>96</v>
          </cell>
          <cell r="S43">
            <v>102</v>
          </cell>
          <cell r="T43">
            <v>103</v>
          </cell>
          <cell r="U43">
            <v>96</v>
          </cell>
          <cell r="V43">
            <v>94</v>
          </cell>
          <cell r="W43">
            <v>90</v>
          </cell>
          <cell r="X43">
            <v>101</v>
          </cell>
          <cell r="Y43">
            <v>87</v>
          </cell>
          <cell r="Z43">
            <v>97</v>
          </cell>
          <cell r="AA43">
            <v>96</v>
          </cell>
          <cell r="AB43">
            <v>91</v>
          </cell>
          <cell r="AC43">
            <v>85</v>
          </cell>
          <cell r="AD43">
            <v>90</v>
          </cell>
          <cell r="AE43">
            <v>101</v>
          </cell>
        </row>
        <row r="44">
          <cell r="B44">
            <v>105</v>
          </cell>
          <cell r="C44">
            <v>110</v>
          </cell>
          <cell r="D44">
            <v>106</v>
          </cell>
          <cell r="E44">
            <v>110</v>
          </cell>
          <cell r="F44">
            <v>107</v>
          </cell>
          <cell r="G44">
            <v>103</v>
          </cell>
          <cell r="H44">
            <v>99</v>
          </cell>
          <cell r="I44">
            <v>96</v>
          </cell>
          <cell r="J44">
            <v>101</v>
          </cell>
          <cell r="K44">
            <v>97</v>
          </cell>
          <cell r="L44">
            <v>101</v>
          </cell>
          <cell r="M44">
            <v>98</v>
          </cell>
          <cell r="N44">
            <v>94</v>
          </cell>
          <cell r="O44">
            <v>91</v>
          </cell>
          <cell r="P44">
            <v>102</v>
          </cell>
          <cell r="Q44">
            <v>107</v>
          </cell>
          <cell r="R44">
            <v>103</v>
          </cell>
          <cell r="S44">
            <v>107</v>
          </cell>
          <cell r="T44">
            <v>104</v>
          </cell>
          <cell r="U44">
            <v>100</v>
          </cell>
          <cell r="V44">
            <v>96</v>
          </cell>
          <cell r="W44">
            <v>93</v>
          </cell>
          <cell r="X44">
            <v>98</v>
          </cell>
          <cell r="Y44">
            <v>95</v>
          </cell>
          <cell r="Z44">
            <v>98</v>
          </cell>
          <cell r="AA44">
            <v>95</v>
          </cell>
          <cell r="AB44">
            <v>92</v>
          </cell>
          <cell r="AC44">
            <v>88</v>
          </cell>
          <cell r="AD44">
            <v>93</v>
          </cell>
          <cell r="AE44">
            <v>98</v>
          </cell>
        </row>
        <row r="45">
          <cell r="B45">
            <v>104</v>
          </cell>
          <cell r="C45">
            <v>109</v>
          </cell>
          <cell r="D45">
            <v>108</v>
          </cell>
          <cell r="E45">
            <v>105</v>
          </cell>
          <cell r="F45">
            <v>106</v>
          </cell>
          <cell r="G45">
            <v>105</v>
          </cell>
          <cell r="H45">
            <v>98</v>
          </cell>
          <cell r="I45">
            <v>96</v>
          </cell>
          <cell r="J45">
            <v>100</v>
          </cell>
          <cell r="K45">
            <v>99</v>
          </cell>
          <cell r="L45">
            <v>96</v>
          </cell>
          <cell r="M45">
            <v>97</v>
          </cell>
          <cell r="N45">
            <v>97</v>
          </cell>
          <cell r="O45">
            <v>90</v>
          </cell>
          <cell r="P45">
            <v>101</v>
          </cell>
          <cell r="Q45">
            <v>106</v>
          </cell>
          <cell r="R45">
            <v>105</v>
          </cell>
          <cell r="S45">
            <v>102</v>
          </cell>
          <cell r="T45">
            <v>103</v>
          </cell>
          <cell r="U45">
            <v>103</v>
          </cell>
          <cell r="V45">
            <v>95</v>
          </cell>
          <cell r="W45">
            <v>93</v>
          </cell>
          <cell r="X45">
            <v>97</v>
          </cell>
          <cell r="Y45">
            <v>96</v>
          </cell>
          <cell r="Z45">
            <v>94</v>
          </cell>
          <cell r="AA45">
            <v>94</v>
          </cell>
          <cell r="AB45">
            <v>94</v>
          </cell>
          <cell r="AC45">
            <v>87</v>
          </cell>
          <cell r="AD45">
            <v>93</v>
          </cell>
          <cell r="AE45">
            <v>97</v>
          </cell>
        </row>
        <row r="46">
          <cell r="B46">
            <v>104</v>
          </cell>
          <cell r="C46">
            <v>107</v>
          </cell>
          <cell r="D46">
            <v>110</v>
          </cell>
          <cell r="E46">
            <v>104</v>
          </cell>
          <cell r="F46">
            <v>109</v>
          </cell>
          <cell r="G46">
            <v>102</v>
          </cell>
          <cell r="H46">
            <v>95</v>
          </cell>
          <cell r="I46">
            <v>96</v>
          </cell>
          <cell r="J46">
            <v>99</v>
          </cell>
          <cell r="K46">
            <v>101</v>
          </cell>
          <cell r="L46">
            <v>95</v>
          </cell>
          <cell r="M46">
            <v>100</v>
          </cell>
          <cell r="N46">
            <v>94</v>
          </cell>
          <cell r="O46">
            <v>87</v>
          </cell>
          <cell r="P46">
            <v>101</v>
          </cell>
          <cell r="Q46">
            <v>104</v>
          </cell>
          <cell r="R46">
            <v>107</v>
          </cell>
          <cell r="S46">
            <v>101</v>
          </cell>
          <cell r="T46">
            <v>106</v>
          </cell>
          <cell r="U46">
            <v>99</v>
          </cell>
          <cell r="V46">
            <v>92</v>
          </cell>
          <cell r="W46">
            <v>93</v>
          </cell>
          <cell r="X46">
            <v>96</v>
          </cell>
          <cell r="Y46">
            <v>98</v>
          </cell>
          <cell r="Z46">
            <v>93</v>
          </cell>
          <cell r="AA46">
            <v>97</v>
          </cell>
          <cell r="AB46">
            <v>91</v>
          </cell>
          <cell r="AC46">
            <v>85</v>
          </cell>
          <cell r="AD46">
            <v>93</v>
          </cell>
          <cell r="AE46">
            <v>96</v>
          </cell>
        </row>
        <row r="47">
          <cell r="B47">
            <v>99</v>
          </cell>
          <cell r="C47">
            <v>100</v>
          </cell>
          <cell r="D47">
            <v>103</v>
          </cell>
          <cell r="E47">
            <v>100</v>
          </cell>
          <cell r="F47">
            <v>107</v>
          </cell>
          <cell r="G47">
            <v>99</v>
          </cell>
          <cell r="H47">
            <v>87</v>
          </cell>
          <cell r="I47">
            <v>91</v>
          </cell>
          <cell r="J47">
            <v>92</v>
          </cell>
          <cell r="K47">
            <v>95</v>
          </cell>
          <cell r="L47">
            <v>92</v>
          </cell>
          <cell r="M47">
            <v>98</v>
          </cell>
          <cell r="N47">
            <v>91</v>
          </cell>
          <cell r="O47">
            <v>80</v>
          </cell>
          <cell r="P47">
            <v>96</v>
          </cell>
          <cell r="Q47">
            <v>97</v>
          </cell>
          <cell r="R47">
            <v>101</v>
          </cell>
          <cell r="S47">
            <v>98</v>
          </cell>
          <cell r="T47">
            <v>104</v>
          </cell>
          <cell r="U47">
            <v>96</v>
          </cell>
          <cell r="V47">
            <v>84</v>
          </cell>
          <cell r="W47">
            <v>88</v>
          </cell>
          <cell r="X47">
            <v>89</v>
          </cell>
          <cell r="Y47">
            <v>92</v>
          </cell>
          <cell r="Z47">
            <v>89</v>
          </cell>
          <cell r="AA47">
            <v>95</v>
          </cell>
          <cell r="AB47">
            <v>88</v>
          </cell>
          <cell r="AC47">
            <v>77</v>
          </cell>
          <cell r="AD47">
            <v>88</v>
          </cell>
          <cell r="AE47">
            <v>89</v>
          </cell>
        </row>
        <row r="48">
          <cell r="B48">
            <v>95</v>
          </cell>
          <cell r="C48">
            <v>92</v>
          </cell>
          <cell r="D48">
            <v>93</v>
          </cell>
          <cell r="E48">
            <v>100</v>
          </cell>
          <cell r="F48">
            <v>101</v>
          </cell>
          <cell r="G48">
            <v>90</v>
          </cell>
          <cell r="H48">
            <v>89</v>
          </cell>
          <cell r="I48">
            <v>87</v>
          </cell>
          <cell r="J48">
            <v>84</v>
          </cell>
          <cell r="K48">
            <v>85</v>
          </cell>
          <cell r="L48">
            <v>92</v>
          </cell>
          <cell r="M48">
            <v>93</v>
          </cell>
          <cell r="N48">
            <v>82</v>
          </cell>
          <cell r="O48">
            <v>82</v>
          </cell>
          <cell r="P48">
            <v>92</v>
          </cell>
          <cell r="Q48">
            <v>89</v>
          </cell>
          <cell r="R48">
            <v>90</v>
          </cell>
          <cell r="S48">
            <v>98</v>
          </cell>
          <cell r="T48">
            <v>98</v>
          </cell>
          <cell r="U48">
            <v>87</v>
          </cell>
          <cell r="V48">
            <v>87</v>
          </cell>
          <cell r="W48">
            <v>85</v>
          </cell>
          <cell r="X48">
            <v>82</v>
          </cell>
          <cell r="Y48">
            <v>83</v>
          </cell>
          <cell r="Z48">
            <v>89</v>
          </cell>
          <cell r="AA48">
            <v>90</v>
          </cell>
          <cell r="AB48">
            <v>80</v>
          </cell>
          <cell r="AC48">
            <v>80</v>
          </cell>
          <cell r="AD48">
            <v>85</v>
          </cell>
          <cell r="AE48">
            <v>82</v>
          </cell>
        </row>
        <row r="49">
          <cell r="B49">
            <v>87</v>
          </cell>
          <cell r="C49">
            <v>83</v>
          </cell>
          <cell r="D49">
            <v>82</v>
          </cell>
          <cell r="E49">
            <v>90</v>
          </cell>
          <cell r="F49">
            <v>89</v>
          </cell>
          <cell r="G49">
            <v>85</v>
          </cell>
          <cell r="H49">
            <v>77</v>
          </cell>
          <cell r="I49">
            <v>80</v>
          </cell>
          <cell r="J49">
            <v>76</v>
          </cell>
          <cell r="K49">
            <v>75</v>
          </cell>
          <cell r="L49">
            <v>83</v>
          </cell>
          <cell r="M49">
            <v>82</v>
          </cell>
          <cell r="N49">
            <v>78</v>
          </cell>
          <cell r="O49">
            <v>71</v>
          </cell>
          <cell r="P49">
            <v>85</v>
          </cell>
          <cell r="Q49">
            <v>81</v>
          </cell>
          <cell r="R49">
            <v>80</v>
          </cell>
          <cell r="S49">
            <v>88</v>
          </cell>
          <cell r="T49">
            <v>87</v>
          </cell>
          <cell r="U49">
            <v>82</v>
          </cell>
          <cell r="V49">
            <v>75</v>
          </cell>
          <cell r="W49">
            <v>78</v>
          </cell>
          <cell r="X49">
            <v>74</v>
          </cell>
          <cell r="Y49">
            <v>73</v>
          </cell>
          <cell r="Z49">
            <v>81</v>
          </cell>
          <cell r="AA49">
            <v>79</v>
          </cell>
          <cell r="AB49">
            <v>75</v>
          </cell>
          <cell r="AC49">
            <v>69</v>
          </cell>
          <cell r="AD49">
            <v>78</v>
          </cell>
          <cell r="AE49">
            <v>74</v>
          </cell>
        </row>
        <row r="50">
          <cell r="B50">
            <v>80</v>
          </cell>
          <cell r="C50">
            <v>81</v>
          </cell>
          <cell r="D50">
            <v>75</v>
          </cell>
          <cell r="E50">
            <v>78</v>
          </cell>
          <cell r="F50">
            <v>82</v>
          </cell>
          <cell r="G50">
            <v>79</v>
          </cell>
          <cell r="H50">
            <v>85</v>
          </cell>
          <cell r="I50">
            <v>74</v>
          </cell>
          <cell r="J50">
            <v>74</v>
          </cell>
          <cell r="K50">
            <v>69</v>
          </cell>
          <cell r="L50">
            <v>72</v>
          </cell>
          <cell r="M50">
            <v>75</v>
          </cell>
          <cell r="N50">
            <v>72</v>
          </cell>
          <cell r="O50">
            <v>78</v>
          </cell>
          <cell r="P50">
            <v>78</v>
          </cell>
          <cell r="Q50">
            <v>79</v>
          </cell>
          <cell r="R50">
            <v>73</v>
          </cell>
          <cell r="S50">
            <v>76</v>
          </cell>
          <cell r="T50">
            <v>79</v>
          </cell>
          <cell r="U50">
            <v>77</v>
          </cell>
          <cell r="V50">
            <v>82</v>
          </cell>
          <cell r="W50">
            <v>72</v>
          </cell>
          <cell r="X50">
            <v>72</v>
          </cell>
          <cell r="Y50">
            <v>67</v>
          </cell>
          <cell r="Z50">
            <v>70</v>
          </cell>
          <cell r="AA50">
            <v>73</v>
          </cell>
          <cell r="AB50">
            <v>70</v>
          </cell>
          <cell r="AC50">
            <v>75</v>
          </cell>
          <cell r="AD50">
            <v>72</v>
          </cell>
          <cell r="AE50">
            <v>72</v>
          </cell>
        </row>
        <row r="51">
          <cell r="B51">
            <v>73</v>
          </cell>
          <cell r="C51">
            <v>78</v>
          </cell>
          <cell r="D51">
            <v>68</v>
          </cell>
          <cell r="E51">
            <v>66</v>
          </cell>
          <cell r="F51">
            <v>74</v>
          </cell>
          <cell r="G51">
            <v>70</v>
          </cell>
          <cell r="H51">
            <v>70</v>
          </cell>
          <cell r="I51">
            <v>67</v>
          </cell>
          <cell r="J51">
            <v>72</v>
          </cell>
          <cell r="K51">
            <v>62</v>
          </cell>
          <cell r="L51">
            <v>61</v>
          </cell>
          <cell r="M51">
            <v>68</v>
          </cell>
          <cell r="N51">
            <v>64</v>
          </cell>
          <cell r="O51">
            <v>64</v>
          </cell>
          <cell r="P51">
            <v>71</v>
          </cell>
          <cell r="Q51">
            <v>76</v>
          </cell>
          <cell r="R51">
            <v>66</v>
          </cell>
          <cell r="S51">
            <v>64</v>
          </cell>
          <cell r="T51">
            <v>72</v>
          </cell>
          <cell r="U51">
            <v>68</v>
          </cell>
          <cell r="V51">
            <v>68</v>
          </cell>
          <cell r="W51">
            <v>65</v>
          </cell>
          <cell r="X51">
            <v>70</v>
          </cell>
          <cell r="Y51">
            <v>60</v>
          </cell>
          <cell r="Z51">
            <v>59</v>
          </cell>
          <cell r="AA51">
            <v>66</v>
          </cell>
          <cell r="AB51">
            <v>62</v>
          </cell>
          <cell r="AC51">
            <v>63</v>
          </cell>
          <cell r="AD51">
            <v>65</v>
          </cell>
          <cell r="AE51">
            <v>70</v>
          </cell>
        </row>
      </sheetData>
      <sheetData sheetId="5">
        <row r="2">
          <cell r="B2">
            <v>45962</v>
          </cell>
          <cell r="C2">
            <v>45963</v>
          </cell>
          <cell r="D2">
            <v>45964</v>
          </cell>
          <cell r="E2">
            <v>45965</v>
          </cell>
          <cell r="F2">
            <v>45966</v>
          </cell>
          <cell r="G2">
            <v>45967</v>
          </cell>
          <cell r="H2">
            <v>45968</v>
          </cell>
          <cell r="I2">
            <v>45969</v>
          </cell>
          <cell r="J2">
            <v>45970</v>
          </cell>
          <cell r="K2">
            <v>45971</v>
          </cell>
          <cell r="L2">
            <v>45972</v>
          </cell>
          <cell r="M2">
            <v>45973</v>
          </cell>
          <cell r="N2">
            <v>45974</v>
          </cell>
          <cell r="O2">
            <v>45975</v>
          </cell>
          <cell r="P2">
            <v>45976</v>
          </cell>
          <cell r="Q2">
            <v>45977</v>
          </cell>
          <cell r="R2">
            <v>45978</v>
          </cell>
          <cell r="S2">
            <v>45979</v>
          </cell>
          <cell r="T2">
            <v>45980</v>
          </cell>
          <cell r="U2">
            <v>45981</v>
          </cell>
          <cell r="V2">
            <v>45982</v>
          </cell>
          <cell r="W2">
            <v>45983</v>
          </cell>
          <cell r="X2">
            <v>45984</v>
          </cell>
          <cell r="Y2">
            <v>45985</v>
          </cell>
          <cell r="Z2">
            <v>45986</v>
          </cell>
          <cell r="AA2">
            <v>45987</v>
          </cell>
          <cell r="AB2">
            <v>45988</v>
          </cell>
          <cell r="AC2">
            <v>45989</v>
          </cell>
          <cell r="AD2">
            <v>45990</v>
          </cell>
          <cell r="AE2">
            <v>45991</v>
          </cell>
        </row>
        <row r="3">
          <cell r="B3">
            <v>1452</v>
          </cell>
          <cell r="C3">
            <v>1556</v>
          </cell>
          <cell r="D3">
            <v>1511</v>
          </cell>
          <cell r="E3">
            <v>1658</v>
          </cell>
          <cell r="F3">
            <v>1579</v>
          </cell>
          <cell r="G3">
            <v>1620</v>
          </cell>
          <cell r="H3">
            <v>1351</v>
          </cell>
          <cell r="I3">
            <v>1452</v>
          </cell>
          <cell r="J3">
            <v>1556</v>
          </cell>
          <cell r="K3">
            <v>1511</v>
          </cell>
          <cell r="L3">
            <v>1561</v>
          </cell>
          <cell r="M3">
            <v>1486</v>
          </cell>
          <cell r="N3">
            <v>1525</v>
          </cell>
          <cell r="O3">
            <v>1271</v>
          </cell>
          <cell r="P3">
            <v>1367</v>
          </cell>
          <cell r="Q3">
            <v>1464</v>
          </cell>
          <cell r="R3">
            <v>1422</v>
          </cell>
          <cell r="S3">
            <v>1561</v>
          </cell>
          <cell r="T3">
            <v>1486</v>
          </cell>
          <cell r="U3">
            <v>1525</v>
          </cell>
          <cell r="V3">
            <v>1351</v>
          </cell>
          <cell r="W3">
            <v>1452</v>
          </cell>
          <cell r="X3">
            <v>1556</v>
          </cell>
          <cell r="Y3">
            <v>1511</v>
          </cell>
          <cell r="Z3">
            <v>1658</v>
          </cell>
          <cell r="AA3">
            <v>1579</v>
          </cell>
          <cell r="AB3">
            <v>1620</v>
          </cell>
          <cell r="AC3">
            <v>1351</v>
          </cell>
          <cell r="AD3">
            <v>1452</v>
          </cell>
          <cell r="AE3">
            <v>1556</v>
          </cell>
        </row>
        <row r="4">
          <cell r="B4">
            <v>29</v>
          </cell>
          <cell r="C4">
            <v>38</v>
          </cell>
          <cell r="D4">
            <v>34</v>
          </cell>
          <cell r="E4">
            <v>36</v>
          </cell>
          <cell r="F4">
            <v>34</v>
          </cell>
          <cell r="G4">
            <v>40</v>
          </cell>
          <cell r="H4">
            <v>39</v>
          </cell>
          <cell r="I4">
            <v>29</v>
          </cell>
          <cell r="J4">
            <v>38</v>
          </cell>
          <cell r="K4">
            <v>34</v>
          </cell>
          <cell r="L4">
            <v>34</v>
          </cell>
          <cell r="M4">
            <v>32</v>
          </cell>
          <cell r="N4">
            <v>37</v>
          </cell>
          <cell r="O4">
            <v>37</v>
          </cell>
          <cell r="P4">
            <v>27</v>
          </cell>
          <cell r="Q4">
            <v>36</v>
          </cell>
          <cell r="R4">
            <v>32</v>
          </cell>
          <cell r="S4">
            <v>34</v>
          </cell>
          <cell r="T4">
            <v>32</v>
          </cell>
          <cell r="U4">
            <v>37</v>
          </cell>
          <cell r="V4">
            <v>39</v>
          </cell>
          <cell r="W4">
            <v>29</v>
          </cell>
          <cell r="X4">
            <v>38</v>
          </cell>
          <cell r="Y4">
            <v>34</v>
          </cell>
          <cell r="Z4">
            <v>36</v>
          </cell>
          <cell r="AA4">
            <v>34</v>
          </cell>
          <cell r="AB4">
            <v>40</v>
          </cell>
          <cell r="AC4">
            <v>39</v>
          </cell>
          <cell r="AD4">
            <v>29</v>
          </cell>
          <cell r="AE4">
            <v>38</v>
          </cell>
        </row>
        <row r="5">
          <cell r="B5">
            <v>25</v>
          </cell>
          <cell r="C5">
            <v>32</v>
          </cell>
          <cell r="D5">
            <v>28</v>
          </cell>
          <cell r="E5">
            <v>30</v>
          </cell>
          <cell r="F5">
            <v>28</v>
          </cell>
          <cell r="G5">
            <v>31</v>
          </cell>
          <cell r="H5">
            <v>34</v>
          </cell>
          <cell r="I5">
            <v>25</v>
          </cell>
          <cell r="J5">
            <v>32</v>
          </cell>
          <cell r="K5">
            <v>28</v>
          </cell>
          <cell r="L5">
            <v>28</v>
          </cell>
          <cell r="M5">
            <v>26</v>
          </cell>
          <cell r="N5">
            <v>30</v>
          </cell>
          <cell r="O5">
            <v>32</v>
          </cell>
          <cell r="P5">
            <v>23</v>
          </cell>
          <cell r="Q5">
            <v>31</v>
          </cell>
          <cell r="R5">
            <v>27</v>
          </cell>
          <cell r="S5">
            <v>28</v>
          </cell>
          <cell r="T5">
            <v>26</v>
          </cell>
          <cell r="U5">
            <v>30</v>
          </cell>
          <cell r="V5">
            <v>34</v>
          </cell>
          <cell r="W5">
            <v>25</v>
          </cell>
          <cell r="X5">
            <v>32</v>
          </cell>
          <cell r="Y5">
            <v>28</v>
          </cell>
          <cell r="Z5">
            <v>30</v>
          </cell>
          <cell r="AA5">
            <v>28</v>
          </cell>
          <cell r="AB5">
            <v>31</v>
          </cell>
          <cell r="AC5">
            <v>34</v>
          </cell>
          <cell r="AD5">
            <v>25</v>
          </cell>
          <cell r="AE5">
            <v>32</v>
          </cell>
        </row>
        <row r="6">
          <cell r="B6">
            <v>20</v>
          </cell>
          <cell r="C6">
            <v>26</v>
          </cell>
          <cell r="D6">
            <v>24</v>
          </cell>
          <cell r="E6">
            <v>25</v>
          </cell>
          <cell r="F6">
            <v>22</v>
          </cell>
          <cell r="G6">
            <v>26</v>
          </cell>
          <cell r="H6">
            <v>28</v>
          </cell>
          <cell r="I6">
            <v>20</v>
          </cell>
          <cell r="J6">
            <v>26</v>
          </cell>
          <cell r="K6">
            <v>24</v>
          </cell>
          <cell r="L6">
            <v>24</v>
          </cell>
          <cell r="M6">
            <v>21</v>
          </cell>
          <cell r="N6">
            <v>25</v>
          </cell>
          <cell r="O6">
            <v>27</v>
          </cell>
          <cell r="P6">
            <v>19</v>
          </cell>
          <cell r="Q6">
            <v>25</v>
          </cell>
          <cell r="R6">
            <v>22</v>
          </cell>
          <cell r="S6">
            <v>24</v>
          </cell>
          <cell r="T6">
            <v>21</v>
          </cell>
          <cell r="U6">
            <v>25</v>
          </cell>
          <cell r="V6">
            <v>28</v>
          </cell>
          <cell r="W6">
            <v>20</v>
          </cell>
          <cell r="X6">
            <v>26</v>
          </cell>
          <cell r="Y6">
            <v>24</v>
          </cell>
          <cell r="Z6">
            <v>25</v>
          </cell>
          <cell r="AA6">
            <v>22</v>
          </cell>
          <cell r="AB6">
            <v>26</v>
          </cell>
          <cell r="AC6">
            <v>28</v>
          </cell>
          <cell r="AD6">
            <v>20</v>
          </cell>
          <cell r="AE6">
            <v>26</v>
          </cell>
        </row>
        <row r="7">
          <cell r="B7">
            <v>16</v>
          </cell>
          <cell r="C7">
            <v>20</v>
          </cell>
          <cell r="D7">
            <v>19</v>
          </cell>
          <cell r="E7">
            <v>19</v>
          </cell>
          <cell r="F7">
            <v>17</v>
          </cell>
          <cell r="G7">
            <v>20</v>
          </cell>
          <cell r="H7">
            <v>23</v>
          </cell>
          <cell r="I7">
            <v>16</v>
          </cell>
          <cell r="J7">
            <v>20</v>
          </cell>
          <cell r="K7">
            <v>19</v>
          </cell>
          <cell r="L7">
            <v>18</v>
          </cell>
          <cell r="M7">
            <v>16</v>
          </cell>
          <cell r="N7">
            <v>19</v>
          </cell>
          <cell r="O7">
            <v>22</v>
          </cell>
          <cell r="P7">
            <v>15</v>
          </cell>
          <cell r="Q7">
            <v>19</v>
          </cell>
          <cell r="R7">
            <v>18</v>
          </cell>
          <cell r="S7">
            <v>18</v>
          </cell>
          <cell r="T7">
            <v>16</v>
          </cell>
          <cell r="U7">
            <v>19</v>
          </cell>
          <cell r="V7">
            <v>23</v>
          </cell>
          <cell r="W7">
            <v>16</v>
          </cell>
          <cell r="X7">
            <v>20</v>
          </cell>
          <cell r="Y7">
            <v>19</v>
          </cell>
          <cell r="Z7">
            <v>19</v>
          </cell>
          <cell r="AA7">
            <v>17</v>
          </cell>
          <cell r="AB7">
            <v>20</v>
          </cell>
          <cell r="AC7">
            <v>23</v>
          </cell>
          <cell r="AD7">
            <v>16</v>
          </cell>
          <cell r="AE7">
            <v>20</v>
          </cell>
        </row>
        <row r="8">
          <cell r="B8">
            <v>12</v>
          </cell>
          <cell r="C8">
            <v>15</v>
          </cell>
          <cell r="D8">
            <v>15</v>
          </cell>
          <cell r="E8">
            <v>15</v>
          </cell>
          <cell r="F8">
            <v>14</v>
          </cell>
          <cell r="G8">
            <v>17</v>
          </cell>
          <cell r="H8">
            <v>18</v>
          </cell>
          <cell r="I8">
            <v>12</v>
          </cell>
          <cell r="J8">
            <v>15</v>
          </cell>
          <cell r="K8">
            <v>15</v>
          </cell>
          <cell r="L8">
            <v>14</v>
          </cell>
          <cell r="M8">
            <v>13</v>
          </cell>
          <cell r="N8">
            <v>16</v>
          </cell>
          <cell r="O8">
            <v>17</v>
          </cell>
          <cell r="P8">
            <v>11</v>
          </cell>
          <cell r="Q8">
            <v>14</v>
          </cell>
          <cell r="R8">
            <v>14</v>
          </cell>
          <cell r="S8">
            <v>14</v>
          </cell>
          <cell r="T8">
            <v>13</v>
          </cell>
          <cell r="U8">
            <v>16</v>
          </cell>
          <cell r="V8">
            <v>18</v>
          </cell>
          <cell r="W8">
            <v>12</v>
          </cell>
          <cell r="X8">
            <v>15</v>
          </cell>
          <cell r="Y8">
            <v>15</v>
          </cell>
          <cell r="Z8">
            <v>15</v>
          </cell>
          <cell r="AA8">
            <v>14</v>
          </cell>
          <cell r="AB8">
            <v>17</v>
          </cell>
          <cell r="AC8">
            <v>18</v>
          </cell>
          <cell r="AD8">
            <v>12</v>
          </cell>
          <cell r="AE8">
            <v>15</v>
          </cell>
        </row>
        <row r="9">
          <cell r="B9">
            <v>9</v>
          </cell>
          <cell r="C9">
            <v>12</v>
          </cell>
          <cell r="D9">
            <v>10</v>
          </cell>
          <cell r="E9">
            <v>11</v>
          </cell>
          <cell r="F9">
            <v>11</v>
          </cell>
          <cell r="G9">
            <v>13</v>
          </cell>
          <cell r="H9">
            <v>15</v>
          </cell>
          <cell r="I9">
            <v>9</v>
          </cell>
          <cell r="J9">
            <v>12</v>
          </cell>
          <cell r="K9">
            <v>10</v>
          </cell>
          <cell r="L9">
            <v>11</v>
          </cell>
          <cell r="M9">
            <v>10</v>
          </cell>
          <cell r="N9">
            <v>12</v>
          </cell>
          <cell r="O9">
            <v>14</v>
          </cell>
          <cell r="P9">
            <v>8</v>
          </cell>
          <cell r="Q9">
            <v>11</v>
          </cell>
          <cell r="R9">
            <v>9</v>
          </cell>
          <cell r="S9">
            <v>11</v>
          </cell>
          <cell r="T9">
            <v>10</v>
          </cell>
          <cell r="U9">
            <v>12</v>
          </cell>
          <cell r="V9">
            <v>15</v>
          </cell>
          <cell r="W9">
            <v>9</v>
          </cell>
          <cell r="X9">
            <v>12</v>
          </cell>
          <cell r="Y9">
            <v>10</v>
          </cell>
          <cell r="Z9">
            <v>11</v>
          </cell>
          <cell r="AA9">
            <v>11</v>
          </cell>
          <cell r="AB9">
            <v>13</v>
          </cell>
          <cell r="AC9">
            <v>15</v>
          </cell>
          <cell r="AD9">
            <v>9</v>
          </cell>
          <cell r="AE9">
            <v>12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</row>
        <row r="20">
          <cell r="B20">
            <v>10</v>
          </cell>
          <cell r="C20">
            <v>11</v>
          </cell>
          <cell r="D20">
            <v>11</v>
          </cell>
          <cell r="E20">
            <v>15</v>
          </cell>
          <cell r="F20">
            <v>14</v>
          </cell>
          <cell r="G20">
            <v>11</v>
          </cell>
          <cell r="H20">
            <v>7</v>
          </cell>
          <cell r="I20">
            <v>10</v>
          </cell>
          <cell r="J20">
            <v>11</v>
          </cell>
          <cell r="K20">
            <v>11</v>
          </cell>
          <cell r="L20">
            <v>14</v>
          </cell>
          <cell r="M20">
            <v>13</v>
          </cell>
          <cell r="N20">
            <v>10</v>
          </cell>
          <cell r="O20">
            <v>6</v>
          </cell>
          <cell r="P20">
            <v>10</v>
          </cell>
          <cell r="Q20">
            <v>10</v>
          </cell>
          <cell r="R20">
            <v>11</v>
          </cell>
          <cell r="S20">
            <v>14</v>
          </cell>
          <cell r="T20">
            <v>13</v>
          </cell>
          <cell r="U20">
            <v>10</v>
          </cell>
          <cell r="V20">
            <v>7</v>
          </cell>
          <cell r="W20">
            <v>10</v>
          </cell>
          <cell r="X20">
            <v>11</v>
          </cell>
          <cell r="Y20">
            <v>11</v>
          </cell>
          <cell r="Z20">
            <v>15</v>
          </cell>
          <cell r="AA20">
            <v>14</v>
          </cell>
          <cell r="AB20">
            <v>11</v>
          </cell>
          <cell r="AC20">
            <v>7</v>
          </cell>
          <cell r="AD20">
            <v>10</v>
          </cell>
          <cell r="AE20">
            <v>11</v>
          </cell>
        </row>
        <row r="21">
          <cell r="B21">
            <v>13</v>
          </cell>
          <cell r="C21">
            <v>14</v>
          </cell>
          <cell r="D21">
            <v>16</v>
          </cell>
          <cell r="E21">
            <v>16</v>
          </cell>
          <cell r="F21">
            <v>16</v>
          </cell>
          <cell r="G21">
            <v>14</v>
          </cell>
          <cell r="H21">
            <v>10</v>
          </cell>
          <cell r="I21">
            <v>13</v>
          </cell>
          <cell r="J21">
            <v>14</v>
          </cell>
          <cell r="K21">
            <v>16</v>
          </cell>
          <cell r="L21">
            <v>15</v>
          </cell>
          <cell r="M21">
            <v>15</v>
          </cell>
          <cell r="N21">
            <v>13</v>
          </cell>
          <cell r="O21">
            <v>10</v>
          </cell>
          <cell r="P21">
            <v>12</v>
          </cell>
          <cell r="Q21">
            <v>13</v>
          </cell>
          <cell r="R21">
            <v>15</v>
          </cell>
          <cell r="S21">
            <v>15</v>
          </cell>
          <cell r="T21">
            <v>15</v>
          </cell>
          <cell r="U21">
            <v>13</v>
          </cell>
          <cell r="V21">
            <v>10</v>
          </cell>
          <cell r="W21">
            <v>13</v>
          </cell>
          <cell r="X21">
            <v>14</v>
          </cell>
          <cell r="Y21">
            <v>16</v>
          </cell>
          <cell r="Z21">
            <v>16</v>
          </cell>
          <cell r="AA21">
            <v>16</v>
          </cell>
          <cell r="AB21">
            <v>14</v>
          </cell>
          <cell r="AC21">
            <v>10</v>
          </cell>
          <cell r="AD21">
            <v>13</v>
          </cell>
          <cell r="AE21">
            <v>14</v>
          </cell>
        </row>
        <row r="22">
          <cell r="B22">
            <v>16</v>
          </cell>
          <cell r="C22">
            <v>18</v>
          </cell>
          <cell r="D22">
            <v>22</v>
          </cell>
          <cell r="E22">
            <v>23</v>
          </cell>
          <cell r="F22">
            <v>21</v>
          </cell>
          <cell r="G22">
            <v>18</v>
          </cell>
          <cell r="H22">
            <v>14</v>
          </cell>
          <cell r="I22">
            <v>16</v>
          </cell>
          <cell r="J22">
            <v>18</v>
          </cell>
          <cell r="K22">
            <v>22</v>
          </cell>
          <cell r="L22">
            <v>21</v>
          </cell>
          <cell r="M22">
            <v>20</v>
          </cell>
          <cell r="N22">
            <v>17</v>
          </cell>
          <cell r="O22">
            <v>13</v>
          </cell>
          <cell r="P22">
            <v>15</v>
          </cell>
          <cell r="Q22">
            <v>17</v>
          </cell>
          <cell r="R22">
            <v>21</v>
          </cell>
          <cell r="S22">
            <v>21</v>
          </cell>
          <cell r="T22">
            <v>20</v>
          </cell>
          <cell r="U22">
            <v>17</v>
          </cell>
          <cell r="V22">
            <v>14</v>
          </cell>
          <cell r="W22">
            <v>16</v>
          </cell>
          <cell r="X22">
            <v>18</v>
          </cell>
          <cell r="Y22">
            <v>22</v>
          </cell>
          <cell r="Z22">
            <v>23</v>
          </cell>
          <cell r="AA22">
            <v>21</v>
          </cell>
          <cell r="AB22">
            <v>18</v>
          </cell>
          <cell r="AC22">
            <v>14</v>
          </cell>
          <cell r="AD22">
            <v>16</v>
          </cell>
          <cell r="AE22">
            <v>18</v>
          </cell>
        </row>
        <row r="23">
          <cell r="B23">
            <v>21</v>
          </cell>
          <cell r="C23">
            <v>24</v>
          </cell>
          <cell r="D23">
            <v>25</v>
          </cell>
          <cell r="E23">
            <v>28</v>
          </cell>
          <cell r="F23">
            <v>26</v>
          </cell>
          <cell r="G23">
            <v>26</v>
          </cell>
          <cell r="H23">
            <v>14</v>
          </cell>
          <cell r="I23">
            <v>21</v>
          </cell>
          <cell r="J23">
            <v>24</v>
          </cell>
          <cell r="K23">
            <v>25</v>
          </cell>
          <cell r="L23">
            <v>26</v>
          </cell>
          <cell r="M23">
            <v>25</v>
          </cell>
          <cell r="N23">
            <v>24</v>
          </cell>
          <cell r="O23">
            <v>14</v>
          </cell>
          <cell r="P23">
            <v>20</v>
          </cell>
          <cell r="Q23">
            <v>22</v>
          </cell>
          <cell r="R23">
            <v>24</v>
          </cell>
          <cell r="S23">
            <v>26</v>
          </cell>
          <cell r="T23">
            <v>25</v>
          </cell>
          <cell r="U23">
            <v>24</v>
          </cell>
          <cell r="V23">
            <v>14</v>
          </cell>
          <cell r="W23">
            <v>21</v>
          </cell>
          <cell r="X23">
            <v>24</v>
          </cell>
          <cell r="Y23">
            <v>25</v>
          </cell>
          <cell r="Z23">
            <v>28</v>
          </cell>
          <cell r="AA23">
            <v>26</v>
          </cell>
          <cell r="AB23">
            <v>26</v>
          </cell>
          <cell r="AC23">
            <v>14</v>
          </cell>
          <cell r="AD23">
            <v>21</v>
          </cell>
          <cell r="AE23">
            <v>24</v>
          </cell>
        </row>
        <row r="24">
          <cell r="B24">
            <v>26</v>
          </cell>
          <cell r="C24">
            <v>31</v>
          </cell>
          <cell r="D24">
            <v>31</v>
          </cell>
          <cell r="E24">
            <v>34</v>
          </cell>
          <cell r="F24">
            <v>33</v>
          </cell>
          <cell r="G24">
            <v>30</v>
          </cell>
          <cell r="H24">
            <v>17</v>
          </cell>
          <cell r="I24">
            <v>26</v>
          </cell>
          <cell r="J24">
            <v>31</v>
          </cell>
          <cell r="K24">
            <v>31</v>
          </cell>
          <cell r="L24">
            <v>32</v>
          </cell>
          <cell r="M24">
            <v>31</v>
          </cell>
          <cell r="N24">
            <v>28</v>
          </cell>
          <cell r="O24">
            <v>16</v>
          </cell>
          <cell r="P24">
            <v>25</v>
          </cell>
          <cell r="Q24">
            <v>29</v>
          </cell>
          <cell r="R24">
            <v>29</v>
          </cell>
          <cell r="S24">
            <v>32</v>
          </cell>
          <cell r="T24">
            <v>31</v>
          </cell>
          <cell r="U24">
            <v>28</v>
          </cell>
          <cell r="V24">
            <v>17</v>
          </cell>
          <cell r="W24">
            <v>26</v>
          </cell>
          <cell r="X24">
            <v>31</v>
          </cell>
          <cell r="Y24">
            <v>31</v>
          </cell>
          <cell r="Z24">
            <v>34</v>
          </cell>
          <cell r="AA24">
            <v>33</v>
          </cell>
          <cell r="AB24">
            <v>30</v>
          </cell>
          <cell r="AC24">
            <v>17</v>
          </cell>
          <cell r="AD24">
            <v>26</v>
          </cell>
          <cell r="AE24">
            <v>31</v>
          </cell>
        </row>
        <row r="25">
          <cell r="B25">
            <v>32</v>
          </cell>
          <cell r="C25">
            <v>36</v>
          </cell>
          <cell r="D25">
            <v>32</v>
          </cell>
          <cell r="E25">
            <v>36</v>
          </cell>
          <cell r="F25">
            <v>35</v>
          </cell>
          <cell r="G25">
            <v>34</v>
          </cell>
          <cell r="H25">
            <v>22</v>
          </cell>
          <cell r="I25">
            <v>32</v>
          </cell>
          <cell r="J25">
            <v>36</v>
          </cell>
          <cell r="K25">
            <v>32</v>
          </cell>
          <cell r="L25">
            <v>34</v>
          </cell>
          <cell r="M25">
            <v>33</v>
          </cell>
          <cell r="N25">
            <v>32</v>
          </cell>
          <cell r="O25">
            <v>20</v>
          </cell>
          <cell r="P25">
            <v>30</v>
          </cell>
          <cell r="Q25">
            <v>34</v>
          </cell>
          <cell r="R25">
            <v>30</v>
          </cell>
          <cell r="S25">
            <v>34</v>
          </cell>
          <cell r="T25">
            <v>33</v>
          </cell>
          <cell r="U25">
            <v>32</v>
          </cell>
          <cell r="V25">
            <v>22</v>
          </cell>
          <cell r="W25">
            <v>32</v>
          </cell>
          <cell r="X25">
            <v>36</v>
          </cell>
          <cell r="Y25">
            <v>32</v>
          </cell>
          <cell r="Z25">
            <v>36</v>
          </cell>
          <cell r="AA25">
            <v>35</v>
          </cell>
          <cell r="AB25">
            <v>34</v>
          </cell>
          <cell r="AC25">
            <v>22</v>
          </cell>
          <cell r="AD25">
            <v>32</v>
          </cell>
          <cell r="AE25">
            <v>36</v>
          </cell>
        </row>
        <row r="26">
          <cell r="B26">
            <v>37</v>
          </cell>
          <cell r="C26">
            <v>38</v>
          </cell>
          <cell r="D26">
            <v>37</v>
          </cell>
          <cell r="E26">
            <v>41</v>
          </cell>
          <cell r="F26">
            <v>38</v>
          </cell>
          <cell r="G26">
            <v>37</v>
          </cell>
          <cell r="H26">
            <v>21</v>
          </cell>
          <cell r="I26">
            <v>37</v>
          </cell>
          <cell r="J26">
            <v>38</v>
          </cell>
          <cell r="K26">
            <v>37</v>
          </cell>
          <cell r="L26">
            <v>39</v>
          </cell>
          <cell r="M26">
            <v>36</v>
          </cell>
          <cell r="N26">
            <v>35</v>
          </cell>
          <cell r="O26">
            <v>19</v>
          </cell>
          <cell r="P26">
            <v>35</v>
          </cell>
          <cell r="Q26">
            <v>35</v>
          </cell>
          <cell r="R26">
            <v>35</v>
          </cell>
          <cell r="S26">
            <v>39</v>
          </cell>
          <cell r="T26">
            <v>36</v>
          </cell>
          <cell r="U26">
            <v>35</v>
          </cell>
          <cell r="V26">
            <v>21</v>
          </cell>
          <cell r="W26">
            <v>37</v>
          </cell>
          <cell r="X26">
            <v>38</v>
          </cell>
          <cell r="Y26">
            <v>37</v>
          </cell>
          <cell r="Z26">
            <v>41</v>
          </cell>
          <cell r="AA26">
            <v>38</v>
          </cell>
          <cell r="AB26">
            <v>37</v>
          </cell>
          <cell r="AC26">
            <v>21</v>
          </cell>
          <cell r="AD26">
            <v>37</v>
          </cell>
          <cell r="AE26">
            <v>38</v>
          </cell>
        </row>
        <row r="27">
          <cell r="B27">
            <v>34</v>
          </cell>
          <cell r="C27">
            <v>35</v>
          </cell>
          <cell r="D27">
            <v>35</v>
          </cell>
          <cell r="E27">
            <v>37</v>
          </cell>
          <cell r="F27">
            <v>35</v>
          </cell>
          <cell r="G27">
            <v>31</v>
          </cell>
          <cell r="H27">
            <v>13</v>
          </cell>
          <cell r="I27">
            <v>34</v>
          </cell>
          <cell r="J27">
            <v>35</v>
          </cell>
          <cell r="K27">
            <v>35</v>
          </cell>
          <cell r="L27">
            <v>35</v>
          </cell>
          <cell r="M27">
            <v>33</v>
          </cell>
          <cell r="N27">
            <v>29</v>
          </cell>
          <cell r="O27">
            <v>12</v>
          </cell>
          <cell r="P27">
            <v>32</v>
          </cell>
          <cell r="Q27">
            <v>33</v>
          </cell>
          <cell r="R27">
            <v>32</v>
          </cell>
          <cell r="S27">
            <v>35</v>
          </cell>
          <cell r="T27">
            <v>33</v>
          </cell>
          <cell r="U27">
            <v>29</v>
          </cell>
          <cell r="V27">
            <v>13</v>
          </cell>
          <cell r="W27">
            <v>34</v>
          </cell>
          <cell r="X27">
            <v>35</v>
          </cell>
          <cell r="Y27">
            <v>35</v>
          </cell>
          <cell r="Z27">
            <v>37</v>
          </cell>
          <cell r="AA27">
            <v>35</v>
          </cell>
          <cell r="AB27">
            <v>31</v>
          </cell>
          <cell r="AC27">
            <v>13</v>
          </cell>
          <cell r="AD27">
            <v>34</v>
          </cell>
          <cell r="AE27">
            <v>35</v>
          </cell>
        </row>
        <row r="28">
          <cell r="B28">
            <v>38</v>
          </cell>
          <cell r="C28">
            <v>41</v>
          </cell>
          <cell r="D28">
            <v>39</v>
          </cell>
          <cell r="E28">
            <v>40</v>
          </cell>
          <cell r="F28">
            <v>40</v>
          </cell>
          <cell r="G28">
            <v>36</v>
          </cell>
          <cell r="H28">
            <v>20</v>
          </cell>
          <cell r="I28">
            <v>38</v>
          </cell>
          <cell r="J28">
            <v>41</v>
          </cell>
          <cell r="K28">
            <v>39</v>
          </cell>
          <cell r="L28">
            <v>38</v>
          </cell>
          <cell r="M28">
            <v>37</v>
          </cell>
          <cell r="N28">
            <v>34</v>
          </cell>
          <cell r="O28">
            <v>19</v>
          </cell>
          <cell r="P28">
            <v>35</v>
          </cell>
          <cell r="Q28">
            <v>39</v>
          </cell>
          <cell r="R28">
            <v>36</v>
          </cell>
          <cell r="S28">
            <v>38</v>
          </cell>
          <cell r="T28">
            <v>37</v>
          </cell>
          <cell r="U28">
            <v>34</v>
          </cell>
          <cell r="V28">
            <v>20</v>
          </cell>
          <cell r="W28">
            <v>38</v>
          </cell>
          <cell r="X28">
            <v>41</v>
          </cell>
          <cell r="Y28">
            <v>39</v>
          </cell>
          <cell r="Z28">
            <v>40</v>
          </cell>
          <cell r="AA28">
            <v>40</v>
          </cell>
          <cell r="AB28">
            <v>36</v>
          </cell>
          <cell r="AC28">
            <v>20</v>
          </cell>
          <cell r="AD28">
            <v>38</v>
          </cell>
          <cell r="AE28">
            <v>41</v>
          </cell>
        </row>
        <row r="29">
          <cell r="B29">
            <v>43</v>
          </cell>
          <cell r="C29">
            <v>49</v>
          </cell>
          <cell r="D29">
            <v>43</v>
          </cell>
          <cell r="E29">
            <v>49</v>
          </cell>
          <cell r="F29">
            <v>44</v>
          </cell>
          <cell r="G29">
            <v>43</v>
          </cell>
          <cell r="H29">
            <v>31</v>
          </cell>
          <cell r="I29">
            <v>43</v>
          </cell>
          <cell r="J29">
            <v>49</v>
          </cell>
          <cell r="K29">
            <v>43</v>
          </cell>
          <cell r="L29">
            <v>46</v>
          </cell>
          <cell r="M29">
            <v>42</v>
          </cell>
          <cell r="N29">
            <v>40</v>
          </cell>
          <cell r="O29">
            <v>29</v>
          </cell>
          <cell r="P29">
            <v>41</v>
          </cell>
          <cell r="Q29">
            <v>46</v>
          </cell>
          <cell r="R29">
            <v>40</v>
          </cell>
          <cell r="S29">
            <v>46</v>
          </cell>
          <cell r="T29">
            <v>42</v>
          </cell>
          <cell r="U29">
            <v>40</v>
          </cell>
          <cell r="V29">
            <v>31</v>
          </cell>
          <cell r="W29">
            <v>43</v>
          </cell>
          <cell r="X29">
            <v>49</v>
          </cell>
          <cell r="Y29">
            <v>43</v>
          </cell>
          <cell r="Z29">
            <v>49</v>
          </cell>
          <cell r="AA29">
            <v>44</v>
          </cell>
          <cell r="AB29">
            <v>43</v>
          </cell>
          <cell r="AC29">
            <v>31</v>
          </cell>
          <cell r="AD29">
            <v>43</v>
          </cell>
          <cell r="AE29">
            <v>49</v>
          </cell>
        </row>
        <row r="30">
          <cell r="B30">
            <v>49</v>
          </cell>
          <cell r="C30">
            <v>50</v>
          </cell>
          <cell r="D30">
            <v>47</v>
          </cell>
          <cell r="E30">
            <v>54</v>
          </cell>
          <cell r="F30">
            <v>50</v>
          </cell>
          <cell r="G30">
            <v>48</v>
          </cell>
          <cell r="H30">
            <v>37</v>
          </cell>
          <cell r="I30">
            <v>49</v>
          </cell>
          <cell r="J30">
            <v>50</v>
          </cell>
          <cell r="K30">
            <v>47</v>
          </cell>
          <cell r="L30">
            <v>51</v>
          </cell>
          <cell r="M30">
            <v>47</v>
          </cell>
          <cell r="N30">
            <v>45</v>
          </cell>
          <cell r="O30">
            <v>35</v>
          </cell>
          <cell r="P30">
            <v>46</v>
          </cell>
          <cell r="Q30">
            <v>47</v>
          </cell>
          <cell r="R30">
            <v>44</v>
          </cell>
          <cell r="S30">
            <v>51</v>
          </cell>
          <cell r="T30">
            <v>47</v>
          </cell>
          <cell r="U30">
            <v>45</v>
          </cell>
          <cell r="V30">
            <v>37</v>
          </cell>
          <cell r="W30">
            <v>49</v>
          </cell>
          <cell r="X30">
            <v>50</v>
          </cell>
          <cell r="Y30">
            <v>47</v>
          </cell>
          <cell r="Z30">
            <v>54</v>
          </cell>
          <cell r="AA30">
            <v>50</v>
          </cell>
          <cell r="AB30">
            <v>48</v>
          </cell>
          <cell r="AC30">
            <v>37</v>
          </cell>
          <cell r="AD30">
            <v>49</v>
          </cell>
          <cell r="AE30">
            <v>50</v>
          </cell>
        </row>
        <row r="31">
          <cell r="B31">
            <v>51</v>
          </cell>
          <cell r="C31">
            <v>51</v>
          </cell>
          <cell r="D31">
            <v>49</v>
          </cell>
          <cell r="E31">
            <v>57</v>
          </cell>
          <cell r="F31">
            <v>52</v>
          </cell>
          <cell r="G31">
            <v>54</v>
          </cell>
          <cell r="H31">
            <v>43</v>
          </cell>
          <cell r="I31">
            <v>51</v>
          </cell>
          <cell r="J31">
            <v>51</v>
          </cell>
          <cell r="K31">
            <v>49</v>
          </cell>
          <cell r="L31">
            <v>54</v>
          </cell>
          <cell r="M31">
            <v>48</v>
          </cell>
          <cell r="N31">
            <v>50</v>
          </cell>
          <cell r="O31">
            <v>40</v>
          </cell>
          <cell r="P31">
            <v>48</v>
          </cell>
          <cell r="Q31">
            <v>48</v>
          </cell>
          <cell r="R31">
            <v>46</v>
          </cell>
          <cell r="S31">
            <v>54</v>
          </cell>
          <cell r="T31">
            <v>48</v>
          </cell>
          <cell r="U31">
            <v>50</v>
          </cell>
          <cell r="V31">
            <v>43</v>
          </cell>
          <cell r="W31">
            <v>51</v>
          </cell>
          <cell r="X31">
            <v>51</v>
          </cell>
          <cell r="Y31">
            <v>49</v>
          </cell>
          <cell r="Z31">
            <v>57</v>
          </cell>
          <cell r="AA31">
            <v>52</v>
          </cell>
          <cell r="AB31">
            <v>54</v>
          </cell>
          <cell r="AC31">
            <v>43</v>
          </cell>
          <cell r="AD31">
            <v>51</v>
          </cell>
          <cell r="AE31">
            <v>51</v>
          </cell>
        </row>
        <row r="32">
          <cell r="B32">
            <v>50</v>
          </cell>
          <cell r="C32">
            <v>48</v>
          </cell>
          <cell r="D32">
            <v>52</v>
          </cell>
          <cell r="E32">
            <v>59</v>
          </cell>
          <cell r="F32">
            <v>53</v>
          </cell>
          <cell r="G32">
            <v>55</v>
          </cell>
          <cell r="H32">
            <v>45</v>
          </cell>
          <cell r="I32">
            <v>50</v>
          </cell>
          <cell r="J32">
            <v>48</v>
          </cell>
          <cell r="K32">
            <v>52</v>
          </cell>
          <cell r="L32">
            <v>56</v>
          </cell>
          <cell r="M32">
            <v>50</v>
          </cell>
          <cell r="N32">
            <v>51</v>
          </cell>
          <cell r="O32">
            <v>43</v>
          </cell>
          <cell r="P32">
            <v>47</v>
          </cell>
          <cell r="Q32">
            <v>45</v>
          </cell>
          <cell r="R32">
            <v>49</v>
          </cell>
          <cell r="S32">
            <v>56</v>
          </cell>
          <cell r="T32">
            <v>50</v>
          </cell>
          <cell r="U32">
            <v>51</v>
          </cell>
          <cell r="V32">
            <v>45</v>
          </cell>
          <cell r="W32">
            <v>50</v>
          </cell>
          <cell r="X32">
            <v>48</v>
          </cell>
          <cell r="Y32">
            <v>52</v>
          </cell>
          <cell r="Z32">
            <v>59</v>
          </cell>
          <cell r="AA32">
            <v>53</v>
          </cell>
          <cell r="AB32">
            <v>55</v>
          </cell>
          <cell r="AC32">
            <v>45</v>
          </cell>
          <cell r="AD32">
            <v>50</v>
          </cell>
          <cell r="AE32">
            <v>48</v>
          </cell>
        </row>
        <row r="33">
          <cell r="B33">
            <v>43</v>
          </cell>
          <cell r="C33">
            <v>44</v>
          </cell>
          <cell r="D33">
            <v>46</v>
          </cell>
          <cell r="E33">
            <v>50</v>
          </cell>
          <cell r="F33">
            <v>46</v>
          </cell>
          <cell r="G33">
            <v>45</v>
          </cell>
          <cell r="H33">
            <v>40</v>
          </cell>
          <cell r="I33">
            <v>43</v>
          </cell>
          <cell r="J33">
            <v>44</v>
          </cell>
          <cell r="K33">
            <v>46</v>
          </cell>
          <cell r="L33">
            <v>47</v>
          </cell>
          <cell r="M33">
            <v>43</v>
          </cell>
          <cell r="N33">
            <v>42</v>
          </cell>
          <cell r="O33">
            <v>37</v>
          </cell>
          <cell r="P33">
            <v>41</v>
          </cell>
          <cell r="Q33">
            <v>41</v>
          </cell>
          <cell r="R33">
            <v>43</v>
          </cell>
          <cell r="S33">
            <v>47</v>
          </cell>
          <cell r="T33">
            <v>43</v>
          </cell>
          <cell r="U33">
            <v>42</v>
          </cell>
          <cell r="V33">
            <v>40</v>
          </cell>
          <cell r="W33">
            <v>43</v>
          </cell>
          <cell r="X33">
            <v>44</v>
          </cell>
          <cell r="Y33">
            <v>46</v>
          </cell>
          <cell r="Z33">
            <v>50</v>
          </cell>
          <cell r="AA33">
            <v>46</v>
          </cell>
          <cell r="AB33">
            <v>45</v>
          </cell>
          <cell r="AC33">
            <v>40</v>
          </cell>
          <cell r="AD33">
            <v>43</v>
          </cell>
          <cell r="AE33">
            <v>44</v>
          </cell>
        </row>
        <row r="34">
          <cell r="B34">
            <v>46</v>
          </cell>
          <cell r="C34">
            <v>48</v>
          </cell>
          <cell r="D34">
            <v>48</v>
          </cell>
          <cell r="E34">
            <v>55</v>
          </cell>
          <cell r="F34">
            <v>49</v>
          </cell>
          <cell r="G34">
            <v>48</v>
          </cell>
          <cell r="H34">
            <v>42</v>
          </cell>
          <cell r="I34">
            <v>46</v>
          </cell>
          <cell r="J34">
            <v>48</v>
          </cell>
          <cell r="K34">
            <v>48</v>
          </cell>
          <cell r="L34">
            <v>52</v>
          </cell>
          <cell r="M34">
            <v>46</v>
          </cell>
          <cell r="N34">
            <v>45</v>
          </cell>
          <cell r="O34">
            <v>40</v>
          </cell>
          <cell r="P34">
            <v>43</v>
          </cell>
          <cell r="Q34">
            <v>45</v>
          </cell>
          <cell r="R34">
            <v>45</v>
          </cell>
          <cell r="S34">
            <v>52</v>
          </cell>
          <cell r="T34">
            <v>46</v>
          </cell>
          <cell r="U34">
            <v>45</v>
          </cell>
          <cell r="V34">
            <v>42</v>
          </cell>
          <cell r="W34">
            <v>46</v>
          </cell>
          <cell r="X34">
            <v>48</v>
          </cell>
          <cell r="Y34">
            <v>48</v>
          </cell>
          <cell r="Z34">
            <v>55</v>
          </cell>
          <cell r="AA34">
            <v>49</v>
          </cell>
          <cell r="AB34">
            <v>48</v>
          </cell>
          <cell r="AC34">
            <v>42</v>
          </cell>
          <cell r="AD34">
            <v>46</v>
          </cell>
          <cell r="AE34">
            <v>48</v>
          </cell>
        </row>
        <row r="35">
          <cell r="B35">
            <v>49</v>
          </cell>
          <cell r="C35">
            <v>51</v>
          </cell>
          <cell r="D35">
            <v>50</v>
          </cell>
          <cell r="E35">
            <v>56</v>
          </cell>
          <cell r="F35">
            <v>52</v>
          </cell>
          <cell r="G35">
            <v>52</v>
          </cell>
          <cell r="H35">
            <v>46</v>
          </cell>
          <cell r="I35">
            <v>49</v>
          </cell>
          <cell r="J35">
            <v>51</v>
          </cell>
          <cell r="K35">
            <v>50</v>
          </cell>
          <cell r="L35">
            <v>53</v>
          </cell>
          <cell r="M35">
            <v>49</v>
          </cell>
          <cell r="N35">
            <v>49</v>
          </cell>
          <cell r="O35">
            <v>43</v>
          </cell>
          <cell r="P35">
            <v>47</v>
          </cell>
          <cell r="Q35">
            <v>48</v>
          </cell>
          <cell r="R35">
            <v>47</v>
          </cell>
          <cell r="S35">
            <v>53</v>
          </cell>
          <cell r="T35">
            <v>49</v>
          </cell>
          <cell r="U35">
            <v>49</v>
          </cell>
          <cell r="V35">
            <v>46</v>
          </cell>
          <cell r="W35">
            <v>49</v>
          </cell>
          <cell r="X35">
            <v>51</v>
          </cell>
          <cell r="Y35">
            <v>50</v>
          </cell>
          <cell r="Z35">
            <v>56</v>
          </cell>
          <cell r="AA35">
            <v>52</v>
          </cell>
          <cell r="AB35">
            <v>52</v>
          </cell>
          <cell r="AC35">
            <v>46</v>
          </cell>
          <cell r="AD35">
            <v>49</v>
          </cell>
          <cell r="AE35">
            <v>51</v>
          </cell>
        </row>
        <row r="36">
          <cell r="B36">
            <v>49</v>
          </cell>
          <cell r="C36">
            <v>50</v>
          </cell>
          <cell r="D36">
            <v>52</v>
          </cell>
          <cell r="E36">
            <v>58</v>
          </cell>
          <cell r="F36">
            <v>52</v>
          </cell>
          <cell r="G36">
            <v>53</v>
          </cell>
          <cell r="H36">
            <v>46</v>
          </cell>
          <cell r="I36">
            <v>49</v>
          </cell>
          <cell r="J36">
            <v>50</v>
          </cell>
          <cell r="K36">
            <v>52</v>
          </cell>
          <cell r="L36">
            <v>54</v>
          </cell>
          <cell r="M36">
            <v>49</v>
          </cell>
          <cell r="N36">
            <v>50</v>
          </cell>
          <cell r="O36">
            <v>44</v>
          </cell>
          <cell r="P36">
            <v>46</v>
          </cell>
          <cell r="Q36">
            <v>47</v>
          </cell>
          <cell r="R36">
            <v>49</v>
          </cell>
          <cell r="S36">
            <v>54</v>
          </cell>
          <cell r="T36">
            <v>49</v>
          </cell>
          <cell r="U36">
            <v>50</v>
          </cell>
          <cell r="V36">
            <v>46</v>
          </cell>
          <cell r="W36">
            <v>49</v>
          </cell>
          <cell r="X36">
            <v>50</v>
          </cell>
          <cell r="Y36">
            <v>52</v>
          </cell>
          <cell r="Z36">
            <v>58</v>
          </cell>
          <cell r="AA36">
            <v>52</v>
          </cell>
          <cell r="AB36">
            <v>53</v>
          </cell>
          <cell r="AC36">
            <v>46</v>
          </cell>
          <cell r="AD36">
            <v>49</v>
          </cell>
          <cell r="AE36">
            <v>50</v>
          </cell>
        </row>
        <row r="37">
          <cell r="B37">
            <v>48</v>
          </cell>
          <cell r="C37">
            <v>50</v>
          </cell>
          <cell r="D37">
            <v>52</v>
          </cell>
          <cell r="E37">
            <v>58</v>
          </cell>
          <cell r="F37">
            <v>54</v>
          </cell>
          <cell r="G37">
            <v>55</v>
          </cell>
          <cell r="H37">
            <v>52</v>
          </cell>
          <cell r="I37">
            <v>48</v>
          </cell>
          <cell r="J37">
            <v>50</v>
          </cell>
          <cell r="K37">
            <v>52</v>
          </cell>
          <cell r="L37">
            <v>55</v>
          </cell>
          <cell r="M37">
            <v>51</v>
          </cell>
          <cell r="N37">
            <v>52</v>
          </cell>
          <cell r="O37">
            <v>49</v>
          </cell>
          <cell r="P37">
            <v>45</v>
          </cell>
          <cell r="Q37">
            <v>47</v>
          </cell>
          <cell r="R37">
            <v>49</v>
          </cell>
          <cell r="S37">
            <v>55</v>
          </cell>
          <cell r="T37">
            <v>51</v>
          </cell>
          <cell r="U37">
            <v>52</v>
          </cell>
          <cell r="V37">
            <v>52</v>
          </cell>
          <cell r="W37">
            <v>48</v>
          </cell>
          <cell r="X37">
            <v>50</v>
          </cell>
          <cell r="Y37">
            <v>52</v>
          </cell>
          <cell r="Z37">
            <v>58</v>
          </cell>
          <cell r="AA37">
            <v>54</v>
          </cell>
          <cell r="AB37">
            <v>55</v>
          </cell>
          <cell r="AC37">
            <v>52</v>
          </cell>
          <cell r="AD37">
            <v>48</v>
          </cell>
          <cell r="AE37">
            <v>50</v>
          </cell>
        </row>
        <row r="38">
          <cell r="B38">
            <v>46</v>
          </cell>
          <cell r="C38">
            <v>47</v>
          </cell>
          <cell r="D38">
            <v>48</v>
          </cell>
          <cell r="E38">
            <v>51</v>
          </cell>
          <cell r="F38">
            <v>48</v>
          </cell>
          <cell r="G38">
            <v>50</v>
          </cell>
          <cell r="H38">
            <v>44</v>
          </cell>
          <cell r="I38">
            <v>46</v>
          </cell>
          <cell r="J38">
            <v>47</v>
          </cell>
          <cell r="K38">
            <v>48</v>
          </cell>
          <cell r="L38">
            <v>48</v>
          </cell>
          <cell r="M38">
            <v>45</v>
          </cell>
          <cell r="N38">
            <v>47</v>
          </cell>
          <cell r="O38">
            <v>41</v>
          </cell>
          <cell r="P38">
            <v>43</v>
          </cell>
          <cell r="Q38">
            <v>44</v>
          </cell>
          <cell r="R38">
            <v>45</v>
          </cell>
          <cell r="S38">
            <v>48</v>
          </cell>
          <cell r="T38">
            <v>45</v>
          </cell>
          <cell r="U38">
            <v>47</v>
          </cell>
          <cell r="V38">
            <v>44</v>
          </cell>
          <cell r="W38">
            <v>46</v>
          </cell>
          <cell r="X38">
            <v>47</v>
          </cell>
          <cell r="Y38">
            <v>48</v>
          </cell>
          <cell r="Z38">
            <v>51</v>
          </cell>
          <cell r="AA38">
            <v>48</v>
          </cell>
          <cell r="AB38">
            <v>50</v>
          </cell>
          <cell r="AC38">
            <v>44</v>
          </cell>
          <cell r="AD38">
            <v>46</v>
          </cell>
          <cell r="AE38">
            <v>47</v>
          </cell>
        </row>
        <row r="39">
          <cell r="B39">
            <v>52</v>
          </cell>
          <cell r="C39">
            <v>51</v>
          </cell>
          <cell r="D39">
            <v>54</v>
          </cell>
          <cell r="E39">
            <v>56</v>
          </cell>
          <cell r="F39">
            <v>51</v>
          </cell>
          <cell r="G39">
            <v>57</v>
          </cell>
          <cell r="H39">
            <v>51</v>
          </cell>
          <cell r="I39">
            <v>52</v>
          </cell>
          <cell r="J39">
            <v>51</v>
          </cell>
          <cell r="K39">
            <v>54</v>
          </cell>
          <cell r="L39">
            <v>53</v>
          </cell>
          <cell r="M39">
            <v>48</v>
          </cell>
          <cell r="N39">
            <v>54</v>
          </cell>
          <cell r="O39">
            <v>48</v>
          </cell>
          <cell r="P39">
            <v>49</v>
          </cell>
          <cell r="Q39">
            <v>48</v>
          </cell>
          <cell r="R39">
            <v>51</v>
          </cell>
          <cell r="S39">
            <v>53</v>
          </cell>
          <cell r="T39">
            <v>48</v>
          </cell>
          <cell r="U39">
            <v>54</v>
          </cell>
          <cell r="V39">
            <v>51</v>
          </cell>
          <cell r="W39">
            <v>52</v>
          </cell>
          <cell r="X39">
            <v>51</v>
          </cell>
          <cell r="Y39">
            <v>54</v>
          </cell>
          <cell r="Z39">
            <v>56</v>
          </cell>
          <cell r="AA39">
            <v>51</v>
          </cell>
          <cell r="AB39">
            <v>57</v>
          </cell>
          <cell r="AC39">
            <v>51</v>
          </cell>
          <cell r="AD39">
            <v>52</v>
          </cell>
          <cell r="AE39">
            <v>51</v>
          </cell>
        </row>
        <row r="40">
          <cell r="B40">
            <v>54</v>
          </cell>
          <cell r="C40">
            <v>56</v>
          </cell>
          <cell r="D40">
            <v>55</v>
          </cell>
          <cell r="E40">
            <v>57</v>
          </cell>
          <cell r="F40">
            <v>57</v>
          </cell>
          <cell r="G40">
            <v>56</v>
          </cell>
          <cell r="H40">
            <v>50</v>
          </cell>
          <cell r="I40">
            <v>54</v>
          </cell>
          <cell r="J40">
            <v>56</v>
          </cell>
          <cell r="K40">
            <v>55</v>
          </cell>
          <cell r="L40">
            <v>53</v>
          </cell>
          <cell r="M40">
            <v>53</v>
          </cell>
          <cell r="N40">
            <v>53</v>
          </cell>
          <cell r="O40">
            <v>47</v>
          </cell>
          <cell r="P40">
            <v>51</v>
          </cell>
          <cell r="Q40">
            <v>53</v>
          </cell>
          <cell r="R40">
            <v>52</v>
          </cell>
          <cell r="S40">
            <v>53</v>
          </cell>
          <cell r="T40">
            <v>53</v>
          </cell>
          <cell r="U40">
            <v>53</v>
          </cell>
          <cell r="V40">
            <v>50</v>
          </cell>
          <cell r="W40">
            <v>54</v>
          </cell>
          <cell r="X40">
            <v>56</v>
          </cell>
          <cell r="Y40">
            <v>55</v>
          </cell>
          <cell r="Z40">
            <v>57</v>
          </cell>
          <cell r="AA40">
            <v>57</v>
          </cell>
          <cell r="AB40">
            <v>56</v>
          </cell>
          <cell r="AC40">
            <v>50</v>
          </cell>
          <cell r="AD40">
            <v>54</v>
          </cell>
          <cell r="AE40">
            <v>56</v>
          </cell>
        </row>
        <row r="41">
          <cell r="B41">
            <v>50</v>
          </cell>
          <cell r="C41">
            <v>52</v>
          </cell>
          <cell r="D41">
            <v>52</v>
          </cell>
          <cell r="E41">
            <v>52</v>
          </cell>
          <cell r="F41">
            <v>51</v>
          </cell>
          <cell r="G41">
            <v>52</v>
          </cell>
          <cell r="H41">
            <v>46</v>
          </cell>
          <cell r="I41">
            <v>50</v>
          </cell>
          <cell r="J41">
            <v>52</v>
          </cell>
          <cell r="K41">
            <v>52</v>
          </cell>
          <cell r="L41">
            <v>49</v>
          </cell>
          <cell r="M41">
            <v>48</v>
          </cell>
          <cell r="N41">
            <v>49</v>
          </cell>
          <cell r="O41">
            <v>43</v>
          </cell>
          <cell r="P41">
            <v>47</v>
          </cell>
          <cell r="Q41">
            <v>49</v>
          </cell>
          <cell r="R41">
            <v>49</v>
          </cell>
          <cell r="S41">
            <v>49</v>
          </cell>
          <cell r="T41">
            <v>48</v>
          </cell>
          <cell r="U41">
            <v>49</v>
          </cell>
          <cell r="V41">
            <v>46</v>
          </cell>
          <cell r="W41">
            <v>50</v>
          </cell>
          <cell r="X41">
            <v>52</v>
          </cell>
          <cell r="Y41">
            <v>52</v>
          </cell>
          <cell r="Z41">
            <v>52</v>
          </cell>
          <cell r="AA41">
            <v>51</v>
          </cell>
          <cell r="AB41">
            <v>52</v>
          </cell>
          <cell r="AC41">
            <v>46</v>
          </cell>
          <cell r="AD41">
            <v>50</v>
          </cell>
          <cell r="AE41">
            <v>52</v>
          </cell>
        </row>
        <row r="42">
          <cell r="B42">
            <v>52</v>
          </cell>
          <cell r="C42">
            <v>57</v>
          </cell>
          <cell r="D42">
            <v>54</v>
          </cell>
          <cell r="E42">
            <v>58</v>
          </cell>
          <cell r="F42">
            <v>58</v>
          </cell>
          <cell r="G42">
            <v>56</v>
          </cell>
          <cell r="H42">
            <v>55</v>
          </cell>
          <cell r="I42">
            <v>52</v>
          </cell>
          <cell r="J42">
            <v>57</v>
          </cell>
          <cell r="K42">
            <v>54</v>
          </cell>
          <cell r="L42">
            <v>54</v>
          </cell>
          <cell r="M42">
            <v>55</v>
          </cell>
          <cell r="N42">
            <v>53</v>
          </cell>
          <cell r="O42">
            <v>51</v>
          </cell>
          <cell r="P42">
            <v>49</v>
          </cell>
          <cell r="Q42">
            <v>54</v>
          </cell>
          <cell r="R42">
            <v>51</v>
          </cell>
          <cell r="S42">
            <v>54</v>
          </cell>
          <cell r="T42">
            <v>55</v>
          </cell>
          <cell r="U42">
            <v>53</v>
          </cell>
          <cell r="V42">
            <v>55</v>
          </cell>
          <cell r="W42">
            <v>52</v>
          </cell>
          <cell r="X42">
            <v>57</v>
          </cell>
          <cell r="Y42">
            <v>54</v>
          </cell>
          <cell r="Z42">
            <v>58</v>
          </cell>
          <cell r="AA42">
            <v>58</v>
          </cell>
          <cell r="AB42">
            <v>56</v>
          </cell>
          <cell r="AC42">
            <v>55</v>
          </cell>
          <cell r="AD42">
            <v>52</v>
          </cell>
          <cell r="AE42">
            <v>57</v>
          </cell>
        </row>
        <row r="43">
          <cell r="B43">
            <v>57</v>
          </cell>
          <cell r="C43">
            <v>62</v>
          </cell>
          <cell r="D43">
            <v>53</v>
          </cell>
          <cell r="E43">
            <v>61</v>
          </cell>
          <cell r="F43">
            <v>59</v>
          </cell>
          <cell r="G43">
            <v>61</v>
          </cell>
          <cell r="H43">
            <v>54</v>
          </cell>
          <cell r="I43">
            <v>57</v>
          </cell>
          <cell r="J43">
            <v>62</v>
          </cell>
          <cell r="K43">
            <v>53</v>
          </cell>
          <cell r="L43">
            <v>56</v>
          </cell>
          <cell r="M43">
            <v>57</v>
          </cell>
          <cell r="N43">
            <v>59</v>
          </cell>
          <cell r="O43">
            <v>52</v>
          </cell>
          <cell r="P43">
            <v>54</v>
          </cell>
          <cell r="Q43">
            <v>57</v>
          </cell>
          <cell r="R43">
            <v>53</v>
          </cell>
          <cell r="S43">
            <v>56</v>
          </cell>
          <cell r="T43">
            <v>57</v>
          </cell>
          <cell r="U43">
            <v>59</v>
          </cell>
          <cell r="V43">
            <v>54</v>
          </cell>
          <cell r="W43">
            <v>57</v>
          </cell>
          <cell r="X43">
            <v>62</v>
          </cell>
          <cell r="Y43">
            <v>53</v>
          </cell>
          <cell r="Z43">
            <v>61</v>
          </cell>
          <cell r="AA43">
            <v>59</v>
          </cell>
          <cell r="AB43">
            <v>61</v>
          </cell>
          <cell r="AC43">
            <v>54</v>
          </cell>
          <cell r="AD43">
            <v>57</v>
          </cell>
          <cell r="AE43">
            <v>62</v>
          </cell>
        </row>
        <row r="44">
          <cell r="B44">
            <v>59</v>
          </cell>
          <cell r="C44">
            <v>58</v>
          </cell>
          <cell r="D44">
            <v>57</v>
          </cell>
          <cell r="E44">
            <v>64</v>
          </cell>
          <cell r="F44">
            <v>62</v>
          </cell>
          <cell r="G44">
            <v>62</v>
          </cell>
          <cell r="H44">
            <v>57</v>
          </cell>
          <cell r="I44">
            <v>59</v>
          </cell>
          <cell r="J44">
            <v>58</v>
          </cell>
          <cell r="K44">
            <v>57</v>
          </cell>
          <cell r="L44">
            <v>60</v>
          </cell>
          <cell r="M44">
            <v>58</v>
          </cell>
          <cell r="N44">
            <v>58</v>
          </cell>
          <cell r="O44">
            <v>53</v>
          </cell>
          <cell r="P44">
            <v>55</v>
          </cell>
          <cell r="Q44">
            <v>55</v>
          </cell>
          <cell r="R44">
            <v>53</v>
          </cell>
          <cell r="S44">
            <v>60</v>
          </cell>
          <cell r="T44">
            <v>58</v>
          </cell>
          <cell r="U44">
            <v>58</v>
          </cell>
          <cell r="V44">
            <v>57</v>
          </cell>
          <cell r="W44">
            <v>59</v>
          </cell>
          <cell r="X44">
            <v>58</v>
          </cell>
          <cell r="Y44">
            <v>57</v>
          </cell>
          <cell r="Z44">
            <v>64</v>
          </cell>
          <cell r="AA44">
            <v>62</v>
          </cell>
          <cell r="AB44">
            <v>62</v>
          </cell>
          <cell r="AC44">
            <v>57</v>
          </cell>
          <cell r="AD44">
            <v>59</v>
          </cell>
          <cell r="AE44">
            <v>58</v>
          </cell>
        </row>
        <row r="45">
          <cell r="B45">
            <v>56</v>
          </cell>
          <cell r="C45">
            <v>57</v>
          </cell>
          <cell r="D45">
            <v>57</v>
          </cell>
          <cell r="E45">
            <v>63</v>
          </cell>
          <cell r="F45">
            <v>61</v>
          </cell>
          <cell r="G45">
            <v>63</v>
          </cell>
          <cell r="H45">
            <v>54</v>
          </cell>
          <cell r="I45">
            <v>56</v>
          </cell>
          <cell r="J45">
            <v>57</v>
          </cell>
          <cell r="K45">
            <v>57</v>
          </cell>
          <cell r="L45">
            <v>60</v>
          </cell>
          <cell r="M45">
            <v>57</v>
          </cell>
          <cell r="N45">
            <v>60</v>
          </cell>
          <cell r="O45">
            <v>51</v>
          </cell>
          <cell r="P45">
            <v>53</v>
          </cell>
          <cell r="Q45">
            <v>54</v>
          </cell>
          <cell r="R45">
            <v>53</v>
          </cell>
          <cell r="S45">
            <v>60</v>
          </cell>
          <cell r="T45">
            <v>57</v>
          </cell>
          <cell r="U45">
            <v>60</v>
          </cell>
          <cell r="V45">
            <v>54</v>
          </cell>
          <cell r="W45">
            <v>56</v>
          </cell>
          <cell r="X45">
            <v>57</v>
          </cell>
          <cell r="Y45">
            <v>57</v>
          </cell>
          <cell r="Z45">
            <v>63</v>
          </cell>
          <cell r="AA45">
            <v>61</v>
          </cell>
          <cell r="AB45">
            <v>63</v>
          </cell>
          <cell r="AC45">
            <v>54</v>
          </cell>
          <cell r="AD45">
            <v>56</v>
          </cell>
          <cell r="AE45">
            <v>57</v>
          </cell>
        </row>
        <row r="46">
          <cell r="B46">
            <v>53</v>
          </cell>
          <cell r="C46">
            <v>56</v>
          </cell>
          <cell r="D46">
            <v>53</v>
          </cell>
          <cell r="E46">
            <v>61</v>
          </cell>
          <cell r="F46">
            <v>59</v>
          </cell>
          <cell r="G46">
            <v>65</v>
          </cell>
          <cell r="H46">
            <v>52</v>
          </cell>
          <cell r="I46">
            <v>53</v>
          </cell>
          <cell r="J46">
            <v>56</v>
          </cell>
          <cell r="K46">
            <v>53</v>
          </cell>
          <cell r="L46">
            <v>58</v>
          </cell>
          <cell r="M46">
            <v>55</v>
          </cell>
          <cell r="N46">
            <v>61</v>
          </cell>
          <cell r="O46">
            <v>49</v>
          </cell>
          <cell r="P46">
            <v>50</v>
          </cell>
          <cell r="Q46">
            <v>53</v>
          </cell>
          <cell r="R46">
            <v>50</v>
          </cell>
          <cell r="S46">
            <v>58</v>
          </cell>
          <cell r="T46">
            <v>55</v>
          </cell>
          <cell r="U46">
            <v>61</v>
          </cell>
          <cell r="V46">
            <v>52</v>
          </cell>
          <cell r="W46">
            <v>53</v>
          </cell>
          <cell r="X46">
            <v>56</v>
          </cell>
          <cell r="Y46">
            <v>53</v>
          </cell>
          <cell r="Z46">
            <v>61</v>
          </cell>
          <cell r="AA46">
            <v>59</v>
          </cell>
          <cell r="AB46">
            <v>65</v>
          </cell>
          <cell r="AC46">
            <v>52</v>
          </cell>
          <cell r="AD46">
            <v>53</v>
          </cell>
          <cell r="AE46">
            <v>56</v>
          </cell>
        </row>
        <row r="47">
          <cell r="B47">
            <v>49</v>
          </cell>
          <cell r="C47">
            <v>54</v>
          </cell>
          <cell r="D47">
            <v>50</v>
          </cell>
          <cell r="E47">
            <v>57</v>
          </cell>
          <cell r="F47">
            <v>56</v>
          </cell>
          <cell r="G47">
            <v>61</v>
          </cell>
          <cell r="H47">
            <v>50</v>
          </cell>
          <cell r="I47">
            <v>49</v>
          </cell>
          <cell r="J47">
            <v>54</v>
          </cell>
          <cell r="K47">
            <v>50</v>
          </cell>
          <cell r="L47">
            <v>53</v>
          </cell>
          <cell r="M47">
            <v>53</v>
          </cell>
          <cell r="N47">
            <v>57</v>
          </cell>
          <cell r="O47">
            <v>47</v>
          </cell>
          <cell r="P47">
            <v>47</v>
          </cell>
          <cell r="Q47">
            <v>51</v>
          </cell>
          <cell r="R47">
            <v>47</v>
          </cell>
          <cell r="S47">
            <v>53</v>
          </cell>
          <cell r="T47">
            <v>53</v>
          </cell>
          <cell r="U47">
            <v>57</v>
          </cell>
          <cell r="V47">
            <v>50</v>
          </cell>
          <cell r="W47">
            <v>49</v>
          </cell>
          <cell r="X47">
            <v>54</v>
          </cell>
          <cell r="Y47">
            <v>50</v>
          </cell>
          <cell r="Z47">
            <v>57</v>
          </cell>
          <cell r="AA47">
            <v>56</v>
          </cell>
          <cell r="AB47">
            <v>61</v>
          </cell>
          <cell r="AC47">
            <v>50</v>
          </cell>
          <cell r="AD47">
            <v>49</v>
          </cell>
          <cell r="AE47">
            <v>54</v>
          </cell>
        </row>
        <row r="48">
          <cell r="B48">
            <v>46</v>
          </cell>
          <cell r="C48">
            <v>51</v>
          </cell>
          <cell r="D48">
            <v>47</v>
          </cell>
          <cell r="E48">
            <v>52</v>
          </cell>
          <cell r="F48">
            <v>53</v>
          </cell>
          <cell r="G48">
            <v>57</v>
          </cell>
          <cell r="H48">
            <v>48</v>
          </cell>
          <cell r="I48">
            <v>46</v>
          </cell>
          <cell r="J48">
            <v>51</v>
          </cell>
          <cell r="K48">
            <v>47</v>
          </cell>
          <cell r="L48">
            <v>49</v>
          </cell>
          <cell r="M48">
            <v>50</v>
          </cell>
          <cell r="N48">
            <v>54</v>
          </cell>
          <cell r="O48">
            <v>45</v>
          </cell>
          <cell r="P48">
            <v>43</v>
          </cell>
          <cell r="Q48">
            <v>48</v>
          </cell>
          <cell r="R48">
            <v>44</v>
          </cell>
          <cell r="S48">
            <v>49</v>
          </cell>
          <cell r="T48">
            <v>50</v>
          </cell>
          <cell r="U48">
            <v>54</v>
          </cell>
          <cell r="V48">
            <v>48</v>
          </cell>
          <cell r="W48">
            <v>46</v>
          </cell>
          <cell r="X48">
            <v>51</v>
          </cell>
          <cell r="Y48">
            <v>47</v>
          </cell>
          <cell r="Z48">
            <v>52</v>
          </cell>
          <cell r="AA48">
            <v>53</v>
          </cell>
          <cell r="AB48">
            <v>57</v>
          </cell>
          <cell r="AC48">
            <v>48</v>
          </cell>
          <cell r="AD48">
            <v>46</v>
          </cell>
          <cell r="AE48">
            <v>51</v>
          </cell>
        </row>
        <row r="49">
          <cell r="B49">
            <v>42</v>
          </cell>
          <cell r="C49">
            <v>47</v>
          </cell>
          <cell r="D49">
            <v>43</v>
          </cell>
          <cell r="E49">
            <v>47</v>
          </cell>
          <cell r="F49">
            <v>48</v>
          </cell>
          <cell r="G49">
            <v>54</v>
          </cell>
          <cell r="H49">
            <v>43</v>
          </cell>
          <cell r="I49">
            <v>42</v>
          </cell>
          <cell r="J49">
            <v>47</v>
          </cell>
          <cell r="K49">
            <v>43</v>
          </cell>
          <cell r="L49">
            <v>45</v>
          </cell>
          <cell r="M49">
            <v>45</v>
          </cell>
          <cell r="N49">
            <v>51</v>
          </cell>
          <cell r="O49">
            <v>40</v>
          </cell>
          <cell r="P49">
            <v>39</v>
          </cell>
          <cell r="Q49">
            <v>44</v>
          </cell>
          <cell r="R49">
            <v>40</v>
          </cell>
          <cell r="S49">
            <v>45</v>
          </cell>
          <cell r="T49">
            <v>45</v>
          </cell>
          <cell r="U49">
            <v>51</v>
          </cell>
          <cell r="V49">
            <v>43</v>
          </cell>
          <cell r="W49">
            <v>42</v>
          </cell>
          <cell r="X49">
            <v>47</v>
          </cell>
          <cell r="Y49">
            <v>43</v>
          </cell>
          <cell r="Z49">
            <v>47</v>
          </cell>
          <cell r="AA49">
            <v>48</v>
          </cell>
          <cell r="AB49">
            <v>54</v>
          </cell>
          <cell r="AC49">
            <v>43</v>
          </cell>
          <cell r="AD49">
            <v>42</v>
          </cell>
          <cell r="AE49">
            <v>47</v>
          </cell>
        </row>
        <row r="50">
          <cell r="B50">
            <v>37</v>
          </cell>
          <cell r="C50">
            <v>41</v>
          </cell>
          <cell r="D50">
            <v>38</v>
          </cell>
          <cell r="E50">
            <v>42</v>
          </cell>
          <cell r="F50">
            <v>42</v>
          </cell>
          <cell r="G50">
            <v>48</v>
          </cell>
          <cell r="H50">
            <v>38</v>
          </cell>
          <cell r="I50">
            <v>37</v>
          </cell>
          <cell r="J50">
            <v>41</v>
          </cell>
          <cell r="K50">
            <v>38</v>
          </cell>
          <cell r="L50">
            <v>39</v>
          </cell>
          <cell r="M50">
            <v>40</v>
          </cell>
          <cell r="N50">
            <v>45</v>
          </cell>
          <cell r="O50">
            <v>36</v>
          </cell>
          <cell r="P50">
            <v>35</v>
          </cell>
          <cell r="Q50">
            <v>39</v>
          </cell>
          <cell r="R50">
            <v>36</v>
          </cell>
          <cell r="S50">
            <v>39</v>
          </cell>
          <cell r="T50">
            <v>40</v>
          </cell>
          <cell r="U50">
            <v>45</v>
          </cell>
          <cell r="V50">
            <v>38</v>
          </cell>
          <cell r="W50">
            <v>37</v>
          </cell>
          <cell r="X50">
            <v>41</v>
          </cell>
          <cell r="Y50">
            <v>38</v>
          </cell>
          <cell r="Z50">
            <v>42</v>
          </cell>
          <cell r="AA50">
            <v>42</v>
          </cell>
          <cell r="AB50">
            <v>48</v>
          </cell>
          <cell r="AC50">
            <v>38</v>
          </cell>
          <cell r="AD50">
            <v>37</v>
          </cell>
          <cell r="AE50">
            <v>41</v>
          </cell>
        </row>
        <row r="51">
          <cell r="B51">
            <v>33</v>
          </cell>
          <cell r="C51">
            <v>35</v>
          </cell>
          <cell r="D51">
            <v>33</v>
          </cell>
          <cell r="E51">
            <v>35</v>
          </cell>
          <cell r="F51">
            <v>38</v>
          </cell>
          <cell r="G51">
            <v>41</v>
          </cell>
          <cell r="H51">
            <v>32</v>
          </cell>
          <cell r="I51">
            <v>33</v>
          </cell>
          <cell r="J51">
            <v>35</v>
          </cell>
          <cell r="K51">
            <v>33</v>
          </cell>
          <cell r="L51">
            <v>33</v>
          </cell>
          <cell r="M51">
            <v>36</v>
          </cell>
          <cell r="N51">
            <v>39</v>
          </cell>
          <cell r="O51">
            <v>30</v>
          </cell>
          <cell r="P51">
            <v>31</v>
          </cell>
          <cell r="Q51">
            <v>33</v>
          </cell>
          <cell r="R51">
            <v>31</v>
          </cell>
          <cell r="S51">
            <v>33</v>
          </cell>
          <cell r="T51">
            <v>36</v>
          </cell>
          <cell r="U51">
            <v>39</v>
          </cell>
          <cell r="V51">
            <v>32</v>
          </cell>
          <cell r="W51">
            <v>33</v>
          </cell>
          <cell r="X51">
            <v>35</v>
          </cell>
          <cell r="Y51">
            <v>33</v>
          </cell>
          <cell r="Z51">
            <v>35</v>
          </cell>
          <cell r="AA51">
            <v>38</v>
          </cell>
          <cell r="AB51">
            <v>41</v>
          </cell>
          <cell r="AC51">
            <v>32</v>
          </cell>
          <cell r="AD51">
            <v>33</v>
          </cell>
          <cell r="AE51">
            <v>35</v>
          </cell>
        </row>
      </sheetData>
      <sheetData sheetId="6">
        <row r="2">
          <cell r="B2">
            <v>45962</v>
          </cell>
          <cell r="C2">
            <v>45963</v>
          </cell>
          <cell r="D2">
            <v>45964</v>
          </cell>
          <cell r="E2">
            <v>45965</v>
          </cell>
          <cell r="F2">
            <v>45966</v>
          </cell>
          <cell r="G2">
            <v>45967</v>
          </cell>
          <cell r="H2">
            <v>45968</v>
          </cell>
          <cell r="I2">
            <v>45969</v>
          </cell>
          <cell r="J2">
            <v>45970</v>
          </cell>
          <cell r="K2">
            <v>45971</v>
          </cell>
          <cell r="L2">
            <v>45972</v>
          </cell>
          <cell r="M2">
            <v>45973</v>
          </cell>
          <cell r="N2">
            <v>45974</v>
          </cell>
          <cell r="O2">
            <v>45975</v>
          </cell>
          <cell r="P2">
            <v>45976</v>
          </cell>
          <cell r="Q2">
            <v>45977</v>
          </cell>
          <cell r="R2">
            <v>45978</v>
          </cell>
          <cell r="S2">
            <v>45979</v>
          </cell>
          <cell r="T2">
            <v>45980</v>
          </cell>
          <cell r="U2">
            <v>45981</v>
          </cell>
          <cell r="V2">
            <v>45982</v>
          </cell>
          <cell r="W2">
            <v>45983</v>
          </cell>
          <cell r="X2">
            <v>45984</v>
          </cell>
          <cell r="Y2">
            <v>45985</v>
          </cell>
          <cell r="Z2">
            <v>45986</v>
          </cell>
          <cell r="AA2">
            <v>45987</v>
          </cell>
          <cell r="AB2">
            <v>45988</v>
          </cell>
          <cell r="AC2">
            <v>45989</v>
          </cell>
          <cell r="AD2">
            <v>45990</v>
          </cell>
          <cell r="AE2">
            <v>45991</v>
          </cell>
        </row>
        <row r="3">
          <cell r="B3">
            <v>2280</v>
          </cell>
          <cell r="C3">
            <v>2280</v>
          </cell>
          <cell r="D3">
            <v>2214</v>
          </cell>
          <cell r="E3">
            <v>2271</v>
          </cell>
          <cell r="F3">
            <v>2178</v>
          </cell>
          <cell r="G3">
            <v>2410</v>
          </cell>
          <cell r="H3">
            <v>2398</v>
          </cell>
          <cell r="I3">
            <v>2018</v>
          </cell>
          <cell r="J3">
            <v>2016</v>
          </cell>
          <cell r="K3">
            <v>2131</v>
          </cell>
          <cell r="L3">
            <v>2182</v>
          </cell>
          <cell r="M3">
            <v>1927</v>
          </cell>
          <cell r="N3">
            <v>1959</v>
          </cell>
          <cell r="O3">
            <v>1949</v>
          </cell>
          <cell r="P3">
            <v>2194</v>
          </cell>
          <cell r="Q3">
            <v>2191</v>
          </cell>
          <cell r="R3">
            <v>2129</v>
          </cell>
          <cell r="S3">
            <v>2184</v>
          </cell>
          <cell r="T3">
            <v>2207</v>
          </cell>
          <cell r="U3">
            <v>2242</v>
          </cell>
          <cell r="V3">
            <v>2118</v>
          </cell>
          <cell r="W3">
            <v>2282</v>
          </cell>
          <cell r="X3">
            <v>2280</v>
          </cell>
          <cell r="Y3">
            <v>2371</v>
          </cell>
          <cell r="Z3">
            <v>2427</v>
          </cell>
          <cell r="AA3">
            <v>2178</v>
          </cell>
          <cell r="AB3">
            <v>2215</v>
          </cell>
          <cell r="AC3">
            <v>2203</v>
          </cell>
          <cell r="AD3">
            <v>2282</v>
          </cell>
          <cell r="AE3">
            <v>2284</v>
          </cell>
        </row>
        <row r="4">
          <cell r="B4">
            <v>40</v>
          </cell>
          <cell r="C4">
            <v>34</v>
          </cell>
          <cell r="D4">
            <v>35</v>
          </cell>
          <cell r="E4">
            <v>36</v>
          </cell>
          <cell r="F4">
            <v>34</v>
          </cell>
          <cell r="G4">
            <v>48</v>
          </cell>
          <cell r="H4">
            <v>65</v>
          </cell>
          <cell r="I4">
            <v>36</v>
          </cell>
          <cell r="J4">
            <v>30</v>
          </cell>
          <cell r="K4">
            <v>35</v>
          </cell>
          <cell r="L4">
            <v>51</v>
          </cell>
          <cell r="M4">
            <v>30</v>
          </cell>
          <cell r="N4">
            <v>36</v>
          </cell>
          <cell r="O4">
            <v>54</v>
          </cell>
          <cell r="P4">
            <v>39</v>
          </cell>
          <cell r="Q4">
            <v>33</v>
          </cell>
          <cell r="R4">
            <v>34</v>
          </cell>
          <cell r="S4">
            <v>34</v>
          </cell>
          <cell r="T4">
            <v>34</v>
          </cell>
          <cell r="U4">
            <v>50</v>
          </cell>
          <cell r="V4">
            <v>59</v>
          </cell>
          <cell r="W4">
            <v>40</v>
          </cell>
          <cell r="X4">
            <v>34</v>
          </cell>
          <cell r="Y4">
            <v>40</v>
          </cell>
          <cell r="Z4">
            <v>46</v>
          </cell>
          <cell r="AA4">
            <v>34</v>
          </cell>
          <cell r="AB4">
            <v>41</v>
          </cell>
          <cell r="AC4">
            <v>61</v>
          </cell>
          <cell r="AD4">
            <v>40</v>
          </cell>
          <cell r="AE4">
            <v>34</v>
          </cell>
        </row>
        <row r="5">
          <cell r="B5">
            <v>31</v>
          </cell>
          <cell r="C5">
            <v>34</v>
          </cell>
          <cell r="D5">
            <v>29</v>
          </cell>
          <cell r="E5">
            <v>33</v>
          </cell>
          <cell r="F5">
            <v>28</v>
          </cell>
          <cell r="G5">
            <v>42</v>
          </cell>
          <cell r="H5">
            <v>52</v>
          </cell>
          <cell r="I5">
            <v>27</v>
          </cell>
          <cell r="J5">
            <v>30</v>
          </cell>
          <cell r="K5">
            <v>34</v>
          </cell>
          <cell r="L5">
            <v>39</v>
          </cell>
          <cell r="M5">
            <v>25</v>
          </cell>
          <cell r="N5">
            <v>31</v>
          </cell>
          <cell r="O5">
            <v>48</v>
          </cell>
          <cell r="P5">
            <v>29</v>
          </cell>
          <cell r="Q5">
            <v>33</v>
          </cell>
          <cell r="R5">
            <v>28</v>
          </cell>
          <cell r="S5">
            <v>31</v>
          </cell>
          <cell r="T5">
            <v>34</v>
          </cell>
          <cell r="U5">
            <v>48</v>
          </cell>
          <cell r="V5">
            <v>53</v>
          </cell>
          <cell r="W5">
            <v>31</v>
          </cell>
          <cell r="X5">
            <v>34</v>
          </cell>
          <cell r="Y5">
            <v>31</v>
          </cell>
          <cell r="Z5">
            <v>34</v>
          </cell>
          <cell r="AA5">
            <v>28</v>
          </cell>
          <cell r="AB5">
            <v>35</v>
          </cell>
          <cell r="AC5">
            <v>55</v>
          </cell>
          <cell r="AD5">
            <v>31</v>
          </cell>
          <cell r="AE5">
            <v>35</v>
          </cell>
        </row>
        <row r="6">
          <cell r="B6">
            <v>28</v>
          </cell>
          <cell r="C6">
            <v>20</v>
          </cell>
          <cell r="D6">
            <v>22</v>
          </cell>
          <cell r="E6">
            <v>19</v>
          </cell>
          <cell r="F6">
            <v>21</v>
          </cell>
          <cell r="G6">
            <v>27</v>
          </cell>
          <cell r="H6">
            <v>46</v>
          </cell>
          <cell r="I6">
            <v>25</v>
          </cell>
          <cell r="J6">
            <v>17</v>
          </cell>
          <cell r="K6">
            <v>28</v>
          </cell>
          <cell r="L6">
            <v>28</v>
          </cell>
          <cell r="M6">
            <v>19</v>
          </cell>
          <cell r="N6">
            <v>21</v>
          </cell>
          <cell r="O6">
            <v>26</v>
          </cell>
          <cell r="P6">
            <v>27</v>
          </cell>
          <cell r="Q6">
            <v>19</v>
          </cell>
          <cell r="R6">
            <v>21</v>
          </cell>
          <cell r="S6">
            <v>19</v>
          </cell>
          <cell r="T6">
            <v>22</v>
          </cell>
          <cell r="U6">
            <v>28</v>
          </cell>
          <cell r="V6">
            <v>28</v>
          </cell>
          <cell r="W6">
            <v>28</v>
          </cell>
          <cell r="X6">
            <v>20</v>
          </cell>
          <cell r="Y6">
            <v>20</v>
          </cell>
          <cell r="Z6">
            <v>15</v>
          </cell>
          <cell r="AA6">
            <v>21</v>
          </cell>
          <cell r="AB6">
            <v>24</v>
          </cell>
          <cell r="AC6">
            <v>30</v>
          </cell>
          <cell r="AD6">
            <v>28</v>
          </cell>
          <cell r="AE6">
            <v>20</v>
          </cell>
        </row>
        <row r="7">
          <cell r="B7">
            <v>16</v>
          </cell>
          <cell r="C7">
            <v>18</v>
          </cell>
          <cell r="D7">
            <v>15</v>
          </cell>
          <cell r="E7">
            <v>16</v>
          </cell>
          <cell r="F7">
            <v>13</v>
          </cell>
          <cell r="G7">
            <v>22</v>
          </cell>
          <cell r="H7">
            <v>31</v>
          </cell>
          <cell r="I7">
            <v>15</v>
          </cell>
          <cell r="J7">
            <v>16</v>
          </cell>
          <cell r="K7">
            <v>17</v>
          </cell>
          <cell r="L7">
            <v>14</v>
          </cell>
          <cell r="M7">
            <v>11</v>
          </cell>
          <cell r="N7">
            <v>17</v>
          </cell>
          <cell r="O7">
            <v>17</v>
          </cell>
          <cell r="P7">
            <v>16</v>
          </cell>
          <cell r="Q7">
            <v>17</v>
          </cell>
          <cell r="R7">
            <v>14</v>
          </cell>
          <cell r="S7">
            <v>15</v>
          </cell>
          <cell r="T7">
            <v>19</v>
          </cell>
          <cell r="U7">
            <v>21</v>
          </cell>
          <cell r="V7">
            <v>19</v>
          </cell>
          <cell r="W7">
            <v>16</v>
          </cell>
          <cell r="X7">
            <v>18</v>
          </cell>
          <cell r="Y7">
            <v>12</v>
          </cell>
          <cell r="Z7">
            <v>1</v>
          </cell>
          <cell r="AA7">
            <v>13</v>
          </cell>
          <cell r="AB7">
            <v>20</v>
          </cell>
          <cell r="AC7">
            <v>20</v>
          </cell>
          <cell r="AD7">
            <v>16</v>
          </cell>
          <cell r="AE7">
            <v>18</v>
          </cell>
        </row>
        <row r="8">
          <cell r="B8">
            <v>13</v>
          </cell>
          <cell r="C8">
            <v>12</v>
          </cell>
          <cell r="D8">
            <v>12</v>
          </cell>
          <cell r="E8">
            <v>13</v>
          </cell>
          <cell r="F8">
            <v>12</v>
          </cell>
          <cell r="G8">
            <v>16</v>
          </cell>
          <cell r="H8">
            <v>21</v>
          </cell>
          <cell r="I8">
            <v>11</v>
          </cell>
          <cell r="J8">
            <v>11</v>
          </cell>
          <cell r="K8">
            <v>12</v>
          </cell>
          <cell r="L8">
            <v>15</v>
          </cell>
          <cell r="M8">
            <v>10</v>
          </cell>
          <cell r="N8">
            <v>11</v>
          </cell>
          <cell r="O8">
            <v>16</v>
          </cell>
          <cell r="P8">
            <v>12</v>
          </cell>
          <cell r="Q8">
            <v>12</v>
          </cell>
          <cell r="R8">
            <v>11</v>
          </cell>
          <cell r="S8">
            <v>12</v>
          </cell>
          <cell r="T8">
            <v>8</v>
          </cell>
          <cell r="U8">
            <v>13</v>
          </cell>
          <cell r="V8">
            <v>17</v>
          </cell>
          <cell r="W8">
            <v>13</v>
          </cell>
          <cell r="X8">
            <v>12</v>
          </cell>
          <cell r="Y8">
            <v>12</v>
          </cell>
          <cell r="Z8">
            <v>3</v>
          </cell>
          <cell r="AA8">
            <v>12</v>
          </cell>
          <cell r="AB8">
            <v>13</v>
          </cell>
          <cell r="AC8">
            <v>18</v>
          </cell>
          <cell r="AD8">
            <v>13</v>
          </cell>
          <cell r="AE8">
            <v>12</v>
          </cell>
        </row>
        <row r="9">
          <cell r="B9">
            <v>8</v>
          </cell>
          <cell r="C9">
            <v>12</v>
          </cell>
          <cell r="D9">
            <v>9</v>
          </cell>
          <cell r="E9">
            <v>11</v>
          </cell>
          <cell r="F9">
            <v>10</v>
          </cell>
          <cell r="G9">
            <v>12</v>
          </cell>
          <cell r="H9">
            <v>15</v>
          </cell>
          <cell r="I9">
            <v>7</v>
          </cell>
          <cell r="J9">
            <v>10</v>
          </cell>
          <cell r="K9">
            <v>9</v>
          </cell>
          <cell r="L9">
            <v>7</v>
          </cell>
          <cell r="M9">
            <v>9</v>
          </cell>
          <cell r="N9">
            <v>11</v>
          </cell>
          <cell r="O9">
            <v>12</v>
          </cell>
          <cell r="P9">
            <v>8</v>
          </cell>
          <cell r="Q9">
            <v>11</v>
          </cell>
          <cell r="R9">
            <v>8</v>
          </cell>
          <cell r="S9">
            <v>11</v>
          </cell>
          <cell r="T9">
            <v>15</v>
          </cell>
          <cell r="U9">
            <v>12</v>
          </cell>
          <cell r="V9">
            <v>13</v>
          </cell>
          <cell r="W9">
            <v>8</v>
          </cell>
          <cell r="X9">
            <v>12</v>
          </cell>
          <cell r="Y9">
            <v>11</v>
          </cell>
          <cell r="Z9">
            <v>13</v>
          </cell>
          <cell r="AA9">
            <v>10</v>
          </cell>
          <cell r="AB9">
            <v>12</v>
          </cell>
          <cell r="AC9">
            <v>14</v>
          </cell>
          <cell r="AD9">
            <v>8</v>
          </cell>
          <cell r="AE9">
            <v>12</v>
          </cell>
        </row>
        <row r="10">
          <cell r="B10">
            <v>8</v>
          </cell>
          <cell r="C10">
            <v>7</v>
          </cell>
          <cell r="D10">
            <v>9</v>
          </cell>
          <cell r="E10">
            <v>5</v>
          </cell>
          <cell r="F10">
            <v>7</v>
          </cell>
          <cell r="G10">
            <v>6</v>
          </cell>
          <cell r="H10">
            <v>15</v>
          </cell>
          <cell r="I10">
            <v>7</v>
          </cell>
          <cell r="J10">
            <v>6</v>
          </cell>
          <cell r="K10">
            <v>9</v>
          </cell>
          <cell r="L10">
            <v>8</v>
          </cell>
          <cell r="M10">
            <v>6</v>
          </cell>
          <cell r="N10">
            <v>7</v>
          </cell>
          <cell r="O10">
            <v>8</v>
          </cell>
          <cell r="P10">
            <v>8</v>
          </cell>
          <cell r="Q10">
            <v>7</v>
          </cell>
          <cell r="R10">
            <v>9</v>
          </cell>
          <cell r="S10">
            <v>5</v>
          </cell>
          <cell r="T10">
            <v>10</v>
          </cell>
          <cell r="U10">
            <v>7</v>
          </cell>
          <cell r="V10">
            <v>8</v>
          </cell>
          <cell r="W10">
            <v>8</v>
          </cell>
          <cell r="X10">
            <v>7</v>
          </cell>
          <cell r="Y10">
            <v>7</v>
          </cell>
          <cell r="Z10">
            <v>12</v>
          </cell>
          <cell r="AA10">
            <v>7</v>
          </cell>
          <cell r="AB10">
            <v>8</v>
          </cell>
          <cell r="AC10">
            <v>9</v>
          </cell>
          <cell r="AD10">
            <v>8</v>
          </cell>
          <cell r="AE10">
            <v>7</v>
          </cell>
        </row>
        <row r="11">
          <cell r="B11">
            <v>7</v>
          </cell>
          <cell r="C11">
            <v>4</v>
          </cell>
          <cell r="D11">
            <v>6</v>
          </cell>
          <cell r="E11">
            <v>5</v>
          </cell>
          <cell r="F11">
            <v>5</v>
          </cell>
          <cell r="G11">
            <v>5</v>
          </cell>
          <cell r="H11">
            <v>8</v>
          </cell>
          <cell r="I11">
            <v>7</v>
          </cell>
          <cell r="J11">
            <v>3</v>
          </cell>
          <cell r="K11">
            <v>6</v>
          </cell>
          <cell r="L11">
            <v>5</v>
          </cell>
          <cell r="M11">
            <v>5</v>
          </cell>
          <cell r="N11">
            <v>3</v>
          </cell>
          <cell r="O11">
            <v>8</v>
          </cell>
          <cell r="P11">
            <v>7</v>
          </cell>
          <cell r="Q11">
            <v>3</v>
          </cell>
          <cell r="R11">
            <v>5</v>
          </cell>
          <cell r="S11">
            <v>5</v>
          </cell>
          <cell r="T11">
            <v>6</v>
          </cell>
          <cell r="U11">
            <v>7</v>
          </cell>
          <cell r="V11">
            <v>8</v>
          </cell>
          <cell r="W11">
            <v>7</v>
          </cell>
          <cell r="X11">
            <v>4</v>
          </cell>
          <cell r="Y11">
            <v>4</v>
          </cell>
          <cell r="Z11">
            <v>9</v>
          </cell>
          <cell r="AA11">
            <v>5</v>
          </cell>
          <cell r="AB11">
            <v>3</v>
          </cell>
          <cell r="AC11">
            <v>9</v>
          </cell>
          <cell r="AD11">
            <v>7</v>
          </cell>
          <cell r="AE11">
            <v>4</v>
          </cell>
        </row>
        <row r="12">
          <cell r="B12">
            <v>5</v>
          </cell>
          <cell r="C12">
            <v>4</v>
          </cell>
          <cell r="D12">
            <v>4</v>
          </cell>
          <cell r="E12">
            <v>6</v>
          </cell>
          <cell r="F12">
            <v>3</v>
          </cell>
          <cell r="G12">
            <v>5</v>
          </cell>
          <cell r="H12">
            <v>8</v>
          </cell>
          <cell r="I12">
            <v>4</v>
          </cell>
          <cell r="J12">
            <v>3</v>
          </cell>
          <cell r="K12">
            <v>2</v>
          </cell>
          <cell r="L12">
            <v>6</v>
          </cell>
          <cell r="M12">
            <v>3</v>
          </cell>
          <cell r="N12">
            <v>6</v>
          </cell>
          <cell r="O12">
            <v>5</v>
          </cell>
          <cell r="P12">
            <v>4</v>
          </cell>
          <cell r="Q12">
            <v>4</v>
          </cell>
          <cell r="R12">
            <v>4</v>
          </cell>
          <cell r="S12">
            <v>6</v>
          </cell>
          <cell r="T12">
            <v>4</v>
          </cell>
          <cell r="U12">
            <v>3</v>
          </cell>
          <cell r="V12">
            <v>5</v>
          </cell>
          <cell r="W12">
            <v>5</v>
          </cell>
          <cell r="X12">
            <v>4</v>
          </cell>
          <cell r="Y12">
            <v>7</v>
          </cell>
          <cell r="Z12">
            <v>5</v>
          </cell>
          <cell r="AA12">
            <v>3</v>
          </cell>
          <cell r="AB12">
            <v>7</v>
          </cell>
          <cell r="AC12">
            <v>6</v>
          </cell>
          <cell r="AD12">
            <v>5</v>
          </cell>
          <cell r="AE12">
            <v>4</v>
          </cell>
        </row>
        <row r="13">
          <cell r="B13">
            <v>4</v>
          </cell>
          <cell r="C13">
            <v>2</v>
          </cell>
          <cell r="D13">
            <v>3</v>
          </cell>
          <cell r="E13">
            <v>4</v>
          </cell>
          <cell r="F13">
            <v>3</v>
          </cell>
          <cell r="G13">
            <v>5</v>
          </cell>
          <cell r="H13">
            <v>5</v>
          </cell>
          <cell r="I13">
            <v>4</v>
          </cell>
          <cell r="J13">
            <v>2</v>
          </cell>
          <cell r="K13">
            <v>2</v>
          </cell>
          <cell r="L13">
            <v>2</v>
          </cell>
          <cell r="M13">
            <v>3</v>
          </cell>
          <cell r="N13">
            <v>6</v>
          </cell>
          <cell r="O13">
            <v>5</v>
          </cell>
          <cell r="P13">
            <v>4</v>
          </cell>
          <cell r="Q13">
            <v>2</v>
          </cell>
          <cell r="R13">
            <v>3</v>
          </cell>
          <cell r="S13">
            <v>4</v>
          </cell>
          <cell r="T13">
            <v>5</v>
          </cell>
          <cell r="U13">
            <v>4</v>
          </cell>
          <cell r="V13">
            <v>6</v>
          </cell>
          <cell r="W13">
            <v>4</v>
          </cell>
          <cell r="X13">
            <v>2</v>
          </cell>
          <cell r="Y13">
            <v>4</v>
          </cell>
          <cell r="Z13">
            <v>2</v>
          </cell>
          <cell r="AA13">
            <v>3</v>
          </cell>
          <cell r="AB13">
            <v>6</v>
          </cell>
          <cell r="AC13">
            <v>6</v>
          </cell>
          <cell r="AD13">
            <v>4</v>
          </cell>
          <cell r="AE13">
            <v>2</v>
          </cell>
        </row>
        <row r="14">
          <cell r="B14">
            <v>5</v>
          </cell>
          <cell r="C14">
            <v>3</v>
          </cell>
          <cell r="D14">
            <v>3</v>
          </cell>
          <cell r="E14">
            <v>4</v>
          </cell>
          <cell r="F14">
            <v>5</v>
          </cell>
          <cell r="G14">
            <v>3</v>
          </cell>
          <cell r="H14">
            <v>2</v>
          </cell>
          <cell r="I14">
            <v>4</v>
          </cell>
          <cell r="J14">
            <v>2</v>
          </cell>
          <cell r="K14">
            <v>5</v>
          </cell>
          <cell r="L14">
            <v>3</v>
          </cell>
          <cell r="M14">
            <v>4</v>
          </cell>
          <cell r="N14">
            <v>6</v>
          </cell>
          <cell r="O14">
            <v>3</v>
          </cell>
          <cell r="P14">
            <v>5</v>
          </cell>
          <cell r="Q14">
            <v>3</v>
          </cell>
          <cell r="R14">
            <v>3</v>
          </cell>
          <cell r="S14">
            <v>4</v>
          </cell>
          <cell r="T14">
            <v>5</v>
          </cell>
          <cell r="U14">
            <v>5</v>
          </cell>
          <cell r="V14">
            <v>4</v>
          </cell>
          <cell r="W14">
            <v>5</v>
          </cell>
          <cell r="X14">
            <v>3</v>
          </cell>
          <cell r="Y14">
            <v>1</v>
          </cell>
          <cell r="Z14">
            <v>5</v>
          </cell>
          <cell r="AA14">
            <v>5</v>
          </cell>
          <cell r="AB14">
            <v>6</v>
          </cell>
          <cell r="AC14">
            <v>4</v>
          </cell>
          <cell r="AD14">
            <v>5</v>
          </cell>
          <cell r="AE14">
            <v>3</v>
          </cell>
        </row>
        <row r="15">
          <cell r="B15">
            <v>6</v>
          </cell>
          <cell r="C15">
            <v>8</v>
          </cell>
          <cell r="D15">
            <v>5</v>
          </cell>
          <cell r="E15">
            <v>8</v>
          </cell>
          <cell r="F15">
            <v>6</v>
          </cell>
          <cell r="G15">
            <v>7</v>
          </cell>
          <cell r="H15">
            <v>5</v>
          </cell>
          <cell r="I15">
            <v>5</v>
          </cell>
          <cell r="J15">
            <v>7</v>
          </cell>
          <cell r="K15">
            <v>6</v>
          </cell>
          <cell r="L15">
            <v>6</v>
          </cell>
          <cell r="M15">
            <v>6</v>
          </cell>
          <cell r="N15">
            <v>5</v>
          </cell>
          <cell r="O15">
            <v>4</v>
          </cell>
          <cell r="P15">
            <v>6</v>
          </cell>
          <cell r="Q15">
            <v>8</v>
          </cell>
          <cell r="R15">
            <v>5</v>
          </cell>
          <cell r="S15">
            <v>7</v>
          </cell>
          <cell r="T15">
            <v>8</v>
          </cell>
          <cell r="U15">
            <v>5</v>
          </cell>
          <cell r="V15">
            <v>5</v>
          </cell>
          <cell r="W15">
            <v>6</v>
          </cell>
          <cell r="X15">
            <v>8</v>
          </cell>
          <cell r="Y15">
            <v>5</v>
          </cell>
          <cell r="Z15">
            <v>6</v>
          </cell>
          <cell r="AA15">
            <v>6</v>
          </cell>
          <cell r="AB15">
            <v>6</v>
          </cell>
          <cell r="AC15">
            <v>5</v>
          </cell>
          <cell r="AD15">
            <v>6</v>
          </cell>
          <cell r="AE15">
            <v>8</v>
          </cell>
        </row>
        <row r="16">
          <cell r="B16">
            <v>6</v>
          </cell>
          <cell r="C16">
            <v>5</v>
          </cell>
          <cell r="D16">
            <v>8</v>
          </cell>
          <cell r="E16">
            <v>7</v>
          </cell>
          <cell r="F16">
            <v>5</v>
          </cell>
          <cell r="G16">
            <v>7</v>
          </cell>
          <cell r="H16">
            <v>9</v>
          </cell>
          <cell r="I16">
            <v>5</v>
          </cell>
          <cell r="J16">
            <v>4</v>
          </cell>
          <cell r="K16">
            <v>8</v>
          </cell>
          <cell r="L16">
            <v>7</v>
          </cell>
          <cell r="M16">
            <v>5</v>
          </cell>
          <cell r="N16">
            <v>4</v>
          </cell>
          <cell r="O16">
            <v>5</v>
          </cell>
          <cell r="P16">
            <v>6</v>
          </cell>
          <cell r="Q16">
            <v>5</v>
          </cell>
          <cell r="R16">
            <v>7</v>
          </cell>
          <cell r="S16">
            <v>6</v>
          </cell>
          <cell r="T16">
            <v>8</v>
          </cell>
          <cell r="U16">
            <v>12</v>
          </cell>
          <cell r="V16">
            <v>5</v>
          </cell>
          <cell r="W16">
            <v>6</v>
          </cell>
          <cell r="X16">
            <v>5</v>
          </cell>
          <cell r="Y16">
            <v>9</v>
          </cell>
          <cell r="Z16">
            <v>6</v>
          </cell>
          <cell r="AA16">
            <v>5</v>
          </cell>
          <cell r="AB16">
            <v>5</v>
          </cell>
          <cell r="AC16">
            <v>6</v>
          </cell>
          <cell r="AD16">
            <v>6</v>
          </cell>
          <cell r="AE16">
            <v>5</v>
          </cell>
        </row>
        <row r="17">
          <cell r="B17">
            <v>7</v>
          </cell>
          <cell r="C17">
            <v>11</v>
          </cell>
          <cell r="D17">
            <v>9</v>
          </cell>
          <cell r="E17">
            <v>10</v>
          </cell>
          <cell r="F17">
            <v>9</v>
          </cell>
          <cell r="G17">
            <v>6</v>
          </cell>
          <cell r="H17">
            <v>7</v>
          </cell>
          <cell r="I17">
            <v>6</v>
          </cell>
          <cell r="J17">
            <v>9</v>
          </cell>
          <cell r="K17">
            <v>9</v>
          </cell>
          <cell r="L17">
            <v>14</v>
          </cell>
          <cell r="M17">
            <v>8</v>
          </cell>
          <cell r="N17">
            <v>10</v>
          </cell>
          <cell r="O17">
            <v>7</v>
          </cell>
          <cell r="P17">
            <v>6</v>
          </cell>
          <cell r="Q17">
            <v>10</v>
          </cell>
          <cell r="R17">
            <v>9</v>
          </cell>
          <cell r="S17">
            <v>10</v>
          </cell>
          <cell r="T17">
            <v>11</v>
          </cell>
          <cell r="U17">
            <v>5</v>
          </cell>
          <cell r="V17">
            <v>7</v>
          </cell>
          <cell r="W17">
            <v>7</v>
          </cell>
          <cell r="X17">
            <v>11</v>
          </cell>
          <cell r="Y17">
            <v>9</v>
          </cell>
          <cell r="Z17">
            <v>7</v>
          </cell>
          <cell r="AA17">
            <v>9</v>
          </cell>
          <cell r="AB17">
            <v>11</v>
          </cell>
          <cell r="AC17">
            <v>7</v>
          </cell>
          <cell r="AD17">
            <v>7</v>
          </cell>
          <cell r="AE17">
            <v>11</v>
          </cell>
        </row>
        <row r="18">
          <cell r="B18">
            <v>13</v>
          </cell>
          <cell r="C18">
            <v>15</v>
          </cell>
          <cell r="D18">
            <v>12</v>
          </cell>
          <cell r="E18">
            <v>14</v>
          </cell>
          <cell r="F18">
            <v>13</v>
          </cell>
          <cell r="G18">
            <v>12</v>
          </cell>
          <cell r="H18">
            <v>14</v>
          </cell>
          <cell r="I18">
            <v>12</v>
          </cell>
          <cell r="J18">
            <v>13</v>
          </cell>
          <cell r="K18">
            <v>12</v>
          </cell>
          <cell r="L18">
            <v>13</v>
          </cell>
          <cell r="M18">
            <v>11</v>
          </cell>
          <cell r="N18">
            <v>11</v>
          </cell>
          <cell r="O18">
            <v>7</v>
          </cell>
          <cell r="P18">
            <v>13</v>
          </cell>
          <cell r="Q18">
            <v>15</v>
          </cell>
          <cell r="R18">
            <v>12</v>
          </cell>
          <cell r="S18">
            <v>13</v>
          </cell>
          <cell r="T18">
            <v>10</v>
          </cell>
          <cell r="U18">
            <v>15</v>
          </cell>
          <cell r="V18">
            <v>8</v>
          </cell>
          <cell r="W18">
            <v>13</v>
          </cell>
          <cell r="X18">
            <v>15</v>
          </cell>
          <cell r="Y18">
            <v>17</v>
          </cell>
          <cell r="Z18">
            <v>12</v>
          </cell>
          <cell r="AA18">
            <v>13</v>
          </cell>
          <cell r="AB18">
            <v>12</v>
          </cell>
          <cell r="AC18">
            <v>8</v>
          </cell>
          <cell r="AD18">
            <v>13</v>
          </cell>
          <cell r="AE18">
            <v>15</v>
          </cell>
        </row>
        <row r="19">
          <cell r="B19">
            <v>16</v>
          </cell>
          <cell r="C19">
            <v>20</v>
          </cell>
          <cell r="D19">
            <v>22</v>
          </cell>
          <cell r="E19">
            <v>21</v>
          </cell>
          <cell r="F19">
            <v>18</v>
          </cell>
          <cell r="G19">
            <v>18</v>
          </cell>
          <cell r="H19">
            <v>10</v>
          </cell>
          <cell r="I19">
            <v>15</v>
          </cell>
          <cell r="J19">
            <v>17</v>
          </cell>
          <cell r="K19">
            <v>15</v>
          </cell>
          <cell r="L19">
            <v>14</v>
          </cell>
          <cell r="M19">
            <v>16</v>
          </cell>
          <cell r="N19">
            <v>17</v>
          </cell>
          <cell r="O19">
            <v>9</v>
          </cell>
          <cell r="P19">
            <v>16</v>
          </cell>
          <cell r="Q19">
            <v>19</v>
          </cell>
          <cell r="R19">
            <v>21</v>
          </cell>
          <cell r="S19">
            <v>20</v>
          </cell>
          <cell r="T19">
            <v>25</v>
          </cell>
          <cell r="U19">
            <v>26</v>
          </cell>
          <cell r="V19">
            <v>10</v>
          </cell>
          <cell r="W19">
            <v>16</v>
          </cell>
          <cell r="X19">
            <v>20</v>
          </cell>
          <cell r="Y19">
            <v>21</v>
          </cell>
          <cell r="Z19">
            <v>20</v>
          </cell>
          <cell r="AA19">
            <v>18</v>
          </cell>
          <cell r="AB19">
            <v>20</v>
          </cell>
          <cell r="AC19">
            <v>10</v>
          </cell>
          <cell r="AD19">
            <v>16</v>
          </cell>
          <cell r="AE19">
            <v>20</v>
          </cell>
        </row>
        <row r="20">
          <cell r="B20">
            <v>22</v>
          </cell>
          <cell r="C20">
            <v>25</v>
          </cell>
          <cell r="D20">
            <v>29</v>
          </cell>
          <cell r="E20">
            <v>28</v>
          </cell>
          <cell r="F20">
            <v>28</v>
          </cell>
          <cell r="G20">
            <v>25</v>
          </cell>
          <cell r="H20">
            <v>17</v>
          </cell>
          <cell r="I20">
            <v>19</v>
          </cell>
          <cell r="J20">
            <v>22</v>
          </cell>
          <cell r="K20">
            <v>29</v>
          </cell>
          <cell r="L20">
            <v>22</v>
          </cell>
          <cell r="M20">
            <v>25</v>
          </cell>
          <cell r="N20">
            <v>21</v>
          </cell>
          <cell r="O20">
            <v>14</v>
          </cell>
          <cell r="P20">
            <v>21</v>
          </cell>
          <cell r="Q20">
            <v>24</v>
          </cell>
          <cell r="R20">
            <v>28</v>
          </cell>
          <cell r="S20">
            <v>27</v>
          </cell>
          <cell r="T20">
            <v>27</v>
          </cell>
          <cell r="U20">
            <v>28</v>
          </cell>
          <cell r="V20">
            <v>16</v>
          </cell>
          <cell r="W20">
            <v>22</v>
          </cell>
          <cell r="X20">
            <v>25</v>
          </cell>
          <cell r="Y20">
            <v>24</v>
          </cell>
          <cell r="Z20">
            <v>32</v>
          </cell>
          <cell r="AA20">
            <v>28</v>
          </cell>
          <cell r="AB20">
            <v>24</v>
          </cell>
          <cell r="AC20">
            <v>16</v>
          </cell>
          <cell r="AD20">
            <v>22</v>
          </cell>
          <cell r="AE20">
            <v>25</v>
          </cell>
        </row>
        <row r="21">
          <cell r="B21">
            <v>32</v>
          </cell>
          <cell r="C21">
            <v>35</v>
          </cell>
          <cell r="D21">
            <v>40</v>
          </cell>
          <cell r="E21">
            <v>36</v>
          </cell>
          <cell r="F21">
            <v>36</v>
          </cell>
          <cell r="G21">
            <v>25</v>
          </cell>
          <cell r="H21">
            <v>25</v>
          </cell>
          <cell r="I21">
            <v>28</v>
          </cell>
          <cell r="J21">
            <v>31</v>
          </cell>
          <cell r="K21">
            <v>31</v>
          </cell>
          <cell r="L21">
            <v>40</v>
          </cell>
          <cell r="M21">
            <v>31</v>
          </cell>
          <cell r="N21">
            <v>34</v>
          </cell>
          <cell r="O21">
            <v>21</v>
          </cell>
          <cell r="P21">
            <v>30</v>
          </cell>
          <cell r="Q21">
            <v>34</v>
          </cell>
          <cell r="R21">
            <v>38</v>
          </cell>
          <cell r="S21">
            <v>34</v>
          </cell>
          <cell r="T21">
            <v>29</v>
          </cell>
          <cell r="U21">
            <v>38</v>
          </cell>
          <cell r="V21">
            <v>23</v>
          </cell>
          <cell r="W21">
            <v>32</v>
          </cell>
          <cell r="X21">
            <v>35</v>
          </cell>
          <cell r="Y21">
            <v>31</v>
          </cell>
          <cell r="Z21">
            <v>36</v>
          </cell>
          <cell r="AA21">
            <v>36</v>
          </cell>
          <cell r="AB21">
            <v>38</v>
          </cell>
          <cell r="AC21">
            <v>24</v>
          </cell>
          <cell r="AD21">
            <v>32</v>
          </cell>
          <cell r="AE21">
            <v>35</v>
          </cell>
        </row>
        <row r="22">
          <cell r="B22">
            <v>37</v>
          </cell>
          <cell r="C22">
            <v>42</v>
          </cell>
          <cell r="D22">
            <v>52</v>
          </cell>
          <cell r="E22">
            <v>54</v>
          </cell>
          <cell r="F22">
            <v>45</v>
          </cell>
          <cell r="G22">
            <v>36</v>
          </cell>
          <cell r="H22">
            <v>30</v>
          </cell>
          <cell r="I22">
            <v>33</v>
          </cell>
          <cell r="J22">
            <v>38</v>
          </cell>
          <cell r="K22">
            <v>42</v>
          </cell>
          <cell r="L22">
            <v>58</v>
          </cell>
          <cell r="M22">
            <v>39</v>
          </cell>
          <cell r="N22">
            <v>42</v>
          </cell>
          <cell r="O22">
            <v>20</v>
          </cell>
          <cell r="P22">
            <v>36</v>
          </cell>
          <cell r="Q22">
            <v>41</v>
          </cell>
          <cell r="R22">
            <v>50</v>
          </cell>
          <cell r="S22">
            <v>52</v>
          </cell>
          <cell r="T22">
            <v>47</v>
          </cell>
          <cell r="U22">
            <v>54</v>
          </cell>
          <cell r="V22">
            <v>22</v>
          </cell>
          <cell r="W22">
            <v>37</v>
          </cell>
          <cell r="X22">
            <v>42</v>
          </cell>
          <cell r="Y22">
            <v>53</v>
          </cell>
          <cell r="Z22">
            <v>53</v>
          </cell>
          <cell r="AA22">
            <v>45</v>
          </cell>
          <cell r="AB22">
            <v>47</v>
          </cell>
          <cell r="AC22">
            <v>23</v>
          </cell>
          <cell r="AD22">
            <v>37</v>
          </cell>
          <cell r="AE22">
            <v>42</v>
          </cell>
        </row>
        <row r="23">
          <cell r="B23">
            <v>49</v>
          </cell>
          <cell r="C23">
            <v>50</v>
          </cell>
          <cell r="D23">
            <v>54</v>
          </cell>
          <cell r="E23">
            <v>63</v>
          </cell>
          <cell r="F23">
            <v>50</v>
          </cell>
          <cell r="G23">
            <v>37</v>
          </cell>
          <cell r="H23">
            <v>30</v>
          </cell>
          <cell r="I23">
            <v>43</v>
          </cell>
          <cell r="J23">
            <v>44</v>
          </cell>
          <cell r="K23">
            <v>39</v>
          </cell>
          <cell r="L23">
            <v>54</v>
          </cell>
          <cell r="M23">
            <v>44</v>
          </cell>
          <cell r="N23">
            <v>41</v>
          </cell>
          <cell r="O23">
            <v>26</v>
          </cell>
          <cell r="P23">
            <v>47</v>
          </cell>
          <cell r="Q23">
            <v>48</v>
          </cell>
          <cell r="R23">
            <v>52</v>
          </cell>
          <cell r="S23">
            <v>61</v>
          </cell>
          <cell r="T23">
            <v>61</v>
          </cell>
          <cell r="U23">
            <v>50</v>
          </cell>
          <cell r="V23">
            <v>29</v>
          </cell>
          <cell r="W23">
            <v>49</v>
          </cell>
          <cell r="X23">
            <v>50</v>
          </cell>
          <cell r="Y23">
            <v>55</v>
          </cell>
          <cell r="Z23">
            <v>52</v>
          </cell>
          <cell r="AA23">
            <v>50</v>
          </cell>
          <cell r="AB23">
            <v>46</v>
          </cell>
          <cell r="AC23">
            <v>30</v>
          </cell>
          <cell r="AD23">
            <v>49</v>
          </cell>
          <cell r="AE23">
            <v>50</v>
          </cell>
        </row>
        <row r="24">
          <cell r="B24">
            <v>57</v>
          </cell>
          <cell r="C24">
            <v>58</v>
          </cell>
          <cell r="D24">
            <v>55</v>
          </cell>
          <cell r="E24">
            <v>62</v>
          </cell>
          <cell r="F24">
            <v>60</v>
          </cell>
          <cell r="G24">
            <v>57</v>
          </cell>
          <cell r="H24">
            <v>37</v>
          </cell>
          <cell r="I24">
            <v>50</v>
          </cell>
          <cell r="J24">
            <v>51</v>
          </cell>
          <cell r="K24">
            <v>49</v>
          </cell>
          <cell r="L24">
            <v>64</v>
          </cell>
          <cell r="M24">
            <v>53</v>
          </cell>
          <cell r="N24">
            <v>49</v>
          </cell>
          <cell r="O24">
            <v>27</v>
          </cell>
          <cell r="P24">
            <v>55</v>
          </cell>
          <cell r="Q24">
            <v>56</v>
          </cell>
          <cell r="R24">
            <v>53</v>
          </cell>
          <cell r="S24">
            <v>60</v>
          </cell>
          <cell r="T24">
            <v>52</v>
          </cell>
          <cell r="U24">
            <v>59</v>
          </cell>
          <cell r="V24">
            <v>30</v>
          </cell>
          <cell r="W24">
            <v>57</v>
          </cell>
          <cell r="X24">
            <v>58</v>
          </cell>
          <cell r="Y24">
            <v>58</v>
          </cell>
          <cell r="Z24">
            <v>58</v>
          </cell>
          <cell r="AA24">
            <v>60</v>
          </cell>
          <cell r="AB24">
            <v>56</v>
          </cell>
          <cell r="AC24">
            <v>31</v>
          </cell>
          <cell r="AD24">
            <v>57</v>
          </cell>
          <cell r="AE24">
            <v>58</v>
          </cell>
        </row>
        <row r="25">
          <cell r="B25">
            <v>54</v>
          </cell>
          <cell r="C25">
            <v>68</v>
          </cell>
          <cell r="D25">
            <v>63</v>
          </cell>
          <cell r="E25">
            <v>65</v>
          </cell>
          <cell r="F25">
            <v>61</v>
          </cell>
          <cell r="G25">
            <v>54</v>
          </cell>
          <cell r="H25">
            <v>44</v>
          </cell>
          <cell r="I25">
            <v>48</v>
          </cell>
          <cell r="J25">
            <v>60</v>
          </cell>
          <cell r="K25">
            <v>57</v>
          </cell>
          <cell r="L25">
            <v>69</v>
          </cell>
          <cell r="M25">
            <v>54</v>
          </cell>
          <cell r="N25">
            <v>59</v>
          </cell>
          <cell r="O25">
            <v>34</v>
          </cell>
          <cell r="P25">
            <v>52</v>
          </cell>
          <cell r="Q25">
            <v>65</v>
          </cell>
          <cell r="R25">
            <v>61</v>
          </cell>
          <cell r="S25">
            <v>62</v>
          </cell>
          <cell r="T25">
            <v>60</v>
          </cell>
          <cell r="U25">
            <v>59</v>
          </cell>
          <cell r="V25">
            <v>37</v>
          </cell>
          <cell r="W25">
            <v>54</v>
          </cell>
          <cell r="X25">
            <v>68</v>
          </cell>
          <cell r="Y25">
            <v>61</v>
          </cell>
          <cell r="Z25">
            <v>74</v>
          </cell>
          <cell r="AA25">
            <v>61</v>
          </cell>
          <cell r="AB25">
            <v>67</v>
          </cell>
          <cell r="AC25">
            <v>39</v>
          </cell>
          <cell r="AD25">
            <v>54</v>
          </cell>
          <cell r="AE25">
            <v>68</v>
          </cell>
        </row>
        <row r="26">
          <cell r="B26">
            <v>61</v>
          </cell>
          <cell r="C26">
            <v>72</v>
          </cell>
          <cell r="D26">
            <v>63</v>
          </cell>
          <cell r="E26">
            <v>60</v>
          </cell>
          <cell r="F26">
            <v>67</v>
          </cell>
          <cell r="G26">
            <v>81</v>
          </cell>
          <cell r="H26">
            <v>48</v>
          </cell>
          <cell r="I26">
            <v>54</v>
          </cell>
          <cell r="J26">
            <v>63</v>
          </cell>
          <cell r="K26">
            <v>52</v>
          </cell>
          <cell r="L26">
            <v>79</v>
          </cell>
          <cell r="M26">
            <v>60</v>
          </cell>
          <cell r="N26">
            <v>57</v>
          </cell>
          <cell r="O26">
            <v>28</v>
          </cell>
          <cell r="P26">
            <v>59</v>
          </cell>
          <cell r="Q26">
            <v>69</v>
          </cell>
          <cell r="R26">
            <v>60</v>
          </cell>
          <cell r="S26">
            <v>58</v>
          </cell>
          <cell r="T26">
            <v>60</v>
          </cell>
          <cell r="U26">
            <v>74</v>
          </cell>
          <cell r="V26">
            <v>30</v>
          </cell>
          <cell r="W26">
            <v>61</v>
          </cell>
          <cell r="X26">
            <v>72</v>
          </cell>
          <cell r="Y26">
            <v>64</v>
          </cell>
          <cell r="Z26">
            <v>74</v>
          </cell>
          <cell r="AA26">
            <v>67</v>
          </cell>
          <cell r="AB26">
            <v>64</v>
          </cell>
          <cell r="AC26">
            <v>31</v>
          </cell>
          <cell r="AD26">
            <v>61</v>
          </cell>
          <cell r="AE26">
            <v>72</v>
          </cell>
        </row>
        <row r="27">
          <cell r="B27">
            <v>62</v>
          </cell>
          <cell r="C27">
            <v>67</v>
          </cell>
          <cell r="D27">
            <v>61</v>
          </cell>
          <cell r="E27">
            <v>67</v>
          </cell>
          <cell r="F27">
            <v>63</v>
          </cell>
          <cell r="G27">
            <v>71</v>
          </cell>
          <cell r="H27">
            <v>61</v>
          </cell>
          <cell r="I27">
            <v>55</v>
          </cell>
          <cell r="J27">
            <v>59</v>
          </cell>
          <cell r="K27">
            <v>52</v>
          </cell>
          <cell r="L27">
            <v>70</v>
          </cell>
          <cell r="M27">
            <v>56</v>
          </cell>
          <cell r="N27">
            <v>59</v>
          </cell>
          <cell r="O27">
            <v>21</v>
          </cell>
          <cell r="P27">
            <v>60</v>
          </cell>
          <cell r="Q27">
            <v>64</v>
          </cell>
          <cell r="R27">
            <v>59</v>
          </cell>
          <cell r="S27">
            <v>65</v>
          </cell>
          <cell r="T27">
            <v>60</v>
          </cell>
          <cell r="U27">
            <v>66</v>
          </cell>
          <cell r="V27">
            <v>23</v>
          </cell>
          <cell r="W27">
            <v>62</v>
          </cell>
          <cell r="X27">
            <v>67</v>
          </cell>
          <cell r="Y27">
            <v>63</v>
          </cell>
          <cell r="Z27">
            <v>75</v>
          </cell>
          <cell r="AA27">
            <v>63</v>
          </cell>
          <cell r="AB27">
            <v>66</v>
          </cell>
          <cell r="AC27">
            <v>23</v>
          </cell>
          <cell r="AD27">
            <v>62</v>
          </cell>
          <cell r="AE27">
            <v>67</v>
          </cell>
        </row>
        <row r="28">
          <cell r="B28">
            <v>70</v>
          </cell>
          <cell r="C28">
            <v>68</v>
          </cell>
          <cell r="D28">
            <v>58</v>
          </cell>
          <cell r="E28">
            <v>67</v>
          </cell>
          <cell r="F28">
            <v>68</v>
          </cell>
          <cell r="G28">
            <v>71</v>
          </cell>
          <cell r="H28">
            <v>35</v>
          </cell>
          <cell r="I28">
            <v>62</v>
          </cell>
          <cell r="J28">
            <v>60</v>
          </cell>
          <cell r="K28">
            <v>55</v>
          </cell>
          <cell r="L28">
            <v>75</v>
          </cell>
          <cell r="M28">
            <v>60</v>
          </cell>
          <cell r="N28">
            <v>61</v>
          </cell>
          <cell r="O28">
            <v>17</v>
          </cell>
          <cell r="P28">
            <v>67</v>
          </cell>
          <cell r="Q28">
            <v>66</v>
          </cell>
          <cell r="R28">
            <v>55</v>
          </cell>
          <cell r="S28">
            <v>64</v>
          </cell>
          <cell r="T28">
            <v>64</v>
          </cell>
          <cell r="U28">
            <v>60</v>
          </cell>
          <cell r="V28">
            <v>18</v>
          </cell>
          <cell r="W28">
            <v>70</v>
          </cell>
          <cell r="X28">
            <v>68</v>
          </cell>
          <cell r="Y28">
            <v>55</v>
          </cell>
          <cell r="Z28">
            <v>70</v>
          </cell>
          <cell r="AA28">
            <v>68</v>
          </cell>
          <cell r="AB28">
            <v>69</v>
          </cell>
          <cell r="AC28">
            <v>19</v>
          </cell>
          <cell r="AD28">
            <v>70</v>
          </cell>
          <cell r="AE28">
            <v>68</v>
          </cell>
        </row>
        <row r="29">
          <cell r="B29">
            <v>78</v>
          </cell>
          <cell r="C29">
            <v>77</v>
          </cell>
          <cell r="D29">
            <v>67</v>
          </cell>
          <cell r="E29">
            <v>74</v>
          </cell>
          <cell r="F29">
            <v>74</v>
          </cell>
          <cell r="G29">
            <v>76</v>
          </cell>
          <cell r="H29">
            <v>34</v>
          </cell>
          <cell r="I29">
            <v>69</v>
          </cell>
          <cell r="J29">
            <v>68</v>
          </cell>
          <cell r="K29">
            <v>72</v>
          </cell>
          <cell r="L29">
            <v>68</v>
          </cell>
          <cell r="M29">
            <v>65</v>
          </cell>
          <cell r="N29">
            <v>68</v>
          </cell>
          <cell r="O29">
            <v>57</v>
          </cell>
          <cell r="P29">
            <v>75</v>
          </cell>
          <cell r="Q29">
            <v>74</v>
          </cell>
          <cell r="R29">
            <v>64</v>
          </cell>
          <cell r="S29">
            <v>71</v>
          </cell>
          <cell r="T29">
            <v>67</v>
          </cell>
          <cell r="U29">
            <v>73</v>
          </cell>
          <cell r="V29">
            <v>61</v>
          </cell>
          <cell r="W29">
            <v>78</v>
          </cell>
          <cell r="X29">
            <v>77</v>
          </cell>
          <cell r="Y29">
            <v>83</v>
          </cell>
          <cell r="Z29">
            <v>81</v>
          </cell>
          <cell r="AA29">
            <v>74</v>
          </cell>
          <cell r="AB29">
            <v>77</v>
          </cell>
          <cell r="AC29">
            <v>64</v>
          </cell>
          <cell r="AD29">
            <v>78</v>
          </cell>
          <cell r="AE29">
            <v>78</v>
          </cell>
        </row>
        <row r="30">
          <cell r="B30">
            <v>76</v>
          </cell>
          <cell r="C30">
            <v>81</v>
          </cell>
          <cell r="D30">
            <v>74</v>
          </cell>
          <cell r="E30">
            <v>78</v>
          </cell>
          <cell r="F30">
            <v>72</v>
          </cell>
          <cell r="G30">
            <v>78</v>
          </cell>
          <cell r="H30">
            <v>93</v>
          </cell>
          <cell r="I30">
            <v>67</v>
          </cell>
          <cell r="J30">
            <v>72</v>
          </cell>
          <cell r="K30">
            <v>80</v>
          </cell>
          <cell r="L30">
            <v>63</v>
          </cell>
          <cell r="M30">
            <v>64</v>
          </cell>
          <cell r="N30">
            <v>70</v>
          </cell>
          <cell r="O30">
            <v>72</v>
          </cell>
          <cell r="P30">
            <v>73</v>
          </cell>
          <cell r="Q30">
            <v>78</v>
          </cell>
          <cell r="R30">
            <v>71</v>
          </cell>
          <cell r="S30">
            <v>75</v>
          </cell>
          <cell r="T30">
            <v>80</v>
          </cell>
          <cell r="U30">
            <v>66</v>
          </cell>
          <cell r="V30">
            <v>79</v>
          </cell>
          <cell r="W30">
            <v>76</v>
          </cell>
          <cell r="X30">
            <v>81</v>
          </cell>
          <cell r="Y30">
            <v>86</v>
          </cell>
          <cell r="Z30">
            <v>85</v>
          </cell>
          <cell r="AA30">
            <v>72</v>
          </cell>
          <cell r="AB30">
            <v>79</v>
          </cell>
          <cell r="AC30">
            <v>82</v>
          </cell>
          <cell r="AD30">
            <v>76</v>
          </cell>
          <cell r="AE30">
            <v>82</v>
          </cell>
        </row>
        <row r="31">
          <cell r="B31">
            <v>75</v>
          </cell>
          <cell r="C31">
            <v>78</v>
          </cell>
          <cell r="D31">
            <v>75</v>
          </cell>
          <cell r="E31">
            <v>71</v>
          </cell>
          <cell r="F31">
            <v>68</v>
          </cell>
          <cell r="G31">
            <v>79</v>
          </cell>
          <cell r="H31">
            <v>95</v>
          </cell>
          <cell r="I31">
            <v>67</v>
          </cell>
          <cell r="J31">
            <v>69</v>
          </cell>
          <cell r="K31">
            <v>76</v>
          </cell>
          <cell r="L31">
            <v>74</v>
          </cell>
          <cell r="M31">
            <v>60</v>
          </cell>
          <cell r="N31">
            <v>71</v>
          </cell>
          <cell r="O31">
            <v>67</v>
          </cell>
          <cell r="P31">
            <v>72</v>
          </cell>
          <cell r="Q31">
            <v>75</v>
          </cell>
          <cell r="R31">
            <v>72</v>
          </cell>
          <cell r="S31">
            <v>68</v>
          </cell>
          <cell r="T31">
            <v>74</v>
          </cell>
          <cell r="U31">
            <v>75</v>
          </cell>
          <cell r="V31">
            <v>73</v>
          </cell>
          <cell r="W31">
            <v>75</v>
          </cell>
          <cell r="X31">
            <v>78</v>
          </cell>
          <cell r="Y31">
            <v>78</v>
          </cell>
          <cell r="Z31">
            <v>86</v>
          </cell>
          <cell r="AA31">
            <v>68</v>
          </cell>
          <cell r="AB31">
            <v>80</v>
          </cell>
          <cell r="AC31">
            <v>76</v>
          </cell>
          <cell r="AD31">
            <v>75</v>
          </cell>
          <cell r="AE31">
            <v>78</v>
          </cell>
        </row>
        <row r="32">
          <cell r="B32">
            <v>71</v>
          </cell>
          <cell r="C32">
            <v>73</v>
          </cell>
          <cell r="D32">
            <v>71</v>
          </cell>
          <cell r="E32">
            <v>70</v>
          </cell>
          <cell r="F32">
            <v>68</v>
          </cell>
          <cell r="G32">
            <v>80</v>
          </cell>
          <cell r="H32">
            <v>84</v>
          </cell>
          <cell r="I32">
            <v>63</v>
          </cell>
          <cell r="J32">
            <v>64</v>
          </cell>
          <cell r="K32">
            <v>71</v>
          </cell>
          <cell r="L32">
            <v>70</v>
          </cell>
          <cell r="M32">
            <v>60</v>
          </cell>
          <cell r="N32">
            <v>59</v>
          </cell>
          <cell r="O32">
            <v>58</v>
          </cell>
          <cell r="P32">
            <v>68</v>
          </cell>
          <cell r="Q32">
            <v>70</v>
          </cell>
          <cell r="R32">
            <v>68</v>
          </cell>
          <cell r="S32">
            <v>67</v>
          </cell>
          <cell r="T32">
            <v>65</v>
          </cell>
          <cell r="U32">
            <v>73</v>
          </cell>
          <cell r="V32">
            <v>63</v>
          </cell>
          <cell r="W32">
            <v>71</v>
          </cell>
          <cell r="X32">
            <v>73</v>
          </cell>
          <cell r="Y32">
            <v>74</v>
          </cell>
          <cell r="Z32">
            <v>90</v>
          </cell>
          <cell r="AA32">
            <v>68</v>
          </cell>
          <cell r="AB32">
            <v>67</v>
          </cell>
          <cell r="AC32">
            <v>65</v>
          </cell>
          <cell r="AD32">
            <v>71</v>
          </cell>
          <cell r="AE32">
            <v>73</v>
          </cell>
        </row>
        <row r="33">
          <cell r="B33">
            <v>60</v>
          </cell>
          <cell r="C33">
            <v>64</v>
          </cell>
          <cell r="D33">
            <v>71</v>
          </cell>
          <cell r="E33">
            <v>63</v>
          </cell>
          <cell r="F33">
            <v>59</v>
          </cell>
          <cell r="G33">
            <v>79</v>
          </cell>
          <cell r="H33">
            <v>82</v>
          </cell>
          <cell r="I33">
            <v>53</v>
          </cell>
          <cell r="J33">
            <v>56</v>
          </cell>
          <cell r="K33">
            <v>59</v>
          </cell>
          <cell r="L33">
            <v>77</v>
          </cell>
          <cell r="M33">
            <v>52</v>
          </cell>
          <cell r="N33">
            <v>57</v>
          </cell>
          <cell r="O33">
            <v>58</v>
          </cell>
          <cell r="P33">
            <v>58</v>
          </cell>
          <cell r="Q33">
            <v>61</v>
          </cell>
          <cell r="R33">
            <v>69</v>
          </cell>
          <cell r="S33">
            <v>61</v>
          </cell>
          <cell r="T33">
            <v>63</v>
          </cell>
          <cell r="U33">
            <v>72</v>
          </cell>
          <cell r="V33">
            <v>63</v>
          </cell>
          <cell r="W33">
            <v>60</v>
          </cell>
          <cell r="X33">
            <v>64</v>
          </cell>
          <cell r="Y33">
            <v>74</v>
          </cell>
          <cell r="Z33">
            <v>74</v>
          </cell>
          <cell r="AA33">
            <v>59</v>
          </cell>
          <cell r="AB33">
            <v>65</v>
          </cell>
          <cell r="AC33">
            <v>65</v>
          </cell>
          <cell r="AD33">
            <v>60</v>
          </cell>
          <cell r="AE33">
            <v>64</v>
          </cell>
        </row>
        <row r="34">
          <cell r="B34">
            <v>64</v>
          </cell>
          <cell r="C34">
            <v>65</v>
          </cell>
          <cell r="D34">
            <v>64</v>
          </cell>
          <cell r="E34">
            <v>66</v>
          </cell>
          <cell r="F34">
            <v>59</v>
          </cell>
          <cell r="G34">
            <v>77</v>
          </cell>
          <cell r="H34">
            <v>84</v>
          </cell>
          <cell r="I34">
            <v>57</v>
          </cell>
          <cell r="J34">
            <v>57</v>
          </cell>
          <cell r="K34">
            <v>72</v>
          </cell>
          <cell r="L34">
            <v>63</v>
          </cell>
          <cell r="M34">
            <v>52</v>
          </cell>
          <cell r="N34">
            <v>54</v>
          </cell>
          <cell r="O34">
            <v>52</v>
          </cell>
          <cell r="P34">
            <v>62</v>
          </cell>
          <cell r="Q34">
            <v>62</v>
          </cell>
          <cell r="R34">
            <v>62</v>
          </cell>
          <cell r="S34">
            <v>63</v>
          </cell>
          <cell r="T34">
            <v>61</v>
          </cell>
          <cell r="U34">
            <v>58</v>
          </cell>
          <cell r="V34">
            <v>57</v>
          </cell>
          <cell r="W34">
            <v>65</v>
          </cell>
          <cell r="X34">
            <v>65</v>
          </cell>
          <cell r="Y34">
            <v>77</v>
          </cell>
          <cell r="Z34">
            <v>83</v>
          </cell>
          <cell r="AA34">
            <v>59</v>
          </cell>
          <cell r="AB34">
            <v>61</v>
          </cell>
          <cell r="AC34">
            <v>59</v>
          </cell>
          <cell r="AD34">
            <v>65</v>
          </cell>
          <cell r="AE34">
            <v>65</v>
          </cell>
        </row>
        <row r="35">
          <cell r="B35">
            <v>73</v>
          </cell>
          <cell r="C35">
            <v>68</v>
          </cell>
          <cell r="D35">
            <v>69</v>
          </cell>
          <cell r="E35">
            <v>65</v>
          </cell>
          <cell r="F35">
            <v>66</v>
          </cell>
          <cell r="G35">
            <v>71</v>
          </cell>
          <cell r="H35">
            <v>73</v>
          </cell>
          <cell r="I35">
            <v>64</v>
          </cell>
          <cell r="J35">
            <v>60</v>
          </cell>
          <cell r="K35">
            <v>60</v>
          </cell>
          <cell r="L35">
            <v>59</v>
          </cell>
          <cell r="M35">
            <v>59</v>
          </cell>
          <cell r="N35">
            <v>51</v>
          </cell>
          <cell r="O35">
            <v>65</v>
          </cell>
          <cell r="P35">
            <v>70</v>
          </cell>
          <cell r="Q35">
            <v>65</v>
          </cell>
          <cell r="R35">
            <v>66</v>
          </cell>
          <cell r="S35">
            <v>63</v>
          </cell>
          <cell r="T35">
            <v>55</v>
          </cell>
          <cell r="U35">
            <v>59</v>
          </cell>
          <cell r="V35">
            <v>70</v>
          </cell>
          <cell r="W35">
            <v>73</v>
          </cell>
          <cell r="X35">
            <v>68</v>
          </cell>
          <cell r="Y35">
            <v>71</v>
          </cell>
          <cell r="Z35">
            <v>75</v>
          </cell>
          <cell r="AA35">
            <v>66</v>
          </cell>
          <cell r="AB35">
            <v>58</v>
          </cell>
          <cell r="AC35">
            <v>73</v>
          </cell>
          <cell r="AD35">
            <v>73</v>
          </cell>
          <cell r="AE35">
            <v>68</v>
          </cell>
        </row>
        <row r="36">
          <cell r="B36">
            <v>63</v>
          </cell>
          <cell r="C36">
            <v>81</v>
          </cell>
          <cell r="D36">
            <v>66</v>
          </cell>
          <cell r="E36">
            <v>64</v>
          </cell>
          <cell r="F36">
            <v>62</v>
          </cell>
          <cell r="G36">
            <v>83</v>
          </cell>
          <cell r="H36">
            <v>77</v>
          </cell>
          <cell r="I36">
            <v>56</v>
          </cell>
          <cell r="J36">
            <v>72</v>
          </cell>
          <cell r="K36">
            <v>69</v>
          </cell>
          <cell r="L36">
            <v>64</v>
          </cell>
          <cell r="M36">
            <v>55</v>
          </cell>
          <cell r="N36">
            <v>60</v>
          </cell>
          <cell r="O36">
            <v>62</v>
          </cell>
          <cell r="P36">
            <v>61</v>
          </cell>
          <cell r="Q36">
            <v>78</v>
          </cell>
          <cell r="R36">
            <v>64</v>
          </cell>
          <cell r="S36">
            <v>62</v>
          </cell>
          <cell r="T36">
            <v>65</v>
          </cell>
          <cell r="U36">
            <v>65</v>
          </cell>
          <cell r="V36">
            <v>68</v>
          </cell>
          <cell r="W36">
            <v>63</v>
          </cell>
          <cell r="X36">
            <v>81</v>
          </cell>
          <cell r="Y36">
            <v>67</v>
          </cell>
          <cell r="Z36">
            <v>70</v>
          </cell>
          <cell r="AA36">
            <v>62</v>
          </cell>
          <cell r="AB36">
            <v>68</v>
          </cell>
          <cell r="AC36">
            <v>70</v>
          </cell>
          <cell r="AD36">
            <v>63</v>
          </cell>
          <cell r="AE36">
            <v>82</v>
          </cell>
        </row>
        <row r="37">
          <cell r="B37">
            <v>73</v>
          </cell>
          <cell r="C37">
            <v>75</v>
          </cell>
          <cell r="D37">
            <v>69</v>
          </cell>
          <cell r="E37">
            <v>62</v>
          </cell>
          <cell r="F37">
            <v>62</v>
          </cell>
          <cell r="G37">
            <v>74</v>
          </cell>
          <cell r="H37">
            <v>76</v>
          </cell>
          <cell r="I37">
            <v>65</v>
          </cell>
          <cell r="J37">
            <v>66</v>
          </cell>
          <cell r="K37">
            <v>62</v>
          </cell>
          <cell r="L37">
            <v>70</v>
          </cell>
          <cell r="M37">
            <v>55</v>
          </cell>
          <cell r="N37">
            <v>60</v>
          </cell>
          <cell r="O37">
            <v>62</v>
          </cell>
          <cell r="P37">
            <v>70</v>
          </cell>
          <cell r="Q37">
            <v>72</v>
          </cell>
          <cell r="R37">
            <v>67</v>
          </cell>
          <cell r="S37">
            <v>59</v>
          </cell>
          <cell r="T37">
            <v>73</v>
          </cell>
          <cell r="U37">
            <v>67</v>
          </cell>
          <cell r="V37">
            <v>67</v>
          </cell>
          <cell r="W37">
            <v>73</v>
          </cell>
          <cell r="X37">
            <v>75</v>
          </cell>
          <cell r="Y37">
            <v>76</v>
          </cell>
          <cell r="Z37">
            <v>88</v>
          </cell>
          <cell r="AA37">
            <v>62</v>
          </cell>
          <cell r="AB37">
            <v>68</v>
          </cell>
          <cell r="AC37">
            <v>70</v>
          </cell>
          <cell r="AD37">
            <v>73</v>
          </cell>
          <cell r="AE37">
            <v>75</v>
          </cell>
        </row>
        <row r="38">
          <cell r="B38">
            <v>65</v>
          </cell>
          <cell r="C38">
            <v>63</v>
          </cell>
          <cell r="D38">
            <v>55</v>
          </cell>
          <cell r="E38">
            <v>61</v>
          </cell>
          <cell r="F38">
            <v>59</v>
          </cell>
          <cell r="G38">
            <v>77</v>
          </cell>
          <cell r="H38">
            <v>78</v>
          </cell>
          <cell r="I38">
            <v>57</v>
          </cell>
          <cell r="J38">
            <v>56</v>
          </cell>
          <cell r="K38">
            <v>68</v>
          </cell>
          <cell r="L38">
            <v>66</v>
          </cell>
          <cell r="M38">
            <v>52</v>
          </cell>
          <cell r="N38">
            <v>52</v>
          </cell>
          <cell r="O38">
            <v>54</v>
          </cell>
          <cell r="P38">
            <v>62</v>
          </cell>
          <cell r="Q38">
            <v>60</v>
          </cell>
          <cell r="R38">
            <v>52</v>
          </cell>
          <cell r="S38">
            <v>58</v>
          </cell>
          <cell r="T38">
            <v>69</v>
          </cell>
          <cell r="U38">
            <v>76</v>
          </cell>
          <cell r="V38">
            <v>58</v>
          </cell>
          <cell r="W38">
            <v>65</v>
          </cell>
          <cell r="X38">
            <v>63</v>
          </cell>
          <cell r="Y38">
            <v>84</v>
          </cell>
          <cell r="Z38">
            <v>65</v>
          </cell>
          <cell r="AA38">
            <v>59</v>
          </cell>
          <cell r="AB38">
            <v>58</v>
          </cell>
          <cell r="AC38">
            <v>61</v>
          </cell>
          <cell r="AD38">
            <v>65</v>
          </cell>
          <cell r="AE38">
            <v>63</v>
          </cell>
        </row>
        <row r="39">
          <cell r="B39">
            <v>76</v>
          </cell>
          <cell r="C39">
            <v>68</v>
          </cell>
          <cell r="D39">
            <v>65</v>
          </cell>
          <cell r="E39">
            <v>72</v>
          </cell>
          <cell r="F39">
            <v>77</v>
          </cell>
          <cell r="G39">
            <v>63</v>
          </cell>
          <cell r="H39">
            <v>78</v>
          </cell>
          <cell r="I39">
            <v>67</v>
          </cell>
          <cell r="J39">
            <v>60</v>
          </cell>
          <cell r="K39">
            <v>59</v>
          </cell>
          <cell r="L39">
            <v>58</v>
          </cell>
          <cell r="M39">
            <v>68</v>
          </cell>
          <cell r="N39">
            <v>67</v>
          </cell>
          <cell r="O39">
            <v>72</v>
          </cell>
          <cell r="P39">
            <v>73</v>
          </cell>
          <cell r="Q39">
            <v>66</v>
          </cell>
          <cell r="R39">
            <v>63</v>
          </cell>
          <cell r="S39">
            <v>70</v>
          </cell>
          <cell r="T39">
            <v>52</v>
          </cell>
          <cell r="U39">
            <v>64</v>
          </cell>
          <cell r="V39">
            <v>78</v>
          </cell>
          <cell r="W39">
            <v>76</v>
          </cell>
          <cell r="X39">
            <v>68</v>
          </cell>
          <cell r="Y39">
            <v>75</v>
          </cell>
          <cell r="Z39">
            <v>77</v>
          </cell>
          <cell r="AA39">
            <v>77</v>
          </cell>
          <cell r="AB39">
            <v>76</v>
          </cell>
          <cell r="AC39">
            <v>81</v>
          </cell>
          <cell r="AD39">
            <v>76</v>
          </cell>
          <cell r="AE39">
            <v>68</v>
          </cell>
        </row>
        <row r="40">
          <cell r="B40">
            <v>78</v>
          </cell>
          <cell r="C40">
            <v>71</v>
          </cell>
          <cell r="D40">
            <v>66</v>
          </cell>
          <cell r="E40">
            <v>72</v>
          </cell>
          <cell r="F40">
            <v>76</v>
          </cell>
          <cell r="G40">
            <v>79</v>
          </cell>
          <cell r="H40">
            <v>77</v>
          </cell>
          <cell r="I40">
            <v>69</v>
          </cell>
          <cell r="J40">
            <v>63</v>
          </cell>
          <cell r="K40">
            <v>70</v>
          </cell>
          <cell r="L40">
            <v>58</v>
          </cell>
          <cell r="M40">
            <v>68</v>
          </cell>
          <cell r="N40">
            <v>61</v>
          </cell>
          <cell r="O40">
            <v>79</v>
          </cell>
          <cell r="P40">
            <v>75</v>
          </cell>
          <cell r="Q40">
            <v>68</v>
          </cell>
          <cell r="R40">
            <v>64</v>
          </cell>
          <cell r="S40">
            <v>69</v>
          </cell>
          <cell r="T40">
            <v>65</v>
          </cell>
          <cell r="U40">
            <v>53</v>
          </cell>
          <cell r="V40">
            <v>86</v>
          </cell>
          <cell r="W40">
            <v>78</v>
          </cell>
          <cell r="X40">
            <v>71</v>
          </cell>
          <cell r="Y40">
            <v>61</v>
          </cell>
          <cell r="Z40">
            <v>61</v>
          </cell>
          <cell r="AA40">
            <v>76</v>
          </cell>
          <cell r="AB40">
            <v>69</v>
          </cell>
          <cell r="AC40">
            <v>90</v>
          </cell>
          <cell r="AD40">
            <v>78</v>
          </cell>
          <cell r="AE40">
            <v>71</v>
          </cell>
        </row>
        <row r="41">
          <cell r="B41">
            <v>72</v>
          </cell>
          <cell r="C41">
            <v>70</v>
          </cell>
          <cell r="D41">
            <v>71</v>
          </cell>
          <cell r="E41">
            <v>69</v>
          </cell>
          <cell r="F41">
            <v>64</v>
          </cell>
          <cell r="G41">
            <v>89</v>
          </cell>
          <cell r="H41">
            <v>90</v>
          </cell>
          <cell r="I41">
            <v>64</v>
          </cell>
          <cell r="J41">
            <v>62</v>
          </cell>
          <cell r="K41">
            <v>73</v>
          </cell>
          <cell r="L41">
            <v>66</v>
          </cell>
          <cell r="M41">
            <v>56</v>
          </cell>
          <cell r="N41">
            <v>59</v>
          </cell>
          <cell r="O41">
            <v>64</v>
          </cell>
          <cell r="P41">
            <v>70</v>
          </cell>
          <cell r="Q41">
            <v>67</v>
          </cell>
          <cell r="R41">
            <v>68</v>
          </cell>
          <cell r="S41">
            <v>66</v>
          </cell>
          <cell r="T41">
            <v>67</v>
          </cell>
          <cell r="U41">
            <v>65</v>
          </cell>
          <cell r="V41">
            <v>69</v>
          </cell>
          <cell r="W41">
            <v>72</v>
          </cell>
          <cell r="X41">
            <v>70</v>
          </cell>
          <cell r="Y41">
            <v>73</v>
          </cell>
          <cell r="Z41">
            <v>79</v>
          </cell>
          <cell r="AA41">
            <v>64</v>
          </cell>
          <cell r="AB41">
            <v>67</v>
          </cell>
          <cell r="AC41">
            <v>72</v>
          </cell>
          <cell r="AD41">
            <v>72</v>
          </cell>
          <cell r="AE41">
            <v>70</v>
          </cell>
        </row>
        <row r="42">
          <cell r="B42">
            <v>87</v>
          </cell>
          <cell r="C42">
            <v>89</v>
          </cell>
          <cell r="D42">
            <v>81</v>
          </cell>
          <cell r="E42">
            <v>90</v>
          </cell>
          <cell r="F42">
            <v>75</v>
          </cell>
          <cell r="G42">
            <v>70</v>
          </cell>
          <cell r="H42">
            <v>77</v>
          </cell>
          <cell r="I42">
            <v>77</v>
          </cell>
          <cell r="J42">
            <v>79</v>
          </cell>
          <cell r="K42">
            <v>69</v>
          </cell>
          <cell r="L42">
            <v>56</v>
          </cell>
          <cell r="M42">
            <v>66</v>
          </cell>
          <cell r="N42">
            <v>66</v>
          </cell>
          <cell r="O42">
            <v>84</v>
          </cell>
          <cell r="P42">
            <v>83</v>
          </cell>
          <cell r="Q42">
            <v>86</v>
          </cell>
          <cell r="R42">
            <v>78</v>
          </cell>
          <cell r="S42">
            <v>87</v>
          </cell>
          <cell r="T42">
            <v>69</v>
          </cell>
          <cell r="U42">
            <v>65</v>
          </cell>
          <cell r="V42">
            <v>91</v>
          </cell>
          <cell r="W42">
            <v>87</v>
          </cell>
          <cell r="X42">
            <v>89</v>
          </cell>
          <cell r="Y42">
            <v>81</v>
          </cell>
          <cell r="Z42">
            <v>83</v>
          </cell>
          <cell r="AA42">
            <v>75</v>
          </cell>
          <cell r="AB42">
            <v>74</v>
          </cell>
          <cell r="AC42">
            <v>95</v>
          </cell>
          <cell r="AD42">
            <v>87</v>
          </cell>
          <cell r="AE42">
            <v>89</v>
          </cell>
        </row>
        <row r="43">
          <cell r="B43">
            <v>86</v>
          </cell>
          <cell r="C43">
            <v>70</v>
          </cell>
          <cell r="D43">
            <v>78</v>
          </cell>
          <cell r="E43">
            <v>77</v>
          </cell>
          <cell r="F43">
            <v>86</v>
          </cell>
          <cell r="G43">
            <v>87</v>
          </cell>
          <cell r="H43">
            <v>88</v>
          </cell>
          <cell r="I43">
            <v>76</v>
          </cell>
          <cell r="J43">
            <v>62</v>
          </cell>
          <cell r="K43">
            <v>71</v>
          </cell>
          <cell r="L43">
            <v>69</v>
          </cell>
          <cell r="M43">
            <v>76</v>
          </cell>
          <cell r="N43">
            <v>63</v>
          </cell>
          <cell r="O43">
            <v>82</v>
          </cell>
          <cell r="P43">
            <v>83</v>
          </cell>
          <cell r="Q43">
            <v>67</v>
          </cell>
          <cell r="R43">
            <v>75</v>
          </cell>
          <cell r="S43">
            <v>74</v>
          </cell>
          <cell r="T43">
            <v>75</v>
          </cell>
          <cell r="U43">
            <v>64</v>
          </cell>
          <cell r="V43">
            <v>89</v>
          </cell>
          <cell r="W43">
            <v>86</v>
          </cell>
          <cell r="X43">
            <v>70</v>
          </cell>
          <cell r="Y43">
            <v>90</v>
          </cell>
          <cell r="Z43">
            <v>79</v>
          </cell>
          <cell r="AA43">
            <v>86</v>
          </cell>
          <cell r="AB43">
            <v>71</v>
          </cell>
          <cell r="AC43">
            <v>92</v>
          </cell>
          <cell r="AD43">
            <v>86</v>
          </cell>
          <cell r="AE43">
            <v>70</v>
          </cell>
        </row>
        <row r="44">
          <cell r="B44">
            <v>87</v>
          </cell>
          <cell r="C44">
            <v>90</v>
          </cell>
          <cell r="D44">
            <v>89</v>
          </cell>
          <cell r="E44">
            <v>83</v>
          </cell>
          <cell r="F44">
            <v>76</v>
          </cell>
          <cell r="G44">
            <v>83</v>
          </cell>
          <cell r="H44">
            <v>104</v>
          </cell>
          <cell r="I44">
            <v>77</v>
          </cell>
          <cell r="J44">
            <v>80</v>
          </cell>
          <cell r="K44">
            <v>79</v>
          </cell>
          <cell r="L44">
            <v>69</v>
          </cell>
          <cell r="M44">
            <v>67</v>
          </cell>
          <cell r="N44">
            <v>67</v>
          </cell>
          <cell r="O44">
            <v>93</v>
          </cell>
          <cell r="P44">
            <v>84</v>
          </cell>
          <cell r="Q44">
            <v>87</v>
          </cell>
          <cell r="R44">
            <v>85</v>
          </cell>
          <cell r="S44">
            <v>80</v>
          </cell>
          <cell r="T44">
            <v>95</v>
          </cell>
          <cell r="U44">
            <v>71</v>
          </cell>
          <cell r="V44">
            <v>101</v>
          </cell>
          <cell r="W44">
            <v>88</v>
          </cell>
          <cell r="X44">
            <v>90</v>
          </cell>
          <cell r="Y44">
            <v>85</v>
          </cell>
          <cell r="Z44">
            <v>89</v>
          </cell>
          <cell r="AA44">
            <v>76</v>
          </cell>
          <cell r="AB44">
            <v>76</v>
          </cell>
          <cell r="AC44">
            <v>106</v>
          </cell>
          <cell r="AD44">
            <v>88</v>
          </cell>
          <cell r="AE44">
            <v>90</v>
          </cell>
        </row>
        <row r="45">
          <cell r="B45">
            <v>78</v>
          </cell>
          <cell r="C45">
            <v>92</v>
          </cell>
          <cell r="D45">
            <v>80</v>
          </cell>
          <cell r="E45">
            <v>73</v>
          </cell>
          <cell r="F45">
            <v>81</v>
          </cell>
          <cell r="G45">
            <v>68</v>
          </cell>
          <cell r="H45">
            <v>95</v>
          </cell>
          <cell r="I45">
            <v>69</v>
          </cell>
          <cell r="J45">
            <v>81</v>
          </cell>
          <cell r="K45">
            <v>80</v>
          </cell>
          <cell r="L45">
            <v>77</v>
          </cell>
          <cell r="M45">
            <v>71</v>
          </cell>
          <cell r="N45">
            <v>58</v>
          </cell>
          <cell r="O45">
            <v>83</v>
          </cell>
          <cell r="P45">
            <v>75</v>
          </cell>
          <cell r="Q45">
            <v>88</v>
          </cell>
          <cell r="R45">
            <v>77</v>
          </cell>
          <cell r="S45">
            <v>70</v>
          </cell>
          <cell r="T45">
            <v>76</v>
          </cell>
          <cell r="U45">
            <v>72</v>
          </cell>
          <cell r="V45">
            <v>90</v>
          </cell>
          <cell r="W45">
            <v>78</v>
          </cell>
          <cell r="X45">
            <v>92</v>
          </cell>
          <cell r="Y45">
            <v>86</v>
          </cell>
          <cell r="Z45">
            <v>82</v>
          </cell>
          <cell r="AA45">
            <v>81</v>
          </cell>
          <cell r="AB45">
            <v>66</v>
          </cell>
          <cell r="AC45">
            <v>94</v>
          </cell>
          <cell r="AD45">
            <v>78</v>
          </cell>
          <cell r="AE45">
            <v>92</v>
          </cell>
        </row>
        <row r="46">
          <cell r="B46">
            <v>85</v>
          </cell>
          <cell r="C46">
            <v>73</v>
          </cell>
          <cell r="D46">
            <v>77</v>
          </cell>
          <cell r="E46">
            <v>87</v>
          </cell>
          <cell r="F46">
            <v>80</v>
          </cell>
          <cell r="G46">
            <v>92</v>
          </cell>
          <cell r="H46">
            <v>77</v>
          </cell>
          <cell r="I46">
            <v>75</v>
          </cell>
          <cell r="J46">
            <v>64</v>
          </cell>
          <cell r="K46">
            <v>75</v>
          </cell>
          <cell r="L46">
            <v>73</v>
          </cell>
          <cell r="M46">
            <v>71</v>
          </cell>
          <cell r="N46">
            <v>57</v>
          </cell>
          <cell r="O46">
            <v>68</v>
          </cell>
          <cell r="P46">
            <v>82</v>
          </cell>
          <cell r="Q46">
            <v>70</v>
          </cell>
          <cell r="R46">
            <v>74</v>
          </cell>
          <cell r="S46">
            <v>83</v>
          </cell>
          <cell r="T46">
            <v>72</v>
          </cell>
          <cell r="U46">
            <v>81</v>
          </cell>
          <cell r="V46">
            <v>74</v>
          </cell>
          <cell r="W46">
            <v>85</v>
          </cell>
          <cell r="X46">
            <v>73</v>
          </cell>
          <cell r="Y46">
            <v>88</v>
          </cell>
          <cell r="Z46">
            <v>76</v>
          </cell>
          <cell r="AA46">
            <v>80</v>
          </cell>
          <cell r="AB46">
            <v>64</v>
          </cell>
          <cell r="AC46">
            <v>77</v>
          </cell>
          <cell r="AD46">
            <v>85</v>
          </cell>
          <cell r="AE46">
            <v>73</v>
          </cell>
        </row>
        <row r="47">
          <cell r="B47">
            <v>69</v>
          </cell>
          <cell r="C47">
            <v>66</v>
          </cell>
          <cell r="D47">
            <v>62</v>
          </cell>
          <cell r="E47">
            <v>75</v>
          </cell>
          <cell r="F47">
            <v>66</v>
          </cell>
          <cell r="G47">
            <v>80</v>
          </cell>
          <cell r="H47">
            <v>63</v>
          </cell>
          <cell r="I47">
            <v>61</v>
          </cell>
          <cell r="J47">
            <v>59</v>
          </cell>
          <cell r="K47">
            <v>58</v>
          </cell>
          <cell r="L47">
            <v>58</v>
          </cell>
          <cell r="M47">
            <v>59</v>
          </cell>
          <cell r="N47">
            <v>56</v>
          </cell>
          <cell r="O47">
            <v>70</v>
          </cell>
          <cell r="P47">
            <v>67</v>
          </cell>
          <cell r="Q47">
            <v>64</v>
          </cell>
          <cell r="R47">
            <v>60</v>
          </cell>
          <cell r="S47">
            <v>72</v>
          </cell>
          <cell r="T47">
            <v>67</v>
          </cell>
          <cell r="U47">
            <v>64</v>
          </cell>
          <cell r="V47">
            <v>77</v>
          </cell>
          <cell r="W47">
            <v>69</v>
          </cell>
          <cell r="X47">
            <v>66</v>
          </cell>
          <cell r="Y47">
            <v>79</v>
          </cell>
          <cell r="Z47">
            <v>84</v>
          </cell>
          <cell r="AA47">
            <v>66</v>
          </cell>
          <cell r="AB47">
            <v>63</v>
          </cell>
          <cell r="AC47">
            <v>80</v>
          </cell>
          <cell r="AD47">
            <v>69</v>
          </cell>
          <cell r="AE47">
            <v>66</v>
          </cell>
        </row>
        <row r="48">
          <cell r="B48">
            <v>63</v>
          </cell>
          <cell r="C48">
            <v>59</v>
          </cell>
          <cell r="D48">
            <v>64</v>
          </cell>
          <cell r="E48">
            <v>59</v>
          </cell>
          <cell r="F48">
            <v>58</v>
          </cell>
          <cell r="G48">
            <v>76</v>
          </cell>
          <cell r="H48">
            <v>68</v>
          </cell>
          <cell r="I48">
            <v>55</v>
          </cell>
          <cell r="J48">
            <v>52</v>
          </cell>
          <cell r="K48">
            <v>55</v>
          </cell>
          <cell r="L48">
            <v>47</v>
          </cell>
          <cell r="M48">
            <v>51</v>
          </cell>
          <cell r="N48">
            <v>53</v>
          </cell>
          <cell r="O48">
            <v>60</v>
          </cell>
          <cell r="P48">
            <v>60</v>
          </cell>
          <cell r="Q48">
            <v>57</v>
          </cell>
          <cell r="R48">
            <v>61</v>
          </cell>
          <cell r="S48">
            <v>57</v>
          </cell>
          <cell r="T48">
            <v>64</v>
          </cell>
          <cell r="U48">
            <v>66</v>
          </cell>
          <cell r="V48">
            <v>65</v>
          </cell>
          <cell r="W48">
            <v>63</v>
          </cell>
          <cell r="X48">
            <v>59</v>
          </cell>
          <cell r="Y48">
            <v>61</v>
          </cell>
          <cell r="Z48">
            <v>72</v>
          </cell>
          <cell r="AA48">
            <v>58</v>
          </cell>
          <cell r="AB48">
            <v>60</v>
          </cell>
          <cell r="AC48">
            <v>67</v>
          </cell>
          <cell r="AD48">
            <v>63</v>
          </cell>
          <cell r="AE48">
            <v>59</v>
          </cell>
        </row>
        <row r="49">
          <cell r="B49">
            <v>55</v>
          </cell>
          <cell r="C49">
            <v>47</v>
          </cell>
          <cell r="D49">
            <v>53</v>
          </cell>
          <cell r="E49">
            <v>53</v>
          </cell>
          <cell r="F49">
            <v>47</v>
          </cell>
          <cell r="G49">
            <v>57</v>
          </cell>
          <cell r="H49">
            <v>59</v>
          </cell>
          <cell r="I49">
            <v>49</v>
          </cell>
          <cell r="J49">
            <v>41</v>
          </cell>
          <cell r="K49">
            <v>55</v>
          </cell>
          <cell r="L49">
            <v>51</v>
          </cell>
          <cell r="M49">
            <v>42</v>
          </cell>
          <cell r="N49">
            <v>48</v>
          </cell>
          <cell r="O49">
            <v>58</v>
          </cell>
          <cell r="P49">
            <v>53</v>
          </cell>
          <cell r="Q49">
            <v>45</v>
          </cell>
          <cell r="R49">
            <v>51</v>
          </cell>
          <cell r="S49">
            <v>51</v>
          </cell>
          <cell r="T49">
            <v>59</v>
          </cell>
          <cell r="U49">
            <v>54</v>
          </cell>
          <cell r="V49">
            <v>63</v>
          </cell>
          <cell r="W49">
            <v>56</v>
          </cell>
          <cell r="X49">
            <v>47</v>
          </cell>
          <cell r="Y49">
            <v>50</v>
          </cell>
          <cell r="Z49">
            <v>53</v>
          </cell>
          <cell r="AA49">
            <v>47</v>
          </cell>
          <cell r="AB49">
            <v>55</v>
          </cell>
          <cell r="AC49">
            <v>66</v>
          </cell>
          <cell r="AD49">
            <v>56</v>
          </cell>
          <cell r="AE49">
            <v>47</v>
          </cell>
        </row>
        <row r="50">
          <cell r="B50">
            <v>51</v>
          </cell>
          <cell r="C50">
            <v>34</v>
          </cell>
          <cell r="D50">
            <v>39</v>
          </cell>
          <cell r="E50">
            <v>41</v>
          </cell>
          <cell r="F50">
            <v>44</v>
          </cell>
          <cell r="G50">
            <v>57</v>
          </cell>
          <cell r="H50">
            <v>55</v>
          </cell>
          <cell r="I50">
            <v>46</v>
          </cell>
          <cell r="J50">
            <v>30</v>
          </cell>
          <cell r="K50">
            <v>44</v>
          </cell>
          <cell r="L50">
            <v>38</v>
          </cell>
          <cell r="M50">
            <v>39</v>
          </cell>
          <cell r="N50">
            <v>42</v>
          </cell>
          <cell r="O50">
            <v>48</v>
          </cell>
          <cell r="P50">
            <v>50</v>
          </cell>
          <cell r="Q50">
            <v>33</v>
          </cell>
          <cell r="R50">
            <v>37</v>
          </cell>
          <cell r="S50">
            <v>39</v>
          </cell>
          <cell r="T50">
            <v>49</v>
          </cell>
          <cell r="U50">
            <v>50</v>
          </cell>
          <cell r="V50">
            <v>52</v>
          </cell>
          <cell r="W50">
            <v>51</v>
          </cell>
          <cell r="X50">
            <v>34</v>
          </cell>
          <cell r="Y50">
            <v>57</v>
          </cell>
          <cell r="Z50">
            <v>47</v>
          </cell>
          <cell r="AA50">
            <v>44</v>
          </cell>
          <cell r="AB50">
            <v>47</v>
          </cell>
          <cell r="AC50">
            <v>54</v>
          </cell>
          <cell r="AD50">
            <v>51</v>
          </cell>
          <cell r="AE50">
            <v>35</v>
          </cell>
        </row>
        <row r="51">
          <cell r="B51">
            <v>38</v>
          </cell>
          <cell r="C51">
            <v>32</v>
          </cell>
          <cell r="D51">
            <v>30</v>
          </cell>
          <cell r="E51">
            <v>32</v>
          </cell>
          <cell r="F51">
            <v>29</v>
          </cell>
          <cell r="G51">
            <v>37</v>
          </cell>
          <cell r="H51">
            <v>51</v>
          </cell>
          <cell r="I51">
            <v>33</v>
          </cell>
          <cell r="J51">
            <v>35</v>
          </cell>
          <cell r="K51">
            <v>39</v>
          </cell>
          <cell r="L51">
            <v>25</v>
          </cell>
          <cell r="M51">
            <v>26</v>
          </cell>
          <cell r="N51">
            <v>35</v>
          </cell>
          <cell r="O51">
            <v>39</v>
          </cell>
          <cell r="P51">
            <v>35</v>
          </cell>
          <cell r="Q51">
            <v>30</v>
          </cell>
          <cell r="R51">
            <v>31</v>
          </cell>
          <cell r="S51">
            <v>34</v>
          </cell>
          <cell r="T51">
            <v>41</v>
          </cell>
          <cell r="U51">
            <v>40</v>
          </cell>
          <cell r="V51">
            <v>41</v>
          </cell>
          <cell r="W51">
            <v>37</v>
          </cell>
          <cell r="X51">
            <v>32</v>
          </cell>
          <cell r="Y51">
            <v>41</v>
          </cell>
          <cell r="Z51">
            <v>28</v>
          </cell>
          <cell r="AA51">
            <v>29</v>
          </cell>
          <cell r="AB51">
            <v>40</v>
          </cell>
          <cell r="AC51">
            <v>40</v>
          </cell>
          <cell r="AD51">
            <v>37</v>
          </cell>
          <cell r="AE51">
            <v>31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FD51"/>
  <sheetViews>
    <sheetView zoomScale="70" zoomScaleNormal="70" workbookViewId="0">
      <selection activeCell="H36" sqref="H36"/>
    </sheetView>
  </sheetViews>
  <sheetFormatPr defaultRowHeight="15" x14ac:dyDescent="0.25"/>
  <cols>
    <col min="1" max="1" width="8.7109375" style="1" bestFit="1" customWidth="1"/>
    <col min="2" max="3" width="7.140625" style="1" bestFit="1" customWidth="1"/>
    <col min="4" max="4" width="6.5703125" style="1" bestFit="1" customWidth="1"/>
    <col min="5" max="5" width="5.7109375" style="1" bestFit="1" customWidth="1"/>
    <col min="6" max="6" width="6.42578125" style="1" bestFit="1" customWidth="1"/>
    <col min="7" max="7" width="5.7109375" style="1" customWidth="1"/>
    <col min="8" max="8" width="8.7109375" style="1" bestFit="1" customWidth="1"/>
    <col min="9" max="14" width="7.140625" style="28" bestFit="1" customWidth="1"/>
    <col min="15" max="15" width="8.7109375" style="1" bestFit="1" customWidth="1"/>
    <col min="16" max="16" width="6.42578125" style="29" bestFit="1" customWidth="1"/>
    <col min="17" max="17" width="7.140625" style="29" bestFit="1" customWidth="1"/>
    <col min="18" max="20" width="6.42578125" style="29" bestFit="1" customWidth="1"/>
    <col min="21" max="21" width="6.42578125" style="29" customWidth="1"/>
    <col min="22" max="22" width="8.7109375" style="20" bestFit="1" customWidth="1"/>
    <col min="23" max="23" width="11" style="29" bestFit="1" customWidth="1"/>
    <col min="24" max="24" width="7.140625" style="29" bestFit="1" customWidth="1"/>
    <col min="25" max="25" width="7.42578125" style="29" bestFit="1" customWidth="1"/>
    <col min="26" max="26" width="5.7109375" style="29" bestFit="1" customWidth="1"/>
    <col min="27" max="27" width="5" style="29" bestFit="1" customWidth="1"/>
    <col min="28" max="28" width="4.42578125" style="29" customWidth="1"/>
    <col min="29" max="29" width="8.7109375" style="20" bestFit="1" customWidth="1"/>
    <col min="30" max="30" width="8.140625" style="28" bestFit="1" customWidth="1"/>
    <col min="31" max="31" width="7.42578125" style="28" customWidth="1"/>
    <col min="32" max="32" width="7.42578125" style="28" bestFit="1" customWidth="1"/>
    <col min="33" max="33" width="7.7109375" style="28" bestFit="1" customWidth="1"/>
    <col min="34" max="34" width="7.85546875" style="28" bestFit="1" customWidth="1"/>
    <col min="35" max="35" width="7.85546875" style="28" customWidth="1"/>
    <col min="36" max="36" width="8.7109375" style="1" bestFit="1" customWidth="1"/>
    <col min="37" max="37" width="6" style="1" bestFit="1" customWidth="1"/>
    <col min="38" max="38" width="6" style="1" customWidth="1"/>
    <col min="39" max="42" width="6" style="1" bestFit="1" customWidth="1"/>
    <col min="43" max="43" width="11.140625" style="1" hidden="1" customWidth="1"/>
    <col min="44" max="49" width="9.140625" style="1" hidden="1" customWidth="1"/>
    <col min="50" max="50" width="11.5703125" style="1" bestFit="1" customWidth="1"/>
    <col min="51" max="16383" width="9.140625" style="1"/>
    <col min="16384" max="16384" width="3.85546875" style="1" bestFit="1" customWidth="1"/>
  </cols>
  <sheetData>
    <row r="1" spans="1:50 16384:16384" s="10" customFormat="1" x14ac:dyDescent="0.25">
      <c r="A1" s="52" t="s">
        <v>3</v>
      </c>
      <c r="B1" s="52"/>
      <c r="C1" s="52"/>
      <c r="D1" s="52"/>
      <c r="E1" s="52"/>
      <c r="F1" s="52"/>
      <c r="G1" s="53"/>
      <c r="H1" s="54" t="s">
        <v>1</v>
      </c>
      <c r="I1" s="52"/>
      <c r="J1" s="52"/>
      <c r="K1" s="52"/>
      <c r="L1" s="52"/>
      <c r="M1" s="52"/>
      <c r="N1" s="53"/>
      <c r="O1" s="54" t="s">
        <v>19</v>
      </c>
      <c r="P1" s="52"/>
      <c r="Q1" s="52"/>
      <c r="R1" s="52"/>
      <c r="S1" s="52"/>
      <c r="T1" s="52"/>
      <c r="U1" s="53"/>
      <c r="V1" s="54" t="s">
        <v>11</v>
      </c>
      <c r="W1" s="52"/>
      <c r="X1" s="52"/>
      <c r="Y1" s="52"/>
      <c r="Z1" s="52"/>
      <c r="AA1" s="52"/>
      <c r="AB1" s="53"/>
      <c r="AC1" s="54" t="s">
        <v>20</v>
      </c>
      <c r="AD1" s="52"/>
      <c r="AE1" s="52"/>
      <c r="AF1" s="52"/>
      <c r="AG1" s="52"/>
      <c r="AH1" s="52"/>
      <c r="AI1" s="53"/>
      <c r="AJ1" s="54" t="s">
        <v>12</v>
      </c>
      <c r="AK1" s="52"/>
      <c r="AL1" s="52"/>
      <c r="AM1" s="52"/>
      <c r="AN1" s="52"/>
      <c r="AO1" s="52"/>
      <c r="AP1" s="53"/>
      <c r="AQ1" s="54" t="s">
        <v>5</v>
      </c>
      <c r="AR1" s="52"/>
      <c r="AS1" s="52"/>
      <c r="AT1" s="52"/>
      <c r="AU1" s="52"/>
      <c r="AV1" s="52"/>
      <c r="AW1" s="53"/>
      <c r="AX1" s="55">
        <f ca="1">TODAY()</f>
        <v>45965</v>
      </c>
    </row>
    <row r="2" spans="1:50 16384:16384" s="10" customFormat="1" x14ac:dyDescent="0.25">
      <c r="A2" s="15" t="s">
        <v>0</v>
      </c>
      <c r="B2" s="16">
        <v>247</v>
      </c>
      <c r="C2" s="16" t="s">
        <v>37</v>
      </c>
      <c r="D2" s="26" t="s">
        <v>41</v>
      </c>
      <c r="E2" s="16" t="s">
        <v>8</v>
      </c>
      <c r="F2" s="16" t="s">
        <v>9</v>
      </c>
      <c r="G2" s="16" t="s">
        <v>10</v>
      </c>
      <c r="H2" s="15" t="s">
        <v>0</v>
      </c>
      <c r="I2" s="26">
        <v>247</v>
      </c>
      <c r="J2" s="16" t="s">
        <v>37</v>
      </c>
      <c r="K2" s="26" t="s">
        <v>41</v>
      </c>
      <c r="L2" s="26" t="s">
        <v>8</v>
      </c>
      <c r="M2" s="26" t="s">
        <v>9</v>
      </c>
      <c r="N2" s="26" t="s">
        <v>10</v>
      </c>
      <c r="O2" s="15" t="s">
        <v>0</v>
      </c>
      <c r="P2" s="26">
        <v>247</v>
      </c>
      <c r="Q2" s="16" t="s">
        <v>37</v>
      </c>
      <c r="R2" s="26" t="s">
        <v>41</v>
      </c>
      <c r="S2" s="26" t="s">
        <v>8</v>
      </c>
      <c r="T2" s="26" t="s">
        <v>9</v>
      </c>
      <c r="U2" s="26" t="s">
        <v>10</v>
      </c>
      <c r="V2" s="15" t="s">
        <v>0</v>
      </c>
      <c r="W2" s="26">
        <v>247</v>
      </c>
      <c r="X2" s="16" t="s">
        <v>37</v>
      </c>
      <c r="Y2" s="26" t="s">
        <v>41</v>
      </c>
      <c r="Z2" s="26" t="s">
        <v>8</v>
      </c>
      <c r="AA2" s="26" t="s">
        <v>9</v>
      </c>
      <c r="AB2" s="26" t="s">
        <v>10</v>
      </c>
      <c r="AC2" s="15" t="s">
        <v>0</v>
      </c>
      <c r="AD2" s="26">
        <v>247</v>
      </c>
      <c r="AE2" s="16" t="s">
        <v>37</v>
      </c>
      <c r="AF2" s="26" t="s">
        <v>41</v>
      </c>
      <c r="AG2" s="26" t="s">
        <v>8</v>
      </c>
      <c r="AH2" s="26" t="s">
        <v>9</v>
      </c>
      <c r="AI2" s="26" t="s">
        <v>10</v>
      </c>
      <c r="AJ2" s="15" t="s">
        <v>0</v>
      </c>
      <c r="AK2" s="16">
        <v>247</v>
      </c>
      <c r="AL2" s="16" t="s">
        <v>37</v>
      </c>
      <c r="AM2" s="16" t="s">
        <v>7</v>
      </c>
      <c r="AN2" s="16" t="s">
        <v>8</v>
      </c>
      <c r="AO2" s="16" t="s">
        <v>9</v>
      </c>
      <c r="AP2" s="16" t="s">
        <v>10</v>
      </c>
      <c r="AQ2" s="15" t="s">
        <v>0</v>
      </c>
      <c r="AR2" s="33">
        <v>247</v>
      </c>
      <c r="AS2" s="33" t="s">
        <v>6</v>
      </c>
      <c r="AT2" s="33" t="s">
        <v>7</v>
      </c>
      <c r="AU2" s="33" t="s">
        <v>8</v>
      </c>
      <c r="AV2" s="33" t="s">
        <v>9</v>
      </c>
      <c r="AW2" s="33" t="s">
        <v>10</v>
      </c>
      <c r="AX2" s="55"/>
    </row>
    <row r="3" spans="1:50 16384:16384" x14ac:dyDescent="0.25">
      <c r="A3" s="15">
        <v>0</v>
      </c>
      <c r="B3" s="17">
        <v>0.79</v>
      </c>
      <c r="C3" s="17">
        <v>1</v>
      </c>
      <c r="D3" s="17">
        <v>1</v>
      </c>
      <c r="E3" s="17">
        <v>0.47</v>
      </c>
      <c r="F3" s="17">
        <v>0.15</v>
      </c>
      <c r="G3" s="17" t="s">
        <v>36</v>
      </c>
      <c r="H3" s="15">
        <v>0</v>
      </c>
      <c r="I3" s="2">
        <v>40</v>
      </c>
      <c r="J3" s="2">
        <v>8</v>
      </c>
      <c r="K3" s="2">
        <v>23</v>
      </c>
      <c r="L3" s="2">
        <v>54</v>
      </c>
      <c r="M3" s="2">
        <v>59</v>
      </c>
      <c r="N3" s="27" t="s">
        <v>36</v>
      </c>
      <c r="O3" s="15">
        <v>0</v>
      </c>
      <c r="P3" s="27">
        <v>91</v>
      </c>
      <c r="Q3" s="27">
        <v>49</v>
      </c>
      <c r="R3" s="27">
        <v>99</v>
      </c>
      <c r="S3" s="27">
        <v>95</v>
      </c>
      <c r="T3" s="27">
        <v>72</v>
      </c>
      <c r="U3" s="27" t="s">
        <v>36</v>
      </c>
      <c r="V3" s="15">
        <v>0</v>
      </c>
      <c r="W3" s="50">
        <v>15</v>
      </c>
      <c r="X3" s="50">
        <v>7</v>
      </c>
      <c r="Y3" s="50">
        <v>8</v>
      </c>
      <c r="Z3" s="50">
        <v>12</v>
      </c>
      <c r="AA3" s="50">
        <v>14</v>
      </c>
      <c r="AB3" s="27" t="s">
        <v>36</v>
      </c>
      <c r="AC3" s="15">
        <v>0</v>
      </c>
      <c r="AD3" s="18">
        <v>0.3034722222222222</v>
      </c>
      <c r="AE3" s="18">
        <v>0.13472222222222222</v>
      </c>
      <c r="AF3" s="18">
        <v>0.16111111111111112</v>
      </c>
      <c r="AG3" s="18">
        <v>0.22777777777777777</v>
      </c>
      <c r="AH3" s="18">
        <v>0.29166666666666669</v>
      </c>
      <c r="AI3" s="50" t="s">
        <v>36</v>
      </c>
      <c r="AJ3" s="15">
        <v>0</v>
      </c>
      <c r="AK3" s="2">
        <f ca="1">HLOOKUP($AX$1,[1]EU!$B$2:$AF$51,XFD3,0)</f>
        <v>36</v>
      </c>
      <c r="AL3" s="2">
        <f ca="1">HLOOKUP($AX$1,'[1]Enterprise Aspiring'!$B$2:$AF$51,XFD3,0)</f>
        <v>11</v>
      </c>
      <c r="AM3" s="2">
        <f ca="1">HLOOKUP($AX$1,'[1]Red Cash'!$B$2:$AF$51,XFD3,0)</f>
        <v>36</v>
      </c>
      <c r="AN3" s="2">
        <f ca="1">HLOOKUP($AX$1,[1]Aspiring!$B$2:$AF$51,XFD3,0)</f>
        <v>36</v>
      </c>
      <c r="AO3" s="2">
        <f ca="1">HLOOKUP($AX$1,[1]ICC!$B$2:$AF$51,XFD3,0)</f>
        <v>49</v>
      </c>
      <c r="AP3" s="2">
        <f ca="1">HLOOKUP($AX$1,[1]CM!$B$2:$AF$51,XFD3,0)</f>
        <v>0</v>
      </c>
      <c r="AQ3" s="32">
        <v>0</v>
      </c>
      <c r="AR3" s="34" t="str">
        <f ca="1">EU!N2</f>
        <v>Achived</v>
      </c>
      <c r="AS3" s="34" t="str">
        <f ca="1">'R.EU'!N2</f>
        <v>Wait</v>
      </c>
      <c r="AT3" s="34" t="str">
        <f ca="1">'Red Cash'!N2</f>
        <v>Wait</v>
      </c>
      <c r="AU3" s="34" t="str">
        <f ca="1">Aspiring!N2</f>
        <v>Achived</v>
      </c>
      <c r="AV3" s="34" t="str">
        <f ca="1">ICC!N2</f>
        <v>Achived</v>
      </c>
      <c r="AW3" s="34" t="str">
        <f>'SME-CM'!N2</f>
        <v/>
      </c>
      <c r="XFD3" s="10">
        <v>3</v>
      </c>
    </row>
    <row r="4" spans="1:50 16384:16384" x14ac:dyDescent="0.25">
      <c r="A4" s="15">
        <v>2.0833333333333332E-2</v>
      </c>
      <c r="B4" s="17">
        <v>1</v>
      </c>
      <c r="C4" s="17">
        <v>1</v>
      </c>
      <c r="D4" s="17">
        <v>1</v>
      </c>
      <c r="E4" s="17">
        <v>1</v>
      </c>
      <c r="F4" s="17">
        <v>0.34</v>
      </c>
      <c r="G4" s="17" t="s">
        <v>36</v>
      </c>
      <c r="H4" s="15">
        <v>2.0833333333333332E-2</v>
      </c>
      <c r="I4" s="2">
        <v>24</v>
      </c>
      <c r="J4" s="2">
        <v>11</v>
      </c>
      <c r="K4" s="2">
        <v>17</v>
      </c>
      <c r="L4" s="2">
        <v>38</v>
      </c>
      <c r="M4" s="2">
        <v>54</v>
      </c>
      <c r="N4" s="27" t="s">
        <v>36</v>
      </c>
      <c r="O4" s="15">
        <v>2.0833333333333332E-2</v>
      </c>
      <c r="P4" s="27">
        <v>89</v>
      </c>
      <c r="Q4" s="27">
        <v>65</v>
      </c>
      <c r="R4" s="27">
        <v>60</v>
      </c>
      <c r="S4" s="27">
        <v>73</v>
      </c>
      <c r="T4" s="27">
        <v>98</v>
      </c>
      <c r="U4" s="27" t="s">
        <v>36</v>
      </c>
      <c r="V4" s="15">
        <v>2.0833333333333332E-2</v>
      </c>
      <c r="W4" s="50">
        <v>16</v>
      </c>
      <c r="X4" s="50">
        <v>6</v>
      </c>
      <c r="Y4" s="50">
        <v>9</v>
      </c>
      <c r="Z4" s="50">
        <v>13</v>
      </c>
      <c r="AA4" s="50">
        <v>13</v>
      </c>
      <c r="AB4" s="27" t="s">
        <v>36</v>
      </c>
      <c r="AC4" s="15">
        <v>2.0833333333333332E-2</v>
      </c>
      <c r="AD4" s="18">
        <v>0.30069444444444443</v>
      </c>
      <c r="AE4" s="18">
        <v>0.13819444444444443</v>
      </c>
      <c r="AF4" s="18">
        <v>0.18541666666666667</v>
      </c>
      <c r="AG4" s="18">
        <v>0.27499999999999997</v>
      </c>
      <c r="AH4" s="50">
        <v>0.33263888888888887</v>
      </c>
      <c r="AI4" s="27" t="s">
        <v>36</v>
      </c>
      <c r="AJ4" s="15">
        <v>2.0833333333333332E-2</v>
      </c>
      <c r="AK4" s="2">
        <f ca="1">HLOOKUP($AX$1,[1]EU!$B$2:$AF$51,XFD4,0)</f>
        <v>33</v>
      </c>
      <c r="AL4" s="2">
        <f ca="1">HLOOKUP($AX$1,'[1]Enterprise Aspiring'!$B$2:$AF$51,XFD4,0)</f>
        <v>10</v>
      </c>
      <c r="AM4" s="2">
        <f ca="1">HLOOKUP($AX$1,'[1]Red Cash'!$B$2:$AF$51,XFD4,0)</f>
        <v>30</v>
      </c>
      <c r="AN4" s="2">
        <f ca="1">HLOOKUP($AX$1,[1]Aspiring!$B$2:$AF$51,XFD4,0)</f>
        <v>32</v>
      </c>
      <c r="AO4" s="2">
        <f ca="1">HLOOKUP($AX$1,[1]ICC!$B$2:$AF$51,XFD4,0)</f>
        <v>49</v>
      </c>
      <c r="AP4" s="2">
        <f ca="1">HLOOKUP($AX$1,[1]CM!$B$2:$AF$51,XFD4,0)</f>
        <v>0</v>
      </c>
      <c r="AQ4" s="32">
        <v>2.0833333333333332E-2</v>
      </c>
      <c r="AR4" s="34" t="str">
        <f ca="1">EU!N3</f>
        <v>Wait</v>
      </c>
      <c r="AS4" s="34" t="str">
        <f ca="1">'R.EU'!N3</f>
        <v>Achived</v>
      </c>
      <c r="AT4" s="34" t="str">
        <f ca="1">'Red Cash'!N3</f>
        <v>Wait</v>
      </c>
      <c r="AU4" s="34" t="str">
        <f ca="1">Aspiring!N3</f>
        <v>Achived</v>
      </c>
      <c r="AV4" s="34" t="str">
        <f ca="1">ICC!N3</f>
        <v>Achived</v>
      </c>
      <c r="AW4" s="34" t="str">
        <f>'SME-CM'!N3</f>
        <v/>
      </c>
      <c r="XFD4" s="10">
        <f t="shared" ref="XFD4:XFD50" si="0">XFD3+1</f>
        <v>4</v>
      </c>
    </row>
    <row r="5" spans="1:50 16384:16384" x14ac:dyDescent="0.25">
      <c r="A5" s="15">
        <v>4.1666666666666664E-2</v>
      </c>
      <c r="B5" s="17">
        <v>1</v>
      </c>
      <c r="C5" s="17">
        <v>1</v>
      </c>
      <c r="D5" s="17">
        <v>1</v>
      </c>
      <c r="E5" s="17">
        <v>0.78</v>
      </c>
      <c r="F5" s="17">
        <v>0.67</v>
      </c>
      <c r="G5" s="17" t="s">
        <v>36</v>
      </c>
      <c r="H5" s="15">
        <v>4.1666666666666664E-2</v>
      </c>
      <c r="I5" s="37">
        <v>21</v>
      </c>
      <c r="J5" s="37">
        <v>4</v>
      </c>
      <c r="K5" s="37">
        <v>1</v>
      </c>
      <c r="L5" s="37">
        <v>23</v>
      </c>
      <c r="M5" s="37">
        <v>47</v>
      </c>
      <c r="N5" s="27" t="s">
        <v>36</v>
      </c>
      <c r="O5" s="15">
        <v>4.1666666666666664E-2</v>
      </c>
      <c r="P5" s="50">
        <v>90</v>
      </c>
      <c r="Q5" s="50">
        <v>53</v>
      </c>
      <c r="R5" s="50">
        <v>52</v>
      </c>
      <c r="S5" s="50">
        <v>80</v>
      </c>
      <c r="T5" s="50">
        <v>95</v>
      </c>
      <c r="U5" s="27" t="s">
        <v>36</v>
      </c>
      <c r="V5" s="15">
        <v>4.1666666666666664E-2</v>
      </c>
      <c r="W5" s="27">
        <v>11</v>
      </c>
      <c r="X5" s="27">
        <v>6</v>
      </c>
      <c r="Y5" s="27">
        <v>8</v>
      </c>
      <c r="Z5" s="27">
        <v>10</v>
      </c>
      <c r="AA5" s="27">
        <v>10</v>
      </c>
      <c r="AB5" s="27" t="s">
        <v>36</v>
      </c>
      <c r="AC5" s="15">
        <v>4.1666666666666664E-2</v>
      </c>
      <c r="AD5" s="18">
        <v>0.23541666666666669</v>
      </c>
      <c r="AE5" s="18">
        <v>0.12222222222222223</v>
      </c>
      <c r="AF5" s="18">
        <v>0.15069444444444444</v>
      </c>
      <c r="AG5" s="18">
        <v>0.19236111111111112</v>
      </c>
      <c r="AH5" s="18">
        <v>0.21180555555555555</v>
      </c>
      <c r="AI5" s="50" t="s">
        <v>36</v>
      </c>
      <c r="AJ5" s="15">
        <v>4.1666666666666664E-2</v>
      </c>
      <c r="AK5" s="2">
        <f ca="1">HLOOKUP($AX$1,[1]EU!$B$2:$AF$51,XFD5,0)</f>
        <v>19</v>
      </c>
      <c r="AL5" s="2">
        <f ca="1">HLOOKUP($AX$1,'[1]Enterprise Aspiring'!$B$2:$AF$51,XFD5,0)</f>
        <v>8</v>
      </c>
      <c r="AM5" s="2">
        <f ca="1">HLOOKUP($AX$1,'[1]Red Cash'!$B$2:$AF$51,XFD5,0)</f>
        <v>25</v>
      </c>
      <c r="AN5" s="2">
        <f ca="1">HLOOKUP($AX$1,[1]Aspiring!$B$2:$AF$51,XFD5,0)</f>
        <v>16</v>
      </c>
      <c r="AO5" s="2">
        <f ca="1">HLOOKUP($AX$1,[1]ICC!$B$2:$AF$51,XFD5,0)</f>
        <v>40</v>
      </c>
      <c r="AP5" s="2">
        <f ca="1">HLOOKUP($AX$1,[1]CM!$B$2:$AF$51,XFD5,0)</f>
        <v>0</v>
      </c>
      <c r="AQ5" s="32">
        <v>4.1666666666666664E-2</v>
      </c>
      <c r="AR5" s="34" t="str">
        <f ca="1">EU!N4</f>
        <v>Achived</v>
      </c>
      <c r="AS5" s="34" t="str">
        <f ca="1">'R.EU'!N4</f>
        <v>Wait</v>
      </c>
      <c r="AT5" s="34" t="str">
        <f ca="1">'Red Cash'!N4</f>
        <v>Wait</v>
      </c>
      <c r="AU5" s="34" t="str">
        <f ca="1">Aspiring!N4</f>
        <v>Achived</v>
      </c>
      <c r="AV5" s="34" t="str">
        <f ca="1">ICC!N4</f>
        <v>Achived</v>
      </c>
      <c r="AW5" s="34" t="str">
        <f>'SME-CM'!N4</f>
        <v/>
      </c>
      <c r="XFD5" s="10">
        <f t="shared" si="0"/>
        <v>5</v>
      </c>
    </row>
    <row r="6" spans="1:50 16384:16384" x14ac:dyDescent="0.25">
      <c r="A6" s="15">
        <v>6.25E-2</v>
      </c>
      <c r="B6" s="17">
        <v>1</v>
      </c>
      <c r="C6" s="17">
        <v>0.9</v>
      </c>
      <c r="D6" s="17">
        <v>1</v>
      </c>
      <c r="E6" s="17">
        <v>1</v>
      </c>
      <c r="F6" s="17">
        <v>0.98</v>
      </c>
      <c r="G6" s="17" t="s">
        <v>36</v>
      </c>
      <c r="H6" s="15">
        <v>6.25E-2</v>
      </c>
      <c r="I6" s="27">
        <v>13</v>
      </c>
      <c r="J6" s="27">
        <v>9</v>
      </c>
      <c r="K6" s="27">
        <v>12</v>
      </c>
      <c r="L6" s="27">
        <v>10</v>
      </c>
      <c r="M6" s="27">
        <v>34</v>
      </c>
      <c r="N6" s="27" t="s">
        <v>36</v>
      </c>
      <c r="O6" s="15">
        <v>6.25E-2</v>
      </c>
      <c r="P6" s="50">
        <v>81</v>
      </c>
      <c r="Q6" s="50">
        <v>44</v>
      </c>
      <c r="R6" s="50">
        <v>46</v>
      </c>
      <c r="S6" s="50">
        <v>77</v>
      </c>
      <c r="T6" s="50">
        <v>84</v>
      </c>
      <c r="U6" s="27" t="s">
        <v>36</v>
      </c>
      <c r="V6" s="15">
        <v>6.25E-2</v>
      </c>
      <c r="W6" s="27">
        <v>12</v>
      </c>
      <c r="X6" s="27">
        <v>4</v>
      </c>
      <c r="Y6" s="27">
        <v>7</v>
      </c>
      <c r="Z6" s="27">
        <v>9</v>
      </c>
      <c r="AA6" s="27">
        <v>11</v>
      </c>
      <c r="AB6" s="50" t="s">
        <v>36</v>
      </c>
      <c r="AC6" s="15">
        <v>6.25E-2</v>
      </c>
      <c r="AD6" s="18">
        <v>0.25625000000000003</v>
      </c>
      <c r="AE6" s="18">
        <v>9.9999999999999992E-2</v>
      </c>
      <c r="AF6" s="18">
        <v>0.15</v>
      </c>
      <c r="AG6" s="18">
        <v>0.17847222222222223</v>
      </c>
      <c r="AH6" s="18">
        <v>0.22291666666666665</v>
      </c>
      <c r="AI6" s="50" t="s">
        <v>36</v>
      </c>
      <c r="AJ6" s="15">
        <v>6.25E-2</v>
      </c>
      <c r="AK6" s="2">
        <f ca="1">HLOOKUP($AX$1,[1]EU!$B$2:$AF$51,XFD6,0)</f>
        <v>16</v>
      </c>
      <c r="AL6" s="2">
        <f ca="1">HLOOKUP($AX$1,'[1]Enterprise Aspiring'!$B$2:$AF$51,XFD6,0)</f>
        <v>9</v>
      </c>
      <c r="AM6" s="2">
        <f ca="1">HLOOKUP($AX$1,'[1]Red Cash'!$B$2:$AF$51,XFD6,0)</f>
        <v>19</v>
      </c>
      <c r="AN6" s="2">
        <f ca="1">HLOOKUP($AX$1,[1]Aspiring!$B$2:$AF$51,XFD6,0)</f>
        <v>18</v>
      </c>
      <c r="AO6" s="2">
        <f ca="1">HLOOKUP($AX$1,[1]ICC!$B$2:$AF$51,XFD6,0)</f>
        <v>30</v>
      </c>
      <c r="AP6" s="2">
        <f ca="1">HLOOKUP($AX$1,[1]CM!$B$2:$AF$51,XFD6,0)</f>
        <v>0</v>
      </c>
      <c r="AQ6" s="32">
        <v>6.25E-2</v>
      </c>
      <c r="AR6" s="34" t="str">
        <f ca="1">EU!N5</f>
        <v>Wait</v>
      </c>
      <c r="AS6" s="34" t="str">
        <f ca="1">'R.EU'!N5</f>
        <v>Achived</v>
      </c>
      <c r="AT6" s="34" t="str">
        <f ca="1">'Red Cash'!N5</f>
        <v>Wait</v>
      </c>
      <c r="AU6" s="34" t="str">
        <f ca="1">Aspiring!N5</f>
        <v>Wait</v>
      </c>
      <c r="AV6" s="34" t="str">
        <f ca="1">ICC!N5</f>
        <v>Achived</v>
      </c>
      <c r="AW6" s="34" t="str">
        <f>'SME-CM'!N5</f>
        <v/>
      </c>
      <c r="XFD6" s="10">
        <f t="shared" si="0"/>
        <v>6</v>
      </c>
    </row>
    <row r="7" spans="1:50 16384:16384" x14ac:dyDescent="0.25">
      <c r="A7" s="15">
        <v>8.3333333333333329E-2</v>
      </c>
      <c r="B7" s="17">
        <v>1</v>
      </c>
      <c r="C7" s="17">
        <v>1</v>
      </c>
      <c r="D7" s="17">
        <v>1</v>
      </c>
      <c r="E7" s="17">
        <v>1</v>
      </c>
      <c r="F7" s="17">
        <v>0.94</v>
      </c>
      <c r="G7" s="17" t="s">
        <v>36</v>
      </c>
      <c r="H7" s="15">
        <v>8.3333333333333329E-2</v>
      </c>
      <c r="I7" s="27">
        <v>9</v>
      </c>
      <c r="J7" s="27">
        <v>5</v>
      </c>
      <c r="K7" s="27">
        <v>9</v>
      </c>
      <c r="L7" s="27">
        <v>11</v>
      </c>
      <c r="M7" s="27">
        <v>43</v>
      </c>
      <c r="N7" s="27" t="s">
        <v>36</v>
      </c>
      <c r="O7" s="15">
        <v>8.3333333333333329E-2</v>
      </c>
      <c r="P7" s="27">
        <v>87</v>
      </c>
      <c r="Q7" s="27">
        <v>34</v>
      </c>
      <c r="R7" s="27">
        <v>52</v>
      </c>
      <c r="S7" s="27">
        <v>66</v>
      </c>
      <c r="T7" s="27">
        <v>80</v>
      </c>
      <c r="U7" s="27" t="s">
        <v>36</v>
      </c>
      <c r="V7" s="15">
        <v>8.3333333333333329E-2</v>
      </c>
      <c r="W7" s="50">
        <v>8</v>
      </c>
      <c r="X7" s="50">
        <v>4</v>
      </c>
      <c r="Y7" s="50">
        <v>6</v>
      </c>
      <c r="Z7" s="50">
        <v>10</v>
      </c>
      <c r="AA7" s="50">
        <v>10</v>
      </c>
      <c r="AB7" s="50" t="s">
        <v>36</v>
      </c>
      <c r="AC7" s="15">
        <v>8.3333333333333329E-2</v>
      </c>
      <c r="AD7" s="18">
        <v>0.19930555555555554</v>
      </c>
      <c r="AE7" s="18">
        <v>8.2638888888888887E-2</v>
      </c>
      <c r="AF7" s="18">
        <v>0.12291666666666667</v>
      </c>
      <c r="AG7" s="18">
        <v>0.20208333333333331</v>
      </c>
      <c r="AH7" s="18">
        <v>0.30763888888888891</v>
      </c>
      <c r="AI7" s="50" t="s">
        <v>36</v>
      </c>
      <c r="AJ7" s="15">
        <v>8.3333333333333301E-2</v>
      </c>
      <c r="AK7" s="2">
        <f ca="1">HLOOKUP($AX$1,[1]EU!$B$2:$AF$51,XFD7,0)</f>
        <v>13</v>
      </c>
      <c r="AL7" s="2">
        <f ca="1">HLOOKUP($AX$1,'[1]Enterprise Aspiring'!$B$2:$AF$51,XFD7,0)</f>
        <v>5</v>
      </c>
      <c r="AM7" s="2">
        <f ca="1">HLOOKUP($AX$1,'[1]Red Cash'!$B$2:$AF$51,XFD7,0)</f>
        <v>15</v>
      </c>
      <c r="AN7" s="2">
        <f ca="1">HLOOKUP($AX$1,[1]Aspiring!$B$2:$AF$51,XFD7,0)</f>
        <v>19</v>
      </c>
      <c r="AO7" s="2">
        <f ca="1">HLOOKUP($AX$1,[1]ICC!$B$2:$AF$51,XFD7,0)</f>
        <v>24</v>
      </c>
      <c r="AP7" s="2">
        <f ca="1">HLOOKUP($AX$1,[1]CM!$B$2:$AF$51,XFD7,0)</f>
        <v>0</v>
      </c>
      <c r="AQ7" s="32">
        <v>8.3333333333333301E-2</v>
      </c>
      <c r="AR7" s="34" t="str">
        <f ca="1">EU!N6</f>
        <v>Wait</v>
      </c>
      <c r="AS7" s="34" t="str">
        <f ca="1">'R.EU'!N6</f>
        <v>Achived</v>
      </c>
      <c r="AT7" s="34" t="str">
        <f ca="1">'Red Cash'!N6</f>
        <v>Wait</v>
      </c>
      <c r="AU7" s="34" t="str">
        <f ca="1">Aspiring!N6</f>
        <v>Wait</v>
      </c>
      <c r="AV7" s="34" t="str">
        <f ca="1">ICC!N6</f>
        <v>Achived</v>
      </c>
      <c r="AW7" s="34" t="str">
        <f>'SME-CM'!N6</f>
        <v/>
      </c>
      <c r="XFD7" s="10">
        <f t="shared" si="0"/>
        <v>7</v>
      </c>
    </row>
    <row r="8" spans="1:50 16384:16384" x14ac:dyDescent="0.25">
      <c r="A8" s="15">
        <v>0.104166666666667</v>
      </c>
      <c r="B8" s="17">
        <v>0.8</v>
      </c>
      <c r="C8" s="17">
        <v>1</v>
      </c>
      <c r="D8" s="17">
        <v>1</v>
      </c>
      <c r="E8" s="17">
        <v>1</v>
      </c>
      <c r="F8" s="17">
        <v>1</v>
      </c>
      <c r="G8" s="17" t="s">
        <v>36</v>
      </c>
      <c r="H8" s="15">
        <v>0.104166666666667</v>
      </c>
      <c r="I8" s="27">
        <v>6</v>
      </c>
      <c r="J8" s="27">
        <v>1</v>
      </c>
      <c r="K8" s="27">
        <v>3</v>
      </c>
      <c r="L8" s="27">
        <v>5</v>
      </c>
      <c r="M8" s="27">
        <v>28</v>
      </c>
      <c r="N8" s="27" t="s">
        <v>36</v>
      </c>
      <c r="O8" s="15">
        <v>0.104166666666667</v>
      </c>
      <c r="P8" s="27">
        <v>79</v>
      </c>
      <c r="Q8" s="27">
        <v>16</v>
      </c>
      <c r="R8" s="27">
        <v>44</v>
      </c>
      <c r="S8" s="27">
        <v>52</v>
      </c>
      <c r="T8" s="27">
        <v>71</v>
      </c>
      <c r="U8" s="27" t="s">
        <v>36</v>
      </c>
      <c r="V8" s="15">
        <v>0.104166666666667</v>
      </c>
      <c r="W8" s="50">
        <v>7</v>
      </c>
      <c r="X8" s="50">
        <v>3</v>
      </c>
      <c r="Y8" s="50">
        <v>6</v>
      </c>
      <c r="Z8" s="50">
        <v>9</v>
      </c>
      <c r="AA8" s="50">
        <v>8</v>
      </c>
      <c r="AB8" s="50" t="s">
        <v>36</v>
      </c>
      <c r="AC8" s="15">
        <v>0.104166666666667</v>
      </c>
      <c r="AD8" s="18">
        <v>0.18263888888888891</v>
      </c>
      <c r="AE8" s="18">
        <v>8.2638888888888887E-2</v>
      </c>
      <c r="AF8" s="18">
        <v>0.12291666666666667</v>
      </c>
      <c r="AG8" s="18">
        <v>0.18958333333333333</v>
      </c>
      <c r="AH8" s="18">
        <v>0.2638888888888889</v>
      </c>
      <c r="AI8" s="50" t="s">
        <v>36</v>
      </c>
      <c r="AJ8" s="15">
        <v>0.104166666666667</v>
      </c>
      <c r="AK8" s="2">
        <f ca="1">HLOOKUP($AX$1,[1]EU!$B$2:$AF$51,XFD8,0)</f>
        <v>11</v>
      </c>
      <c r="AL8" s="2">
        <f ca="1">HLOOKUP($AX$1,'[1]Enterprise Aspiring'!$B$2:$AF$51,XFD8,0)</f>
        <v>2</v>
      </c>
      <c r="AM8" s="2">
        <f ca="1">HLOOKUP($AX$1,'[1]Red Cash'!$B$2:$AF$51,XFD8,0)</f>
        <v>11</v>
      </c>
      <c r="AN8" s="2">
        <f ca="1">HLOOKUP($AX$1,[1]Aspiring!$B$2:$AF$51,XFD8,0)</f>
        <v>13</v>
      </c>
      <c r="AO8" s="2">
        <f ca="1">HLOOKUP($AX$1,[1]ICC!$B$2:$AF$51,XFD8,0)</f>
        <v>19</v>
      </c>
      <c r="AP8" s="2">
        <f ca="1">HLOOKUP($AX$1,[1]CM!$B$2:$AF$51,XFD8,0)</f>
        <v>0</v>
      </c>
      <c r="AQ8" s="32">
        <v>0.104166666666667</v>
      </c>
      <c r="AR8" s="34" t="str">
        <f ca="1">EU!N7</f>
        <v>Wait</v>
      </c>
      <c r="AS8" s="34" t="str">
        <f ca="1">'R.EU'!N7</f>
        <v>Wait</v>
      </c>
      <c r="AT8" s="34" t="str">
        <f ca="1">'Red Cash'!N7</f>
        <v>Wait</v>
      </c>
      <c r="AU8" s="34" t="str">
        <f ca="1">Aspiring!N7</f>
        <v>Wait</v>
      </c>
      <c r="AV8" s="34" t="str">
        <f ca="1">ICC!N7</f>
        <v>Achived</v>
      </c>
      <c r="AW8" s="34" t="str">
        <f>'SME-CM'!N7</f>
        <v/>
      </c>
      <c r="XFD8" s="10">
        <f t="shared" si="0"/>
        <v>8</v>
      </c>
    </row>
    <row r="9" spans="1:50 16384:16384" x14ac:dyDescent="0.25">
      <c r="A9" s="15">
        <v>0.125</v>
      </c>
      <c r="B9" s="17">
        <v>1</v>
      </c>
      <c r="C9" s="17">
        <v>0</v>
      </c>
      <c r="D9" s="17" t="s">
        <v>36</v>
      </c>
      <c r="E9" s="17">
        <v>0.8</v>
      </c>
      <c r="F9" s="17" t="s">
        <v>36</v>
      </c>
      <c r="G9" s="17" t="s">
        <v>36</v>
      </c>
      <c r="H9" s="15">
        <v>0.125</v>
      </c>
      <c r="I9" s="27">
        <v>4</v>
      </c>
      <c r="J9" s="27">
        <v>0</v>
      </c>
      <c r="K9" s="27" t="s">
        <v>36</v>
      </c>
      <c r="L9" s="27">
        <v>6</v>
      </c>
      <c r="M9" s="27" t="s">
        <v>36</v>
      </c>
      <c r="N9" s="27" t="s">
        <v>36</v>
      </c>
      <c r="O9" s="15">
        <v>0.125</v>
      </c>
      <c r="P9" s="27">
        <v>76</v>
      </c>
      <c r="Q9" s="27">
        <v>25</v>
      </c>
      <c r="R9" s="27" t="s">
        <v>36</v>
      </c>
      <c r="S9" s="27">
        <v>60</v>
      </c>
      <c r="T9" s="27" t="s">
        <v>36</v>
      </c>
      <c r="U9" s="27" t="s">
        <v>36</v>
      </c>
      <c r="V9" s="15">
        <v>0.125</v>
      </c>
      <c r="W9" s="50">
        <v>7</v>
      </c>
      <c r="X9" s="50">
        <v>3</v>
      </c>
      <c r="Y9" s="50" t="s">
        <v>36</v>
      </c>
      <c r="Z9" s="50">
        <v>5</v>
      </c>
      <c r="AA9" s="50" t="s">
        <v>36</v>
      </c>
      <c r="AB9" s="50" t="s">
        <v>36</v>
      </c>
      <c r="AC9" s="15">
        <v>0.125</v>
      </c>
      <c r="AD9" s="18">
        <v>0.10972222222222222</v>
      </c>
      <c r="AE9" s="18">
        <v>4.027777777777778E-2</v>
      </c>
      <c r="AF9" s="18" t="s">
        <v>36</v>
      </c>
      <c r="AG9" s="18">
        <v>8.819444444444445E-2</v>
      </c>
      <c r="AH9" s="18" t="s">
        <v>36</v>
      </c>
      <c r="AI9" s="50" t="s">
        <v>36</v>
      </c>
      <c r="AJ9" s="15">
        <v>0.125</v>
      </c>
      <c r="AK9" s="2">
        <f ca="1">HLOOKUP($AX$1,[1]EU!$B$2:$AF$51,XFD9,0)</f>
        <v>5</v>
      </c>
      <c r="AL9" s="2">
        <f ca="1">HLOOKUP($AX$1,'[1]Enterprise Aspiring'!$B$2:$AF$51,XFD9,0)</f>
        <v>4</v>
      </c>
      <c r="AM9" s="2">
        <f ca="1">HLOOKUP($AX$1,'[1]Red Cash'!$B$2:$AF$51,XFD9,0)</f>
        <v>0</v>
      </c>
      <c r="AN9" s="2">
        <f ca="1">HLOOKUP($AX$1,[1]Aspiring!$B$2:$AF$51,XFD9,0)</f>
        <v>11</v>
      </c>
      <c r="AO9" s="2">
        <f ca="1">HLOOKUP($AX$1,[1]ICC!$B$2:$AF$51,XFD9,0)</f>
        <v>0</v>
      </c>
      <c r="AP9" s="2">
        <f ca="1">HLOOKUP($AX$1,[1]CM!$B$2:$AF$51,XFD9,0)</f>
        <v>0</v>
      </c>
      <c r="AQ9" s="32">
        <v>0.125</v>
      </c>
      <c r="AR9" s="34" t="str">
        <f ca="1">EU!N8</f>
        <v>Wait</v>
      </c>
      <c r="AS9" s="34" t="str">
        <f>'R.EU'!N8</f>
        <v>Wait</v>
      </c>
      <c r="AT9" s="34" t="str">
        <f>'Red Cash'!N8</f>
        <v/>
      </c>
      <c r="AU9" s="34" t="str">
        <f ca="1">Aspiring!N8</f>
        <v>Wait</v>
      </c>
      <c r="AV9" s="34" t="str">
        <f>ICC!N8</f>
        <v/>
      </c>
      <c r="AW9" s="34" t="str">
        <f>'SME-CM'!N8</f>
        <v/>
      </c>
      <c r="XFD9" s="10">
        <f>XFD8+1</f>
        <v>9</v>
      </c>
    </row>
    <row r="10" spans="1:50 16384:16384" x14ac:dyDescent="0.25">
      <c r="A10" s="15">
        <v>0.14583333333333301</v>
      </c>
      <c r="B10" s="17">
        <v>1</v>
      </c>
      <c r="C10" s="17">
        <v>0</v>
      </c>
      <c r="D10" s="17" t="s">
        <v>36</v>
      </c>
      <c r="E10" s="17">
        <v>0.84</v>
      </c>
      <c r="F10" s="17" t="s">
        <v>36</v>
      </c>
      <c r="G10" s="17" t="s">
        <v>36</v>
      </c>
      <c r="H10" s="15">
        <v>0.14583333333333301</v>
      </c>
      <c r="I10" s="27">
        <v>7</v>
      </c>
      <c r="J10" s="27">
        <v>0</v>
      </c>
      <c r="K10" s="27" t="s">
        <v>36</v>
      </c>
      <c r="L10" s="27">
        <v>8</v>
      </c>
      <c r="M10" s="27" t="s">
        <v>36</v>
      </c>
      <c r="N10" s="27" t="s">
        <v>36</v>
      </c>
      <c r="O10" s="15">
        <v>0.14583333333333301</v>
      </c>
      <c r="P10" s="27">
        <v>74</v>
      </c>
      <c r="Q10" s="27">
        <v>27</v>
      </c>
      <c r="R10" s="27" t="s">
        <v>36</v>
      </c>
      <c r="S10" s="27">
        <v>63</v>
      </c>
      <c r="T10" s="27" t="s">
        <v>36</v>
      </c>
      <c r="U10" s="27" t="s">
        <v>36</v>
      </c>
      <c r="V10" s="15">
        <v>0.14583333333333301</v>
      </c>
      <c r="W10" s="27">
        <v>7</v>
      </c>
      <c r="X10" s="27">
        <v>3</v>
      </c>
      <c r="Y10" s="27" t="s">
        <v>36</v>
      </c>
      <c r="Z10" s="27">
        <v>5</v>
      </c>
      <c r="AA10" s="27" t="s">
        <v>36</v>
      </c>
      <c r="AB10" s="50" t="s">
        <v>36</v>
      </c>
      <c r="AC10" s="15">
        <v>0.14583333333333301</v>
      </c>
      <c r="AD10" s="18">
        <v>0.1451388888888889</v>
      </c>
      <c r="AE10" s="18">
        <v>5.5555555555555552E-2</v>
      </c>
      <c r="AF10" s="27" t="s">
        <v>36</v>
      </c>
      <c r="AG10" s="18">
        <v>0.11319444444444444</v>
      </c>
      <c r="AH10" s="27" t="s">
        <v>36</v>
      </c>
      <c r="AI10" s="50" t="s">
        <v>36</v>
      </c>
      <c r="AJ10" s="15">
        <v>0.14583333333333301</v>
      </c>
      <c r="AK10" s="2">
        <f ca="1">HLOOKUP($AX$1,[1]EU!$B$2:$AF$51,XFD10,0)</f>
        <v>5</v>
      </c>
      <c r="AL10" s="2">
        <f ca="1">HLOOKUP($AX$1,'[1]Enterprise Aspiring'!$B$2:$AF$51,XFD10,0)</f>
        <v>2</v>
      </c>
      <c r="AM10" s="2">
        <f ca="1">HLOOKUP($AX$1,'[1]Red Cash'!$B$2:$AF$51,XFD10,0)</f>
        <v>0</v>
      </c>
      <c r="AN10" s="2">
        <f ca="1">HLOOKUP($AX$1,[1]Aspiring!$B$2:$AF$51,XFD10,0)</f>
        <v>7</v>
      </c>
      <c r="AO10" s="2">
        <f ca="1">HLOOKUP($AX$1,[1]ICC!$B$2:$AF$51,XFD10,0)</f>
        <v>0</v>
      </c>
      <c r="AP10" s="2">
        <f ca="1">HLOOKUP($AX$1,[1]CM!$B$2:$AF$51,XFD10,0)</f>
        <v>0</v>
      </c>
      <c r="AQ10" s="32">
        <v>0.14583333333333301</v>
      </c>
      <c r="AR10" s="34" t="str">
        <f ca="1">EU!N9</f>
        <v>Achived</v>
      </c>
      <c r="AS10" s="34" t="str">
        <f>'R.EU'!N9</f>
        <v>Wait</v>
      </c>
      <c r="AT10" s="34" t="str">
        <f>'Red Cash'!N9</f>
        <v/>
      </c>
      <c r="AU10" s="34" t="str">
        <f ca="1">Aspiring!N9</f>
        <v>Achived</v>
      </c>
      <c r="AV10" s="34" t="str">
        <f>ICC!N9</f>
        <v/>
      </c>
      <c r="AW10" s="34" t="str">
        <f>'SME-CM'!N9</f>
        <v/>
      </c>
      <c r="XFD10" s="10">
        <f t="shared" si="0"/>
        <v>10</v>
      </c>
    </row>
    <row r="11" spans="1:50 16384:16384" x14ac:dyDescent="0.25">
      <c r="A11" s="15">
        <v>0.16666666666666699</v>
      </c>
      <c r="B11" s="17">
        <v>1</v>
      </c>
      <c r="C11" s="17">
        <v>0</v>
      </c>
      <c r="D11" s="17" t="s">
        <v>36</v>
      </c>
      <c r="E11" s="17">
        <v>1</v>
      </c>
      <c r="F11" s="17" t="s">
        <v>36</v>
      </c>
      <c r="G11" s="17" t="s">
        <v>36</v>
      </c>
      <c r="H11" s="15">
        <v>0.16666666666666699</v>
      </c>
      <c r="I11" s="27">
        <v>2</v>
      </c>
      <c r="J11" s="27">
        <v>0</v>
      </c>
      <c r="K11" s="27" t="s">
        <v>36</v>
      </c>
      <c r="L11" s="27">
        <v>7</v>
      </c>
      <c r="M11" s="27" t="s">
        <v>36</v>
      </c>
      <c r="N11" s="27" t="s">
        <v>36</v>
      </c>
      <c r="O11" s="15">
        <v>0.16666666666666699</v>
      </c>
      <c r="P11" s="27">
        <v>93</v>
      </c>
      <c r="Q11" s="27">
        <v>35</v>
      </c>
      <c r="R11" s="17" t="s">
        <v>36</v>
      </c>
      <c r="S11" s="27">
        <v>53</v>
      </c>
      <c r="T11" s="17" t="s">
        <v>36</v>
      </c>
      <c r="U11" s="27" t="s">
        <v>36</v>
      </c>
      <c r="V11" s="15">
        <v>0.16666666666666699</v>
      </c>
      <c r="W11" s="50">
        <v>6</v>
      </c>
      <c r="X11" s="50">
        <v>3</v>
      </c>
      <c r="Y11" s="17" t="s">
        <v>36</v>
      </c>
      <c r="Z11" s="50">
        <v>5</v>
      </c>
      <c r="AA11" s="17" t="s">
        <v>36</v>
      </c>
      <c r="AB11" s="50" t="s">
        <v>36</v>
      </c>
      <c r="AC11" s="15">
        <v>0.16666666666666699</v>
      </c>
      <c r="AD11" s="18">
        <v>0.11527777777777777</v>
      </c>
      <c r="AE11" s="18">
        <v>6.1805555555555558E-2</v>
      </c>
      <c r="AF11" s="27" t="s">
        <v>36</v>
      </c>
      <c r="AG11" s="18">
        <v>0.10347222222222223</v>
      </c>
      <c r="AH11" s="17" t="s">
        <v>36</v>
      </c>
      <c r="AI11" s="50" t="s">
        <v>36</v>
      </c>
      <c r="AJ11" s="15">
        <v>0.16666666666666699</v>
      </c>
      <c r="AK11" s="2">
        <f ca="1">HLOOKUP($AX$1,[1]EU!$B$2:$AF$51,XFD11,0)</f>
        <v>6</v>
      </c>
      <c r="AL11" s="2">
        <f ca="1">HLOOKUP($AX$1,'[1]Enterprise Aspiring'!$B$2:$AF$51,XFD11,0)</f>
        <v>3</v>
      </c>
      <c r="AM11" s="2">
        <f ca="1">HLOOKUP($AX$1,'[1]Red Cash'!$B$2:$AF$51,XFD11,0)</f>
        <v>0</v>
      </c>
      <c r="AN11" s="2">
        <f ca="1">HLOOKUP($AX$1,[1]Aspiring!$B$2:$AF$51,XFD11,0)</f>
        <v>9</v>
      </c>
      <c r="AO11" s="2">
        <f ca="1">HLOOKUP($AX$1,[1]ICC!$B$2:$AF$51,XFD11,0)</f>
        <v>0</v>
      </c>
      <c r="AP11" s="2">
        <f ca="1">HLOOKUP($AX$1,[1]CM!$B$2:$AF$51,XFD11,0)</f>
        <v>0</v>
      </c>
      <c r="AQ11" s="32">
        <v>0.16666666666666699</v>
      </c>
      <c r="AR11" s="34" t="str">
        <f ca="1">EU!N10</f>
        <v>Wait</v>
      </c>
      <c r="AS11" s="34" t="str">
        <f>'R.EU'!N10</f>
        <v/>
      </c>
      <c r="AT11" s="34" t="str">
        <f>'Red Cash'!N10</f>
        <v/>
      </c>
      <c r="AU11" s="34" t="str">
        <f ca="1">Aspiring!N10</f>
        <v>Wait</v>
      </c>
      <c r="AV11" s="34" t="str">
        <f>ICC!N10</f>
        <v/>
      </c>
      <c r="AW11" s="34" t="str">
        <f>'SME-CM'!N10</f>
        <v/>
      </c>
      <c r="XFD11" s="10">
        <f t="shared" si="0"/>
        <v>11</v>
      </c>
    </row>
    <row r="12" spans="1:50 16384:16384" x14ac:dyDescent="0.25">
      <c r="A12" s="15">
        <v>0.1875</v>
      </c>
      <c r="B12" s="17">
        <v>1</v>
      </c>
      <c r="C12" s="17">
        <v>1</v>
      </c>
      <c r="D12" s="17" t="s">
        <v>36</v>
      </c>
      <c r="E12" s="17">
        <v>1</v>
      </c>
      <c r="F12" s="17" t="s">
        <v>36</v>
      </c>
      <c r="G12" s="17" t="s">
        <v>36</v>
      </c>
      <c r="H12" s="15">
        <v>0.1875</v>
      </c>
      <c r="I12" s="27">
        <v>2</v>
      </c>
      <c r="J12" s="27">
        <v>2</v>
      </c>
      <c r="K12" s="27" t="s">
        <v>36</v>
      </c>
      <c r="L12" s="27">
        <v>3</v>
      </c>
      <c r="M12" s="27" t="s">
        <v>36</v>
      </c>
      <c r="N12" s="27" t="s">
        <v>36</v>
      </c>
      <c r="O12" s="15">
        <v>0.1875</v>
      </c>
      <c r="P12" s="27">
        <v>89</v>
      </c>
      <c r="Q12" s="27">
        <v>7</v>
      </c>
      <c r="R12" s="27" t="s">
        <v>36</v>
      </c>
      <c r="S12" s="27">
        <v>89</v>
      </c>
      <c r="T12" s="27" t="s">
        <v>36</v>
      </c>
      <c r="U12" s="27" t="s">
        <v>36</v>
      </c>
      <c r="V12" s="15">
        <v>0.1875</v>
      </c>
      <c r="W12" s="50">
        <v>6</v>
      </c>
      <c r="X12" s="50">
        <v>3</v>
      </c>
      <c r="Y12" s="50" t="s">
        <v>36</v>
      </c>
      <c r="Z12" s="50">
        <v>4</v>
      </c>
      <c r="AA12" s="50" t="s">
        <v>36</v>
      </c>
      <c r="AB12" s="50" t="s">
        <v>36</v>
      </c>
      <c r="AC12" s="15">
        <v>0.1875</v>
      </c>
      <c r="AD12" s="18">
        <v>0.12083333333333333</v>
      </c>
      <c r="AE12" s="18">
        <v>6.1111111111111116E-2</v>
      </c>
      <c r="AF12" s="18" t="s">
        <v>36</v>
      </c>
      <c r="AG12" s="18">
        <v>6.9444444444444434E-2</v>
      </c>
      <c r="AH12" s="18" t="s">
        <v>36</v>
      </c>
      <c r="AI12" s="50" t="s">
        <v>36</v>
      </c>
      <c r="AJ12" s="15">
        <v>0.1875</v>
      </c>
      <c r="AK12" s="2">
        <f ca="1">HLOOKUP($AX$1,[1]EU!$B$2:$AF$51,XFD12,0)</f>
        <v>4</v>
      </c>
      <c r="AL12" s="2">
        <f ca="1">HLOOKUP($AX$1,'[1]Enterprise Aspiring'!$B$2:$AF$51,XFD12,0)</f>
        <v>3</v>
      </c>
      <c r="AM12" s="2">
        <f ca="1">HLOOKUP($AX$1,'[1]Red Cash'!$B$2:$AF$51,XFD12,0)</f>
        <v>0</v>
      </c>
      <c r="AN12" s="2">
        <f ca="1">HLOOKUP($AX$1,[1]Aspiring!$B$2:$AF$51,XFD12,0)</f>
        <v>2</v>
      </c>
      <c r="AO12" s="2">
        <f ca="1">HLOOKUP($AX$1,[1]ICC!$B$2:$AF$51,XFD12,0)</f>
        <v>0</v>
      </c>
      <c r="AP12" s="2">
        <f ca="1">HLOOKUP($AX$1,[1]CM!$B$2:$AF$51,XFD12,0)</f>
        <v>0</v>
      </c>
      <c r="AQ12" s="32">
        <v>0.1875</v>
      </c>
      <c r="AR12" s="34" t="str">
        <f ca="1">EU!N11</f>
        <v>Wait</v>
      </c>
      <c r="AS12" s="34" t="str">
        <f ca="1">'R.EU'!N11</f>
        <v>Wait</v>
      </c>
      <c r="AT12" s="34" t="str">
        <f>'Red Cash'!N11</f>
        <v/>
      </c>
      <c r="AU12" s="34" t="str">
        <f ca="1">Aspiring!N11</f>
        <v>Achived</v>
      </c>
      <c r="AV12" s="34" t="str">
        <f>ICC!N11</f>
        <v/>
      </c>
      <c r="AW12" s="34" t="str">
        <f>'SME-CM'!N11</f>
        <v/>
      </c>
      <c r="XFD12" s="10">
        <f t="shared" si="0"/>
        <v>12</v>
      </c>
    </row>
    <row r="13" spans="1:50 16384:16384" x14ac:dyDescent="0.25">
      <c r="A13" s="15">
        <v>0.20833333333333301</v>
      </c>
      <c r="B13" s="17">
        <v>1</v>
      </c>
      <c r="C13" s="17">
        <v>1</v>
      </c>
      <c r="D13" s="17" t="s">
        <v>36</v>
      </c>
      <c r="E13" s="17">
        <v>1</v>
      </c>
      <c r="F13" s="17" t="s">
        <v>36</v>
      </c>
      <c r="G13" s="17" t="s">
        <v>36</v>
      </c>
      <c r="H13" s="15">
        <v>0.20833333333333301</v>
      </c>
      <c r="I13" s="27">
        <v>3</v>
      </c>
      <c r="J13" s="27">
        <v>1</v>
      </c>
      <c r="K13" s="27" t="s">
        <v>36</v>
      </c>
      <c r="L13" s="27">
        <v>6</v>
      </c>
      <c r="M13" s="27" t="s">
        <v>36</v>
      </c>
      <c r="N13" s="27" t="s">
        <v>36</v>
      </c>
      <c r="O13" s="15">
        <v>0.20833333333333301</v>
      </c>
      <c r="P13" s="27">
        <v>87</v>
      </c>
      <c r="Q13" s="27">
        <v>1</v>
      </c>
      <c r="R13" s="17" t="s">
        <v>36</v>
      </c>
      <c r="S13" s="27">
        <v>49</v>
      </c>
      <c r="T13" s="17" t="s">
        <v>36</v>
      </c>
      <c r="U13" s="17" t="s">
        <v>36</v>
      </c>
      <c r="V13" s="15">
        <v>0.20833333333333301</v>
      </c>
      <c r="W13" s="50">
        <v>5</v>
      </c>
      <c r="X13" s="50">
        <v>3</v>
      </c>
      <c r="Y13" s="17" t="s">
        <v>36</v>
      </c>
      <c r="Z13" s="50">
        <v>5</v>
      </c>
      <c r="AA13" s="17" t="s">
        <v>36</v>
      </c>
      <c r="AB13" s="50" t="s">
        <v>36</v>
      </c>
      <c r="AC13" s="15">
        <v>0.20833333333333301</v>
      </c>
      <c r="AD13" s="18">
        <v>0.10347222222222223</v>
      </c>
      <c r="AE13" s="18">
        <v>6.1805555555555558E-2</v>
      </c>
      <c r="AF13" s="17" t="s">
        <v>36</v>
      </c>
      <c r="AG13" s="18">
        <v>9.5833333333333326E-2</v>
      </c>
      <c r="AH13" s="17" t="s">
        <v>36</v>
      </c>
      <c r="AI13" s="17" t="s">
        <v>36</v>
      </c>
      <c r="AJ13" s="15">
        <v>0.20833333333333301</v>
      </c>
      <c r="AK13" s="2">
        <f ca="1">HLOOKUP($AX$1,[1]EU!$B$2:$AF$51,XFD13,0)</f>
        <v>4</v>
      </c>
      <c r="AL13" s="2">
        <f ca="1">HLOOKUP($AX$1,'[1]Enterprise Aspiring'!$B$2:$AF$51,XFD13,0)</f>
        <v>2</v>
      </c>
      <c r="AM13" s="2">
        <f ca="1">HLOOKUP($AX$1,'[1]Red Cash'!$B$2:$AF$51,XFD13,0)</f>
        <v>0</v>
      </c>
      <c r="AN13" s="2">
        <f ca="1">HLOOKUP($AX$1,[1]Aspiring!$B$2:$AF$51,XFD13,0)</f>
        <v>3</v>
      </c>
      <c r="AO13" s="2">
        <f ca="1">HLOOKUP($AX$1,[1]ICC!$B$2:$AF$51,XFD13,0)</f>
        <v>0</v>
      </c>
      <c r="AP13" s="2">
        <f ca="1">HLOOKUP($AX$1,[1]CM!$B$2:$AF$51,XFD13,0)</f>
        <v>0</v>
      </c>
      <c r="AQ13" s="32">
        <v>0.20833333333333301</v>
      </c>
      <c r="AR13" s="34" t="str">
        <f ca="1">EU!N12</f>
        <v>Wait</v>
      </c>
      <c r="AS13" s="34" t="str">
        <f ca="1">'R.EU'!N12</f>
        <v>Wait</v>
      </c>
      <c r="AT13" s="34" t="str">
        <f>'Red Cash'!N12</f>
        <v/>
      </c>
      <c r="AU13" s="34" t="str">
        <f ca="1">Aspiring!N12</f>
        <v>Achived</v>
      </c>
      <c r="AV13" s="34" t="str">
        <f>ICC!N12</f>
        <v/>
      </c>
      <c r="AW13" s="34" t="str">
        <f>'SME-CM'!N12</f>
        <v/>
      </c>
      <c r="XFD13" s="10">
        <f t="shared" si="0"/>
        <v>13</v>
      </c>
    </row>
    <row r="14" spans="1:50 16384:16384" x14ac:dyDescent="0.25">
      <c r="A14" s="15">
        <v>0.22916666666666699</v>
      </c>
      <c r="B14" s="17">
        <v>1</v>
      </c>
      <c r="C14" s="17">
        <v>1</v>
      </c>
      <c r="D14" s="17" t="s">
        <v>36</v>
      </c>
      <c r="E14" s="17">
        <v>1</v>
      </c>
      <c r="F14" s="17" t="s">
        <v>36</v>
      </c>
      <c r="G14" s="17" t="s">
        <v>36</v>
      </c>
      <c r="H14" s="15">
        <v>0.22916666666666699</v>
      </c>
      <c r="I14" s="27">
        <v>2</v>
      </c>
      <c r="J14" s="27">
        <v>3</v>
      </c>
      <c r="K14" s="27" t="s">
        <v>36</v>
      </c>
      <c r="L14" s="27">
        <v>5</v>
      </c>
      <c r="M14" s="27" t="s">
        <v>36</v>
      </c>
      <c r="N14" s="27" t="s">
        <v>36</v>
      </c>
      <c r="O14" s="15">
        <v>0.22916666666666699</v>
      </c>
      <c r="P14" s="27">
        <v>83</v>
      </c>
      <c r="Q14" s="27">
        <v>26</v>
      </c>
      <c r="R14" s="27" t="s">
        <v>36</v>
      </c>
      <c r="S14" s="27">
        <v>43</v>
      </c>
      <c r="T14" s="27" t="s">
        <v>36</v>
      </c>
      <c r="U14" s="27" t="s">
        <v>36</v>
      </c>
      <c r="V14" s="15">
        <v>0.22916666666666699</v>
      </c>
      <c r="W14" s="50">
        <v>4</v>
      </c>
      <c r="X14" s="50">
        <v>3</v>
      </c>
      <c r="Y14" s="50" t="s">
        <v>36</v>
      </c>
      <c r="Z14" s="50">
        <v>5</v>
      </c>
      <c r="AA14" s="50" t="s">
        <v>36</v>
      </c>
      <c r="AB14" s="50" t="s">
        <v>36</v>
      </c>
      <c r="AC14" s="15">
        <v>0.22916666666666699</v>
      </c>
      <c r="AD14" s="18">
        <v>9.8611111111111108E-2</v>
      </c>
      <c r="AE14" s="18">
        <v>4.7916666666666663E-2</v>
      </c>
      <c r="AF14" s="18" t="s">
        <v>36</v>
      </c>
      <c r="AG14" s="18">
        <v>0.10347222222222223</v>
      </c>
      <c r="AH14" s="18" t="s">
        <v>36</v>
      </c>
      <c r="AI14" s="50" t="s">
        <v>36</v>
      </c>
      <c r="AJ14" s="15">
        <v>0.22916666666666699</v>
      </c>
      <c r="AK14" s="2">
        <f ca="1">HLOOKUP($AX$1,[1]EU!$B$2:$AF$51,XFD14,0)</f>
        <v>8</v>
      </c>
      <c r="AL14" s="2">
        <f ca="1">HLOOKUP($AX$1,'[1]Enterprise Aspiring'!$B$2:$AF$51,XFD14,0)</f>
        <v>3</v>
      </c>
      <c r="AM14" s="2">
        <f ca="1">HLOOKUP($AX$1,'[1]Red Cash'!$B$2:$AF$51,XFD14,0)</f>
        <v>0</v>
      </c>
      <c r="AN14" s="2">
        <f ca="1">HLOOKUP($AX$1,[1]Aspiring!$B$2:$AF$51,XFD14,0)</f>
        <v>6</v>
      </c>
      <c r="AO14" s="2">
        <f ca="1">HLOOKUP($AX$1,[1]ICC!$B$2:$AF$51,XFD14,0)</f>
        <v>0</v>
      </c>
      <c r="AP14" s="2">
        <f ca="1">HLOOKUP($AX$1,[1]CM!$B$2:$AF$51,XFD14,0)</f>
        <v>0</v>
      </c>
      <c r="AQ14" s="32">
        <v>0.22916666666666699</v>
      </c>
      <c r="AR14" s="34" t="str">
        <f ca="1">EU!N13</f>
        <v>Wait</v>
      </c>
      <c r="AS14" s="34" t="str">
        <f ca="1">'R.EU'!N13</f>
        <v>Achived</v>
      </c>
      <c r="AT14" s="34" t="str">
        <f>'Red Cash'!N13</f>
        <v/>
      </c>
      <c r="AU14" s="34" t="str">
        <f ca="1">Aspiring!N13</f>
        <v>Wait</v>
      </c>
      <c r="AV14" s="34" t="str">
        <f>ICC!N13</f>
        <v/>
      </c>
      <c r="AW14" s="34" t="str">
        <f>'SME-CM'!N13</f>
        <v/>
      </c>
      <c r="XFD14" s="10">
        <f t="shared" si="0"/>
        <v>14</v>
      </c>
    </row>
    <row r="15" spans="1:50 16384:16384" x14ac:dyDescent="0.25">
      <c r="A15" s="15">
        <v>0.25</v>
      </c>
      <c r="B15" s="17">
        <v>1</v>
      </c>
      <c r="C15" s="17">
        <v>1</v>
      </c>
      <c r="D15" s="17" t="s">
        <v>36</v>
      </c>
      <c r="E15" s="17">
        <v>1</v>
      </c>
      <c r="F15" s="17" t="s">
        <v>36</v>
      </c>
      <c r="G15" s="17" t="s">
        <v>36</v>
      </c>
      <c r="H15" s="15">
        <v>0.25</v>
      </c>
      <c r="I15" s="27">
        <v>8</v>
      </c>
      <c r="J15" s="27">
        <v>3</v>
      </c>
      <c r="K15" s="27" t="s">
        <v>36</v>
      </c>
      <c r="L15" s="27">
        <v>3</v>
      </c>
      <c r="M15" s="27" t="s">
        <v>36</v>
      </c>
      <c r="N15" s="27" t="s">
        <v>36</v>
      </c>
      <c r="O15" s="15">
        <v>0.25</v>
      </c>
      <c r="P15" s="27">
        <v>92</v>
      </c>
      <c r="Q15" s="27">
        <v>16</v>
      </c>
      <c r="R15" s="27" t="s">
        <v>36</v>
      </c>
      <c r="S15" s="27">
        <v>48</v>
      </c>
      <c r="T15" s="27" t="s">
        <v>36</v>
      </c>
      <c r="U15" s="27" t="s">
        <v>36</v>
      </c>
      <c r="V15" s="15">
        <v>0.25</v>
      </c>
      <c r="W15" s="50">
        <v>4</v>
      </c>
      <c r="X15" s="50">
        <v>3</v>
      </c>
      <c r="Y15" s="27" t="s">
        <v>36</v>
      </c>
      <c r="Z15" s="50">
        <v>4</v>
      </c>
      <c r="AA15" s="27" t="s">
        <v>36</v>
      </c>
      <c r="AB15" s="50" t="s">
        <v>36</v>
      </c>
      <c r="AC15" s="15">
        <v>0.25</v>
      </c>
      <c r="AD15" s="18">
        <v>8.2638888888888887E-2</v>
      </c>
      <c r="AE15" s="18">
        <v>5.9722222222222225E-2</v>
      </c>
      <c r="AF15" s="27" t="s">
        <v>36</v>
      </c>
      <c r="AG15" s="18">
        <v>8.6805555555555566E-2</v>
      </c>
      <c r="AH15" s="27" t="s">
        <v>36</v>
      </c>
      <c r="AI15" s="50" t="s">
        <v>36</v>
      </c>
      <c r="AJ15" s="15">
        <v>0.25</v>
      </c>
      <c r="AK15" s="2">
        <f ca="1">HLOOKUP($AX$1,[1]EU!$B$2:$AF$51,XFD15,0)</f>
        <v>7</v>
      </c>
      <c r="AL15" s="2">
        <f ca="1">HLOOKUP($AX$1,'[1]Enterprise Aspiring'!$B$2:$AF$51,XFD15,0)</f>
        <v>4</v>
      </c>
      <c r="AM15" s="2">
        <f ca="1">HLOOKUP($AX$1,'[1]Red Cash'!$B$2:$AF$51,XFD15,0)</f>
        <v>0</v>
      </c>
      <c r="AN15" s="2">
        <f ca="1">HLOOKUP($AX$1,[1]Aspiring!$B$2:$AF$51,XFD15,0)</f>
        <v>10</v>
      </c>
      <c r="AO15" s="2">
        <f ca="1">HLOOKUP($AX$1,[1]ICC!$B$2:$AF$51,XFD15,0)</f>
        <v>0</v>
      </c>
      <c r="AP15" s="2">
        <f ca="1">HLOOKUP($AX$1,[1]CM!$B$2:$AF$51,XFD15,0)</f>
        <v>0</v>
      </c>
      <c r="AQ15" s="32">
        <v>0.25</v>
      </c>
      <c r="AR15" s="34" t="str">
        <f ca="1">EU!N14</f>
        <v>Achived</v>
      </c>
      <c r="AS15" s="34" t="str">
        <f ca="1">'R.EU'!N14</f>
        <v>Wait</v>
      </c>
      <c r="AT15" s="34" t="str">
        <f>'Red Cash'!N14</f>
        <v/>
      </c>
      <c r="AU15" s="34" t="str">
        <f ca="1">Aspiring!N14</f>
        <v>Wait</v>
      </c>
      <c r="AV15" s="34" t="str">
        <f>ICC!N14</f>
        <v/>
      </c>
      <c r="AW15" s="34" t="str">
        <f>'SME-CM'!N14</f>
        <v/>
      </c>
      <c r="XFD15" s="10">
        <f t="shared" si="0"/>
        <v>15</v>
      </c>
    </row>
    <row r="16" spans="1:50 16384:16384" x14ac:dyDescent="0.25">
      <c r="A16" s="15">
        <v>0.27083333333333298</v>
      </c>
      <c r="B16" s="17">
        <v>1</v>
      </c>
      <c r="C16" s="17">
        <v>1</v>
      </c>
      <c r="D16" s="17" t="s">
        <v>36</v>
      </c>
      <c r="E16" s="17">
        <v>0.66</v>
      </c>
      <c r="F16" s="17" t="s">
        <v>36</v>
      </c>
      <c r="G16" s="17" t="s">
        <v>36</v>
      </c>
      <c r="H16" s="15">
        <v>0.27083333333333298</v>
      </c>
      <c r="I16" s="27">
        <v>7</v>
      </c>
      <c r="J16" s="27">
        <v>1</v>
      </c>
      <c r="K16" s="27" t="s">
        <v>36</v>
      </c>
      <c r="L16" s="27">
        <v>12</v>
      </c>
      <c r="M16" s="27" t="s">
        <v>36</v>
      </c>
      <c r="N16" s="27" t="s">
        <v>36</v>
      </c>
      <c r="O16" s="15">
        <v>0.27083333333333298</v>
      </c>
      <c r="P16" s="27">
        <v>82</v>
      </c>
      <c r="Q16" s="27">
        <v>7</v>
      </c>
      <c r="R16" s="27" t="s">
        <v>36</v>
      </c>
      <c r="S16" s="27">
        <v>61</v>
      </c>
      <c r="T16" s="27" t="s">
        <v>36</v>
      </c>
      <c r="U16" s="27" t="s">
        <v>36</v>
      </c>
      <c r="V16" s="15">
        <v>0.27083333333333298</v>
      </c>
      <c r="W16" s="50">
        <v>4</v>
      </c>
      <c r="X16" s="50">
        <v>3</v>
      </c>
      <c r="Y16" s="50" t="s">
        <v>36</v>
      </c>
      <c r="Z16" s="50">
        <v>4</v>
      </c>
      <c r="AA16" s="50" t="s">
        <v>36</v>
      </c>
      <c r="AB16" s="50" t="s">
        <v>36</v>
      </c>
      <c r="AC16" s="15">
        <v>0.27083333333333298</v>
      </c>
      <c r="AD16" s="18">
        <v>8.2638888888888887E-2</v>
      </c>
      <c r="AE16" s="18">
        <v>6.1805555555555558E-2</v>
      </c>
      <c r="AF16" s="18" t="s">
        <v>36</v>
      </c>
      <c r="AG16" s="18">
        <v>8.2638888888888887E-2</v>
      </c>
      <c r="AH16" s="18" t="s">
        <v>36</v>
      </c>
      <c r="AI16" s="50" t="s">
        <v>36</v>
      </c>
      <c r="AJ16" s="15">
        <v>0.27083333333333298</v>
      </c>
      <c r="AK16" s="2">
        <f ca="1">HLOOKUP($AX$1,[1]EU!$B$2:$AF$51,XFD16,0)</f>
        <v>10</v>
      </c>
      <c r="AL16" s="2">
        <f ca="1">HLOOKUP($AX$1,'[1]Enterprise Aspiring'!$B$2:$AF$51,XFD16,0)</f>
        <v>5</v>
      </c>
      <c r="AM16" s="2">
        <f ca="1">HLOOKUP($AX$1,'[1]Red Cash'!$B$2:$AF$51,XFD16,0)</f>
        <v>0</v>
      </c>
      <c r="AN16" s="2">
        <f ca="1">HLOOKUP($AX$1,[1]Aspiring!$B$2:$AF$51,XFD16,0)</f>
        <v>6</v>
      </c>
      <c r="AO16" s="2">
        <f ca="1">HLOOKUP($AX$1,[1]ICC!$B$2:$AF$51,XFD16,0)</f>
        <v>0</v>
      </c>
      <c r="AP16" s="2">
        <f ca="1">HLOOKUP($AX$1,[1]CM!$B$2:$AF$51,XFD16,0)</f>
        <v>0</v>
      </c>
      <c r="AQ16" s="32">
        <v>0.27083333333333298</v>
      </c>
      <c r="AR16" s="34" t="str">
        <f ca="1">EU!N15</f>
        <v>Wait</v>
      </c>
      <c r="AS16" s="34" t="str">
        <f ca="1">'R.EU'!N15</f>
        <v>Wait</v>
      </c>
      <c r="AT16" s="34" t="str">
        <f>'Red Cash'!N15</f>
        <v/>
      </c>
      <c r="AU16" s="34" t="str">
        <f ca="1">Aspiring!N15</f>
        <v>Achived</v>
      </c>
      <c r="AV16" s="34" t="str">
        <f>ICC!N15</f>
        <v/>
      </c>
      <c r="AW16" s="34" t="str">
        <f>'SME-CM'!N15</f>
        <v/>
      </c>
      <c r="XFD16" s="10">
        <f t="shared" si="0"/>
        <v>16</v>
      </c>
    </row>
    <row r="17" spans="1:49 16384:16384" x14ac:dyDescent="0.25">
      <c r="A17" s="15">
        <v>0.29166666666666702</v>
      </c>
      <c r="B17" s="17">
        <v>0.79</v>
      </c>
      <c r="C17" s="17">
        <v>1</v>
      </c>
      <c r="D17" s="17" t="s">
        <v>36</v>
      </c>
      <c r="E17" s="17">
        <v>0.89</v>
      </c>
      <c r="F17" s="17">
        <v>0.66</v>
      </c>
      <c r="G17" s="17" t="s">
        <v>36</v>
      </c>
      <c r="H17" s="15">
        <v>0.29166666666666702</v>
      </c>
      <c r="I17" s="27">
        <v>14</v>
      </c>
      <c r="J17" s="27">
        <v>5</v>
      </c>
      <c r="K17" s="27" t="s">
        <v>36</v>
      </c>
      <c r="L17" s="27">
        <v>17</v>
      </c>
      <c r="M17" s="27">
        <v>17</v>
      </c>
      <c r="N17" s="27" t="s">
        <v>36</v>
      </c>
      <c r="O17" s="15">
        <v>0.29166666666666702</v>
      </c>
      <c r="P17" s="27">
        <v>88</v>
      </c>
      <c r="Q17" s="27">
        <v>26</v>
      </c>
      <c r="R17" s="27" t="s">
        <v>36</v>
      </c>
      <c r="S17" s="27">
        <v>75</v>
      </c>
      <c r="T17" s="27">
        <v>70</v>
      </c>
      <c r="U17" s="27" t="s">
        <v>36</v>
      </c>
      <c r="V17" s="15">
        <v>0.29166666666666702</v>
      </c>
      <c r="W17" s="50">
        <v>7</v>
      </c>
      <c r="X17" s="50">
        <v>3</v>
      </c>
      <c r="Y17" s="18" t="s">
        <v>36</v>
      </c>
      <c r="Z17" s="50">
        <v>7</v>
      </c>
      <c r="AA17" s="50">
        <v>5</v>
      </c>
      <c r="AB17" s="50" t="s">
        <v>36</v>
      </c>
      <c r="AC17" s="15">
        <v>0.29166666666666702</v>
      </c>
      <c r="AD17" s="18">
        <v>0.12569444444444444</v>
      </c>
      <c r="AE17" s="18">
        <v>6.1805555555555558E-2</v>
      </c>
      <c r="AF17" s="18" t="s">
        <v>36</v>
      </c>
      <c r="AG17" s="18">
        <v>0.12708333333333333</v>
      </c>
      <c r="AH17" s="18">
        <v>5.9722222222222225E-2</v>
      </c>
      <c r="AI17" s="50" t="s">
        <v>36</v>
      </c>
      <c r="AJ17" s="15">
        <v>0.29166666666666702</v>
      </c>
      <c r="AK17" s="2">
        <f ca="1">HLOOKUP($AX$1,[1]EU!$B$2:$AF$51,XFD17,0)</f>
        <v>14</v>
      </c>
      <c r="AL17" s="2">
        <f ca="1">HLOOKUP($AX$1,'[1]Enterprise Aspiring'!$B$2:$AF$51,XFD17,0)</f>
        <v>8</v>
      </c>
      <c r="AM17" s="2">
        <f ca="1">HLOOKUP($AX$1,'[1]Red Cash'!$B$2:$AF$51,XFD17,0)</f>
        <v>0</v>
      </c>
      <c r="AN17" s="2">
        <f ca="1">HLOOKUP($AX$1,[1]Aspiring!$B$2:$AF$51,XFD17,0)</f>
        <v>15</v>
      </c>
      <c r="AO17" s="2">
        <f ca="1">HLOOKUP($AX$1,[1]ICC!$B$2:$AF$51,XFD17,0)</f>
        <v>11</v>
      </c>
      <c r="AP17" s="2">
        <f ca="1">HLOOKUP($AX$1,[1]CM!$B$2:$AF$51,XFD17,0)</f>
        <v>0</v>
      </c>
      <c r="AQ17" s="32">
        <v>0.29166666666666702</v>
      </c>
      <c r="AR17" s="34" t="str">
        <f ca="1">EU!N16</f>
        <v>Achived</v>
      </c>
      <c r="AS17" s="34" t="str">
        <f ca="1">'R.EU'!N16</f>
        <v>Wait</v>
      </c>
      <c r="AT17" s="34" t="str">
        <f>'Red Cash'!N16</f>
        <v/>
      </c>
      <c r="AU17" s="34" t="str">
        <f ca="1">Aspiring!N16</f>
        <v>Achived</v>
      </c>
      <c r="AV17" s="34" t="str">
        <f ca="1">ICC!N16</f>
        <v>Achived</v>
      </c>
      <c r="AW17" s="34" t="str">
        <f>'SME-CM'!N16</f>
        <v/>
      </c>
      <c r="XFD17" s="10">
        <f>XFD16+1</f>
        <v>17</v>
      </c>
    </row>
    <row r="18" spans="1:49 16384:16384" x14ac:dyDescent="0.25">
      <c r="A18" s="15">
        <v>0.3125</v>
      </c>
      <c r="B18" s="17">
        <v>0.9</v>
      </c>
      <c r="C18" s="17">
        <v>1</v>
      </c>
      <c r="D18" s="17" t="s">
        <v>36</v>
      </c>
      <c r="E18" s="17">
        <v>0.94</v>
      </c>
      <c r="F18" s="17">
        <v>0.81</v>
      </c>
      <c r="G18" s="17" t="s">
        <v>36</v>
      </c>
      <c r="H18" s="15">
        <v>0.3125</v>
      </c>
      <c r="I18" s="27">
        <v>21</v>
      </c>
      <c r="J18" s="27">
        <v>3</v>
      </c>
      <c r="K18" s="27" t="s">
        <v>36</v>
      </c>
      <c r="L18" s="27">
        <v>19</v>
      </c>
      <c r="M18" s="27">
        <v>18</v>
      </c>
      <c r="N18" s="27" t="s">
        <v>36</v>
      </c>
      <c r="O18" s="15">
        <v>0.3125</v>
      </c>
      <c r="P18" s="27">
        <v>85</v>
      </c>
      <c r="Q18" s="27">
        <v>40</v>
      </c>
      <c r="R18" s="27" t="s">
        <v>36</v>
      </c>
      <c r="S18" s="27">
        <v>72</v>
      </c>
      <c r="T18" s="27">
        <v>89</v>
      </c>
      <c r="U18" s="27" t="s">
        <v>36</v>
      </c>
      <c r="V18" s="15">
        <v>0.3125</v>
      </c>
      <c r="W18" s="50">
        <v>7</v>
      </c>
      <c r="X18" s="50">
        <v>3</v>
      </c>
      <c r="Y18" s="50" t="s">
        <v>36</v>
      </c>
      <c r="Z18" s="50">
        <v>10</v>
      </c>
      <c r="AA18" s="50">
        <v>5</v>
      </c>
      <c r="AB18" s="50" t="s">
        <v>36</v>
      </c>
      <c r="AC18" s="15">
        <v>0.3125</v>
      </c>
      <c r="AD18" s="18">
        <v>0.18124999999999999</v>
      </c>
      <c r="AE18" s="18">
        <v>6.1111111111111116E-2</v>
      </c>
      <c r="AF18" s="18" t="s">
        <v>36</v>
      </c>
      <c r="AG18" s="18" t="s">
        <v>43</v>
      </c>
      <c r="AH18" s="18">
        <v>0.10277777777777779</v>
      </c>
      <c r="AI18" s="50" t="s">
        <v>36</v>
      </c>
      <c r="AJ18" s="15">
        <v>0.3125</v>
      </c>
      <c r="AK18" s="2">
        <f ca="1">HLOOKUP($AX$1,[1]EU!$B$2:$AF$51,XFD18,0)</f>
        <v>21</v>
      </c>
      <c r="AL18" s="2">
        <f ca="1">HLOOKUP($AX$1,'[1]Enterprise Aspiring'!$B$2:$AF$51,XFD18,0)</f>
        <v>9</v>
      </c>
      <c r="AM18" s="2">
        <f ca="1">HLOOKUP($AX$1,'[1]Red Cash'!$B$2:$AF$51,XFD18,0)</f>
        <v>0</v>
      </c>
      <c r="AN18" s="2">
        <f ca="1">HLOOKUP($AX$1,[1]Aspiring!$B$2:$AF$51,XFD18,0)</f>
        <v>19</v>
      </c>
      <c r="AO18" s="2">
        <f ca="1">HLOOKUP($AX$1,[1]ICC!$B$2:$AF$51,XFD18,0)</f>
        <v>13</v>
      </c>
      <c r="AP18" s="2">
        <f ca="1">HLOOKUP($AX$1,[1]CM!$B$2:$AF$51,XFD18,0)</f>
        <v>0</v>
      </c>
      <c r="AQ18" s="32">
        <v>0.3125</v>
      </c>
      <c r="AR18" s="34" t="str">
        <f ca="1">EU!N17</f>
        <v>Achived</v>
      </c>
      <c r="AS18" s="34" t="str">
        <f ca="1">'R.EU'!N17</f>
        <v>Wait</v>
      </c>
      <c r="AT18" s="34" t="str">
        <f>'Red Cash'!N17</f>
        <v/>
      </c>
      <c r="AU18" s="34" t="str">
        <f ca="1">Aspiring!N17</f>
        <v>Achived</v>
      </c>
      <c r="AV18" s="34" t="str">
        <f ca="1">ICC!N17</f>
        <v>Achived</v>
      </c>
      <c r="AW18" s="34" t="str">
        <f>'SME-CM'!N17</f>
        <v/>
      </c>
      <c r="XFD18" s="10">
        <f t="shared" si="0"/>
        <v>18</v>
      </c>
    </row>
    <row r="19" spans="1:49 16384:16384" x14ac:dyDescent="0.25">
      <c r="A19" s="15">
        <v>0.33333333333333298</v>
      </c>
      <c r="B19" s="17">
        <v>0.93</v>
      </c>
      <c r="C19" s="17">
        <v>1</v>
      </c>
      <c r="D19" s="17">
        <v>1</v>
      </c>
      <c r="E19" s="17">
        <v>0.95</v>
      </c>
      <c r="F19" s="17">
        <v>1</v>
      </c>
      <c r="G19" s="17">
        <v>0.75</v>
      </c>
      <c r="H19" s="15">
        <v>0.33333333333333298</v>
      </c>
      <c r="I19" s="27">
        <v>17</v>
      </c>
      <c r="J19" s="27">
        <v>6</v>
      </c>
      <c r="K19" s="27">
        <v>10</v>
      </c>
      <c r="L19" s="27">
        <v>21</v>
      </c>
      <c r="M19" s="27">
        <v>15</v>
      </c>
      <c r="N19" s="27">
        <v>14</v>
      </c>
      <c r="O19" s="15">
        <v>0.33333333333333298</v>
      </c>
      <c r="P19" s="27">
        <v>86</v>
      </c>
      <c r="Q19" s="27">
        <v>33</v>
      </c>
      <c r="R19" s="27">
        <v>28</v>
      </c>
      <c r="S19" s="27">
        <v>66</v>
      </c>
      <c r="T19" s="27">
        <v>69</v>
      </c>
      <c r="U19" s="27">
        <v>74</v>
      </c>
      <c r="V19" s="15">
        <v>0.33333333333333298</v>
      </c>
      <c r="W19" s="50">
        <v>7</v>
      </c>
      <c r="X19" s="50">
        <v>3</v>
      </c>
      <c r="Y19" s="50">
        <v>5</v>
      </c>
      <c r="Z19" s="50">
        <v>11</v>
      </c>
      <c r="AA19" s="50">
        <v>6</v>
      </c>
      <c r="AB19" s="50">
        <v>4</v>
      </c>
      <c r="AC19" s="15">
        <v>0.33333333333333298</v>
      </c>
      <c r="AD19" s="18">
        <v>0.1423611111111111</v>
      </c>
      <c r="AE19" s="18">
        <v>6.1111111111111116E-2</v>
      </c>
      <c r="AF19" s="18">
        <v>0.1361111111111111</v>
      </c>
      <c r="AG19" s="18">
        <v>0.21041666666666667</v>
      </c>
      <c r="AH19" s="18">
        <v>0.1277777777777778</v>
      </c>
      <c r="AI19" s="51">
        <v>8.1250000000000003E-2</v>
      </c>
      <c r="AJ19" s="15">
        <v>0.33333333333333298</v>
      </c>
      <c r="AK19" s="2">
        <f ca="1">HLOOKUP($AX$1,[1]EU!$B$2:$AF$51,XFD19,0)</f>
        <v>28</v>
      </c>
      <c r="AL19" s="2">
        <f ca="1">HLOOKUP($AX$1,'[1]Enterprise Aspiring'!$B$2:$AF$51,XFD19,0)</f>
        <v>14</v>
      </c>
      <c r="AM19" s="2">
        <f ca="1">HLOOKUP($AX$1,'[1]Red Cash'!$B$2:$AF$51,XFD19,0)</f>
        <v>15</v>
      </c>
      <c r="AN19" s="2">
        <f ca="1">HLOOKUP($AX$1,[1]Aspiring!$B$2:$AF$51,XFD19,0)</f>
        <v>15</v>
      </c>
      <c r="AO19" s="2">
        <f ca="1">HLOOKUP($AX$1,[1]ICC!$B$2:$AF$51,XFD19,0)</f>
        <v>15</v>
      </c>
      <c r="AP19" s="2">
        <f ca="1">HLOOKUP($AX$1,[1]CM!$B$2:$AF$51,XFD19,0)</f>
        <v>14</v>
      </c>
      <c r="AQ19" s="32">
        <v>0.33333333333333298</v>
      </c>
      <c r="AR19" s="34" t="str">
        <f ca="1">EU!N18</f>
        <v>Wait</v>
      </c>
      <c r="AS19" s="34" t="str">
        <f ca="1">'R.EU'!N18</f>
        <v>Wait</v>
      </c>
      <c r="AT19" s="34" t="str">
        <f ca="1">'Red Cash'!N18</f>
        <v>Wait</v>
      </c>
      <c r="AU19" s="34" t="str">
        <f ca="1">Aspiring!N18</f>
        <v>Achived</v>
      </c>
      <c r="AV19" s="34" t="str">
        <f ca="1">ICC!N18</f>
        <v>Achived</v>
      </c>
      <c r="AW19" s="34" t="str">
        <f ca="1">'SME-CM'!N18</f>
        <v>Achived</v>
      </c>
      <c r="XFD19" s="10">
        <f>XFD18+1</f>
        <v>19</v>
      </c>
    </row>
    <row r="20" spans="1:49 16384:16384" x14ac:dyDescent="0.25">
      <c r="A20" s="15">
        <v>0.35416666666666702</v>
      </c>
      <c r="B20" s="17">
        <v>0.75</v>
      </c>
      <c r="C20" s="17">
        <v>0.9</v>
      </c>
      <c r="D20" s="17">
        <v>1</v>
      </c>
      <c r="E20" s="17">
        <v>1</v>
      </c>
      <c r="F20" s="17">
        <v>0.8</v>
      </c>
      <c r="G20" s="17">
        <v>1</v>
      </c>
      <c r="H20" s="15">
        <v>0.35416666666666702</v>
      </c>
      <c r="I20" s="27">
        <v>33</v>
      </c>
      <c r="J20" s="27">
        <v>10</v>
      </c>
      <c r="K20" s="27">
        <v>19</v>
      </c>
      <c r="L20" s="27">
        <v>27</v>
      </c>
      <c r="M20" s="27">
        <v>29</v>
      </c>
      <c r="N20" s="27">
        <v>11</v>
      </c>
      <c r="O20" s="15">
        <v>0.35416666666666702</v>
      </c>
      <c r="P20" s="27">
        <v>92</v>
      </c>
      <c r="Q20" s="27">
        <v>54</v>
      </c>
      <c r="R20" s="27">
        <v>40</v>
      </c>
      <c r="S20" s="27">
        <v>69</v>
      </c>
      <c r="T20" s="27">
        <v>89</v>
      </c>
      <c r="U20" s="27">
        <v>83</v>
      </c>
      <c r="V20" s="15">
        <v>0.35416666666666702</v>
      </c>
      <c r="W20" s="27">
        <v>10</v>
      </c>
      <c r="X20" s="27">
        <v>3</v>
      </c>
      <c r="Y20" s="27">
        <v>8</v>
      </c>
      <c r="Z20" s="27">
        <v>13</v>
      </c>
      <c r="AA20" s="27">
        <v>8</v>
      </c>
      <c r="AB20" s="27">
        <v>5</v>
      </c>
      <c r="AC20" s="15">
        <v>0.35416666666666702</v>
      </c>
      <c r="AD20" s="18">
        <v>0.15902777777777777</v>
      </c>
      <c r="AE20" s="18">
        <v>5.347222222222222E-2</v>
      </c>
      <c r="AF20" s="18">
        <v>0.12083333333333333</v>
      </c>
      <c r="AG20" s="18">
        <v>0.24583333333333335</v>
      </c>
      <c r="AH20" s="18">
        <v>0.15555555555555556</v>
      </c>
      <c r="AI20" s="18">
        <v>0.10625</v>
      </c>
      <c r="AJ20" s="15">
        <v>0.35416666666666702</v>
      </c>
      <c r="AK20" s="2">
        <f ca="1">HLOOKUP($AX$1,[1]EU!$B$2:$AF$51,XFD20,0)</f>
        <v>36</v>
      </c>
      <c r="AL20" s="2">
        <f ca="1">HLOOKUP($AX$1,'[1]Enterprise Aspiring'!$B$2:$AF$51,XFD20,0)</f>
        <v>14</v>
      </c>
      <c r="AM20" s="2">
        <f ca="1">HLOOKUP($AX$1,'[1]Red Cash'!$B$2:$AF$51,XFD20,0)</f>
        <v>16</v>
      </c>
      <c r="AN20" s="2">
        <f ca="1">HLOOKUP($AX$1,[1]Aspiring!$B$2:$AF$51,XFD20,0)</f>
        <v>21</v>
      </c>
      <c r="AO20" s="2">
        <f ca="1">HLOOKUP($AX$1,[1]ICC!$B$2:$AF$51,XFD20,0)</f>
        <v>21</v>
      </c>
      <c r="AP20" s="2">
        <f ca="1">HLOOKUP($AX$1,[1]CM!$B$2:$AF$51,XFD20,0)</f>
        <v>10</v>
      </c>
      <c r="AQ20" s="32">
        <v>0.35416666666666702</v>
      </c>
      <c r="AR20" s="34" t="str">
        <f ca="1">EU!N19</f>
        <v>Wait</v>
      </c>
      <c r="AS20" s="34" t="str">
        <f ca="1">'R.EU'!N19</f>
        <v>Wait</v>
      </c>
      <c r="AT20" s="34" t="str">
        <f ca="1">'Red Cash'!N19</f>
        <v>Achived</v>
      </c>
      <c r="AU20" s="34" t="str">
        <f ca="1">Aspiring!N19</f>
        <v>Achived</v>
      </c>
      <c r="AV20" s="34" t="str">
        <f ca="1">ICC!N19</f>
        <v>Achived</v>
      </c>
      <c r="AW20" s="34" t="str">
        <f ca="1">'SME-CM'!N19</f>
        <v>Achived</v>
      </c>
      <c r="XFD20" s="10">
        <f t="shared" si="0"/>
        <v>20</v>
      </c>
    </row>
    <row r="21" spans="1:49 16384:16384" x14ac:dyDescent="0.25">
      <c r="A21" s="15">
        <v>0.375</v>
      </c>
      <c r="B21" s="17">
        <v>0.75</v>
      </c>
      <c r="C21" s="17">
        <v>0.76</v>
      </c>
      <c r="D21" s="17">
        <v>1</v>
      </c>
      <c r="E21" s="17">
        <v>0.95</v>
      </c>
      <c r="F21" s="17">
        <v>0.8</v>
      </c>
      <c r="G21" s="17">
        <v>0.94</v>
      </c>
      <c r="H21" s="15">
        <v>0.375</v>
      </c>
      <c r="I21" s="27">
        <v>43</v>
      </c>
      <c r="J21" s="27">
        <v>12</v>
      </c>
      <c r="K21" s="27">
        <v>14</v>
      </c>
      <c r="L21" s="27">
        <v>24</v>
      </c>
      <c r="M21" s="27">
        <v>14</v>
      </c>
      <c r="N21" s="27">
        <v>24</v>
      </c>
      <c r="O21" s="15">
        <v>0.375</v>
      </c>
      <c r="P21" s="27">
        <v>87</v>
      </c>
      <c r="Q21" s="27">
        <v>59</v>
      </c>
      <c r="R21" s="27">
        <v>41</v>
      </c>
      <c r="S21" s="27">
        <v>65</v>
      </c>
      <c r="T21" s="27">
        <v>90</v>
      </c>
      <c r="U21" s="27">
        <v>71</v>
      </c>
      <c r="V21" s="15">
        <v>0.375</v>
      </c>
      <c r="W21" s="50">
        <v>12</v>
      </c>
      <c r="X21" s="50">
        <v>5</v>
      </c>
      <c r="Y21" s="50">
        <v>5</v>
      </c>
      <c r="Z21" s="50">
        <v>14</v>
      </c>
      <c r="AA21" s="50">
        <v>9</v>
      </c>
      <c r="AB21" s="50">
        <v>4</v>
      </c>
      <c r="AC21" s="15">
        <v>0.375</v>
      </c>
      <c r="AD21" s="18">
        <v>0.25694444444444448</v>
      </c>
      <c r="AE21" s="18">
        <v>8.0555555555555561E-2</v>
      </c>
      <c r="AF21" s="18">
        <v>0.15069444444444444</v>
      </c>
      <c r="AG21" s="18">
        <v>0.25069444444444444</v>
      </c>
      <c r="AH21" s="18">
        <v>0.19027777777777777</v>
      </c>
      <c r="AI21" s="18">
        <v>7.2222222222222229E-2</v>
      </c>
      <c r="AJ21" s="15">
        <v>0.375</v>
      </c>
      <c r="AK21" s="2">
        <f ca="1">HLOOKUP($AX$1,[1]EU!$B$2:$AF$51,XFD21,0)</f>
        <v>54</v>
      </c>
      <c r="AL21" s="2">
        <f ca="1">HLOOKUP($AX$1,'[1]Enterprise Aspiring'!$B$2:$AF$51,XFD21,0)</f>
        <v>21</v>
      </c>
      <c r="AM21" s="2">
        <f ca="1">HLOOKUP($AX$1,'[1]Red Cash'!$B$2:$AF$51,XFD21,0)</f>
        <v>23</v>
      </c>
      <c r="AN21" s="2">
        <f ca="1">HLOOKUP($AX$1,[1]Aspiring!$B$2:$AF$51,XFD21,0)</f>
        <v>21</v>
      </c>
      <c r="AO21" s="2">
        <f ca="1">HLOOKUP($AX$1,[1]ICC!$B$2:$AF$51,XFD21,0)</f>
        <v>24</v>
      </c>
      <c r="AP21" s="2">
        <f ca="1">HLOOKUP($AX$1,[1]CM!$B$2:$AF$51,XFD21,0)</f>
        <v>10</v>
      </c>
      <c r="AQ21" s="32">
        <v>0.375</v>
      </c>
      <c r="AR21" s="34" t="str">
        <f ca="1">EU!N20</f>
        <v>Wait</v>
      </c>
      <c r="AS21" s="34" t="str">
        <f ca="1">'R.EU'!N20</f>
        <v>Wait</v>
      </c>
      <c r="AT21" s="34" t="str">
        <f ca="1">'Red Cash'!N20</f>
        <v>Wait</v>
      </c>
      <c r="AU21" s="34" t="str">
        <f ca="1">Aspiring!N20</f>
        <v>Achived</v>
      </c>
      <c r="AV21" s="34" t="str">
        <f ca="1">ICC!N20</f>
        <v>Wait</v>
      </c>
      <c r="AW21" s="34" t="str">
        <f ca="1">'SME-CM'!N20</f>
        <v>Achived</v>
      </c>
      <c r="XFD21" s="10">
        <f t="shared" si="0"/>
        <v>21</v>
      </c>
    </row>
    <row r="22" spans="1:49 16384:16384" x14ac:dyDescent="0.25">
      <c r="A22" s="15">
        <v>0.39583333333333298</v>
      </c>
      <c r="B22" s="17">
        <v>0.93</v>
      </c>
      <c r="C22" s="17">
        <v>1</v>
      </c>
      <c r="D22" s="17">
        <v>1</v>
      </c>
      <c r="E22" s="17">
        <v>0.53</v>
      </c>
      <c r="F22" s="17">
        <v>0.45</v>
      </c>
      <c r="G22" s="17">
        <v>0.83</v>
      </c>
      <c r="H22" s="15">
        <v>0.39583333333333298</v>
      </c>
      <c r="I22" s="27">
        <v>37</v>
      </c>
      <c r="J22" s="27">
        <v>9</v>
      </c>
      <c r="K22" s="27">
        <v>25</v>
      </c>
      <c r="L22" s="27">
        <v>44</v>
      </c>
      <c r="M22" s="27">
        <v>41</v>
      </c>
      <c r="N22" s="27">
        <v>13</v>
      </c>
      <c r="O22" s="15">
        <v>0.39583333333333298</v>
      </c>
      <c r="P22" s="27">
        <v>87</v>
      </c>
      <c r="Q22" s="27">
        <v>58</v>
      </c>
      <c r="R22" s="27">
        <v>40</v>
      </c>
      <c r="S22" s="27">
        <v>81</v>
      </c>
      <c r="T22" s="27">
        <v>94</v>
      </c>
      <c r="U22" s="27">
        <v>96</v>
      </c>
      <c r="V22" s="15">
        <v>0.39583333333333298</v>
      </c>
      <c r="W22" s="50">
        <v>14</v>
      </c>
      <c r="X22" s="50">
        <v>6</v>
      </c>
      <c r="Y22" s="50">
        <v>9</v>
      </c>
      <c r="Z22" s="50">
        <v>17</v>
      </c>
      <c r="AA22" s="50">
        <v>11</v>
      </c>
      <c r="AB22" s="50">
        <v>6</v>
      </c>
      <c r="AC22" s="15">
        <v>0.39583333333333298</v>
      </c>
      <c r="AD22" s="18">
        <v>0.27361111111111108</v>
      </c>
      <c r="AE22" s="18">
        <v>0.1076388888888889</v>
      </c>
      <c r="AF22" s="18">
        <v>0.18124999999999999</v>
      </c>
      <c r="AG22" s="18">
        <v>0.3430555555555555</v>
      </c>
      <c r="AH22" s="18">
        <v>0.1875</v>
      </c>
      <c r="AI22" s="18">
        <v>0.12152777777777778</v>
      </c>
      <c r="AJ22" s="15">
        <v>0.39583333333333298</v>
      </c>
      <c r="AK22" s="2">
        <f ca="1">HLOOKUP($AX$1,[1]EU!$B$2:$AF$51,XFD22,0)</f>
        <v>63</v>
      </c>
      <c r="AL22" s="2">
        <f ca="1">HLOOKUP($AX$1,'[1]Enterprise Aspiring'!$B$2:$AF$51,XFD22,0)</f>
        <v>19</v>
      </c>
      <c r="AM22" s="2">
        <f ca="1">HLOOKUP($AX$1,'[1]Red Cash'!$B$2:$AF$51,XFD22,0)</f>
        <v>28</v>
      </c>
      <c r="AN22" s="2">
        <f ca="1">HLOOKUP($AX$1,[1]Aspiring!$B$2:$AF$51,XFD22,0)</f>
        <v>44</v>
      </c>
      <c r="AO22" s="2">
        <f ca="1">HLOOKUP($AX$1,[1]ICC!$B$2:$AF$51,XFD22,0)</f>
        <v>29</v>
      </c>
      <c r="AP22" s="2">
        <f ca="1">HLOOKUP($AX$1,[1]CM!$B$2:$AF$51,XFD22,0)</f>
        <v>15</v>
      </c>
      <c r="AQ22" s="32">
        <v>0.39583333333333298</v>
      </c>
      <c r="AR22" s="34" t="str">
        <f ca="1">EU!N21</f>
        <v>Wait</v>
      </c>
      <c r="AS22" s="34" t="str">
        <f ca="1">'R.EU'!N21</f>
        <v>Wait</v>
      </c>
      <c r="AT22" s="34" t="str">
        <f ca="1">'Red Cash'!N21</f>
        <v>Wait</v>
      </c>
      <c r="AU22" s="34" t="str">
        <f ca="1">Aspiring!N21</f>
        <v>Achived</v>
      </c>
      <c r="AV22" s="34" t="str">
        <f ca="1">ICC!N21</f>
        <v>Achived</v>
      </c>
      <c r="AW22" s="34" t="str">
        <f ca="1">'SME-CM'!N21</f>
        <v>Wait</v>
      </c>
      <c r="XFD22" s="10">
        <f t="shared" si="0"/>
        <v>22</v>
      </c>
    </row>
    <row r="23" spans="1:49 16384:16384" x14ac:dyDescent="0.25">
      <c r="A23" s="15">
        <v>0.41666666666666669</v>
      </c>
      <c r="B23" s="17">
        <v>0.97</v>
      </c>
      <c r="C23" s="17">
        <v>0.86</v>
      </c>
      <c r="D23" s="17">
        <v>1</v>
      </c>
      <c r="E23" s="17">
        <v>0.97</v>
      </c>
      <c r="F23" s="17">
        <v>0.66</v>
      </c>
      <c r="G23" s="17">
        <v>0.92</v>
      </c>
      <c r="H23" s="15">
        <v>0.41666666666666702</v>
      </c>
      <c r="I23" s="27">
        <v>36</v>
      </c>
      <c r="J23" s="27">
        <v>15</v>
      </c>
      <c r="K23" s="27">
        <v>24</v>
      </c>
      <c r="L23" s="27">
        <v>38</v>
      </c>
      <c r="M23" s="27">
        <v>38</v>
      </c>
      <c r="N23" s="27">
        <v>21</v>
      </c>
      <c r="O23" s="15">
        <v>0.41666666666666702</v>
      </c>
      <c r="P23" s="27">
        <v>88</v>
      </c>
      <c r="Q23" s="27">
        <v>68</v>
      </c>
      <c r="R23" s="27">
        <v>24</v>
      </c>
      <c r="S23" s="27">
        <v>69</v>
      </c>
      <c r="T23" s="27">
        <v>98</v>
      </c>
      <c r="U23" s="27">
        <v>93</v>
      </c>
      <c r="V23" s="15">
        <v>0.41666666666666702</v>
      </c>
      <c r="W23" s="50">
        <v>15</v>
      </c>
      <c r="X23" s="50">
        <v>6</v>
      </c>
      <c r="Y23" s="50">
        <v>9</v>
      </c>
      <c r="Z23" s="50">
        <v>17</v>
      </c>
      <c r="AA23" s="50">
        <v>13</v>
      </c>
      <c r="AB23" s="50">
        <v>8</v>
      </c>
      <c r="AC23" s="15">
        <v>0.41666666666666702</v>
      </c>
      <c r="AD23" s="18">
        <v>0.29652777777777778</v>
      </c>
      <c r="AE23" s="18">
        <v>0.15347222222222223</v>
      </c>
      <c r="AF23" s="18">
        <v>0.18541666666666667</v>
      </c>
      <c r="AG23" s="18">
        <v>0.34375</v>
      </c>
      <c r="AH23" s="18">
        <v>0.2722222222222222</v>
      </c>
      <c r="AI23" s="18">
        <v>0.15</v>
      </c>
      <c r="AJ23" s="15">
        <v>100</v>
      </c>
      <c r="AK23" s="2">
        <f ca="1">HLOOKUP($AX$1,[1]EU!$B$2:$AF$51,XFD23,0)</f>
        <v>62</v>
      </c>
      <c r="AL23" s="2">
        <f ca="1">HLOOKUP($AX$1,'[1]Enterprise Aspiring'!$B$2:$AF$51,XFD23,0)</f>
        <v>19</v>
      </c>
      <c r="AM23" s="2">
        <f ca="1">HLOOKUP($AX$1,'[1]Red Cash'!$B$2:$AF$51,XFD23,0)</f>
        <v>34</v>
      </c>
      <c r="AN23" s="2">
        <f ca="1">HLOOKUP($AX$1,[1]Aspiring!$B$2:$AF$51,XFD23,0)</f>
        <v>45</v>
      </c>
      <c r="AO23" s="2">
        <f ca="1">HLOOKUP($AX$1,[1]ICC!$B$2:$AF$51,XFD23,0)</f>
        <v>34</v>
      </c>
      <c r="AP23" s="2">
        <f ca="1">HLOOKUP($AX$1,[1]CM!$B$2:$AF$51,XFD23,0)</f>
        <v>20</v>
      </c>
      <c r="AQ23" s="32">
        <v>0.41666666666666702</v>
      </c>
      <c r="AR23" s="34" t="str">
        <f ca="1">EU!N22</f>
        <v>Wait</v>
      </c>
      <c r="AS23" s="34" t="str">
        <f ca="1">'R.EU'!N22</f>
        <v>Wait</v>
      </c>
      <c r="AT23" s="34" t="str">
        <f ca="1">'Red Cash'!N22</f>
        <v>Wait</v>
      </c>
      <c r="AU23" s="34" t="str">
        <f ca="1">Aspiring!N22</f>
        <v>Wait</v>
      </c>
      <c r="AV23" s="34" t="str">
        <f ca="1">ICC!N22</f>
        <v>Achived</v>
      </c>
      <c r="AW23" s="34" t="str">
        <f ca="1">'SME-CM'!N22</f>
        <v>Achived</v>
      </c>
      <c r="XFD23" s="10">
        <f t="shared" si="0"/>
        <v>23</v>
      </c>
    </row>
    <row r="24" spans="1:49 16384:16384" x14ac:dyDescent="0.25">
      <c r="A24" s="15">
        <v>0.4375</v>
      </c>
      <c r="B24" s="17">
        <v>0.78</v>
      </c>
      <c r="C24" s="17">
        <v>1</v>
      </c>
      <c r="D24" s="17">
        <v>1</v>
      </c>
      <c r="E24" s="17">
        <v>0.83</v>
      </c>
      <c r="F24" s="17">
        <v>0.38</v>
      </c>
      <c r="G24" s="17">
        <v>0.77</v>
      </c>
      <c r="H24" s="15">
        <v>0.4375</v>
      </c>
      <c r="I24" s="27">
        <v>56</v>
      </c>
      <c r="J24" s="27">
        <v>16</v>
      </c>
      <c r="K24" s="27">
        <v>33</v>
      </c>
      <c r="L24" s="27">
        <v>47</v>
      </c>
      <c r="M24" s="27">
        <v>44</v>
      </c>
      <c r="N24" s="27">
        <v>23</v>
      </c>
      <c r="O24" s="15">
        <v>0.4375</v>
      </c>
      <c r="P24" s="27">
        <v>94</v>
      </c>
      <c r="Q24" s="27">
        <v>64</v>
      </c>
      <c r="R24" s="27">
        <v>36</v>
      </c>
      <c r="S24" s="27">
        <v>84</v>
      </c>
      <c r="T24" s="27">
        <v>99</v>
      </c>
      <c r="U24" s="27">
        <v>93</v>
      </c>
      <c r="V24" s="15">
        <v>0.4375</v>
      </c>
      <c r="W24" s="50">
        <v>16</v>
      </c>
      <c r="X24" s="50">
        <v>8</v>
      </c>
      <c r="Y24" s="50">
        <v>9</v>
      </c>
      <c r="Z24" s="50">
        <v>18</v>
      </c>
      <c r="AA24" s="50">
        <v>14</v>
      </c>
      <c r="AB24" s="50">
        <v>8</v>
      </c>
      <c r="AC24" s="15">
        <v>0.4375</v>
      </c>
      <c r="AD24" s="18">
        <v>0.3298611111111111</v>
      </c>
      <c r="AE24" s="18">
        <v>0.15347222222222223</v>
      </c>
      <c r="AF24" s="18">
        <v>0.18541666666666667</v>
      </c>
      <c r="AG24" s="18">
        <v>0.34375</v>
      </c>
      <c r="AH24" s="18">
        <v>0.2722222222222222</v>
      </c>
      <c r="AI24" s="18">
        <v>0.15</v>
      </c>
      <c r="AJ24" s="15">
        <v>0.4375</v>
      </c>
      <c r="AK24" s="2">
        <f ca="1">HLOOKUP($AX$1,[1]EU!$B$2:$AF$51,XFD24,0)</f>
        <v>65</v>
      </c>
      <c r="AL24" s="2">
        <f ca="1">HLOOKUP($AX$1,'[1]Enterprise Aspiring'!$B$2:$AF$51,XFD24,0)</f>
        <v>20</v>
      </c>
      <c r="AM24" s="2">
        <f ca="1">HLOOKUP($AX$1,'[1]Red Cash'!$B$2:$AF$51,XFD24,0)</f>
        <v>36</v>
      </c>
      <c r="AN24" s="2">
        <f ca="1">HLOOKUP($AX$1,[1]Aspiring!$B$2:$AF$51,XFD24,0)</f>
        <v>43</v>
      </c>
      <c r="AO24" s="2">
        <f ca="1">HLOOKUP($AX$1,[1]ICC!$B$2:$AF$51,XFD24,0)</f>
        <v>41</v>
      </c>
      <c r="AP24" s="2">
        <f ca="1">HLOOKUP($AX$1,[1]CM!$B$2:$AF$51,XFD24,0)</f>
        <v>22</v>
      </c>
      <c r="AQ24" s="32">
        <v>0.4375</v>
      </c>
      <c r="AR24" s="34" t="str">
        <f ca="1">EU!N23</f>
        <v>Wait</v>
      </c>
      <c r="AS24" s="34" t="str">
        <f ca="1">'R.EU'!N23</f>
        <v>Wait</v>
      </c>
      <c r="AT24" s="34" t="str">
        <f ca="1">'Red Cash'!N23</f>
        <v>Wait</v>
      </c>
      <c r="AU24" s="34" t="str">
        <f ca="1">Aspiring!N23</f>
        <v>Achived</v>
      </c>
      <c r="AV24" s="34" t="str">
        <f ca="1">ICC!N23</f>
        <v>Achived</v>
      </c>
      <c r="AW24" s="34" t="str">
        <f ca="1">'SME-CM'!N23</f>
        <v>Achived</v>
      </c>
      <c r="XFD24" s="10">
        <f t="shared" si="0"/>
        <v>24</v>
      </c>
    </row>
    <row r="25" spans="1:49 16384:16384" x14ac:dyDescent="0.25">
      <c r="A25" s="15">
        <v>0.45833333333333298</v>
      </c>
      <c r="B25" s="17">
        <v>0.65</v>
      </c>
      <c r="C25" s="17">
        <v>0.81</v>
      </c>
      <c r="D25" s="17">
        <v>1</v>
      </c>
      <c r="E25" s="17">
        <v>1</v>
      </c>
      <c r="F25" s="17">
        <v>0.81</v>
      </c>
      <c r="G25" s="17">
        <v>0.59</v>
      </c>
      <c r="H25" s="15">
        <v>0.45833333333333298</v>
      </c>
      <c r="I25" s="27">
        <v>57</v>
      </c>
      <c r="J25" s="27">
        <v>22</v>
      </c>
      <c r="K25" s="27">
        <v>28</v>
      </c>
      <c r="L25" s="27">
        <v>36</v>
      </c>
      <c r="M25" s="27">
        <v>50</v>
      </c>
      <c r="N25" s="27">
        <v>25</v>
      </c>
      <c r="O25" s="15">
        <v>0.45833333333333298</v>
      </c>
      <c r="P25" s="27">
        <v>92</v>
      </c>
      <c r="Q25" s="27">
        <v>83</v>
      </c>
      <c r="R25" s="27">
        <v>49</v>
      </c>
      <c r="S25" s="27">
        <v>70</v>
      </c>
      <c r="T25" s="27">
        <v>93</v>
      </c>
      <c r="U25" s="27">
        <v>96</v>
      </c>
      <c r="V25" s="15">
        <v>0.45833333333333298</v>
      </c>
      <c r="W25" s="50">
        <v>19</v>
      </c>
      <c r="X25" s="50">
        <v>9</v>
      </c>
      <c r="Y25" s="50">
        <v>10</v>
      </c>
      <c r="Z25" s="50">
        <v>19</v>
      </c>
      <c r="AA25" s="50">
        <v>13</v>
      </c>
      <c r="AB25" s="50">
        <v>8</v>
      </c>
      <c r="AC25" s="15">
        <v>0.45833333333333298</v>
      </c>
      <c r="AD25" s="18">
        <v>0.34722222222222227</v>
      </c>
      <c r="AE25" s="18">
        <v>0.16874999999999998</v>
      </c>
      <c r="AF25" s="18">
        <v>0.18680555555555556</v>
      </c>
      <c r="AG25" s="18">
        <v>0.37152777777777773</v>
      </c>
      <c r="AH25" s="18">
        <v>0.29097222222222224</v>
      </c>
      <c r="AI25" s="18">
        <v>0.16597222222222222</v>
      </c>
      <c r="AJ25" s="15">
        <v>0.45833333333333298</v>
      </c>
      <c r="AK25" s="2">
        <f ca="1">HLOOKUP($AX$1,[1]EU!$B$2:$AF$51,XFD25,0)</f>
        <v>60</v>
      </c>
      <c r="AL25" s="2">
        <f ca="1">HLOOKUP($AX$1,'[1]Enterprise Aspiring'!$B$2:$AF$51,XFD25,0)</f>
        <v>22</v>
      </c>
      <c r="AM25" s="2">
        <f ca="1">HLOOKUP($AX$1,'[1]Red Cash'!$B$2:$AF$51,XFD25,0)</f>
        <v>41</v>
      </c>
      <c r="AN25" s="2">
        <f ca="1">HLOOKUP($AX$1,[1]Aspiring!$B$2:$AF$51,XFD25,0)</f>
        <v>45</v>
      </c>
      <c r="AO25" s="2">
        <f ca="1">HLOOKUP($AX$1,[1]ICC!$B$2:$AF$51,XFD25,0)</f>
        <v>46</v>
      </c>
      <c r="AP25" s="2">
        <f ca="1">HLOOKUP($AX$1,[1]CM!$B$2:$AF$51,XFD25,0)</f>
        <v>24</v>
      </c>
      <c r="AQ25" s="32">
        <v>0.45833333333333298</v>
      </c>
      <c r="AR25" s="34" t="str">
        <f ca="1">EU!N24</f>
        <v>Lost</v>
      </c>
      <c r="AS25" s="34" t="str">
        <f ca="1">'R.EU'!N24</f>
        <v>Achived</v>
      </c>
      <c r="AT25" s="34" t="str">
        <f ca="1">'Red Cash'!N24</f>
        <v>Wait</v>
      </c>
      <c r="AU25" s="34" t="str">
        <f ca="1">Aspiring!N24</f>
        <v>Wait</v>
      </c>
      <c r="AV25" s="34" t="str">
        <f ca="1">ICC!N24</f>
        <v>Achived</v>
      </c>
      <c r="AW25" s="34" t="str">
        <f ca="1">'SME-CM'!N24</f>
        <v>Achived</v>
      </c>
      <c r="XFD25" s="10">
        <f t="shared" si="0"/>
        <v>25</v>
      </c>
    </row>
    <row r="26" spans="1:49 16384:16384" x14ac:dyDescent="0.25">
      <c r="A26" s="15">
        <v>0.47916666666666702</v>
      </c>
      <c r="B26" s="17">
        <v>0.78</v>
      </c>
      <c r="C26" s="17">
        <v>0.94</v>
      </c>
      <c r="D26" s="17">
        <v>1</v>
      </c>
      <c r="E26" s="17">
        <v>0.85</v>
      </c>
      <c r="F26" s="17">
        <v>0.89</v>
      </c>
      <c r="G26" s="17">
        <v>0.78</v>
      </c>
      <c r="H26" s="15">
        <v>0.47916666666666702</v>
      </c>
      <c r="I26" s="27">
        <v>51</v>
      </c>
      <c r="J26" s="27">
        <v>17</v>
      </c>
      <c r="K26" s="27">
        <v>39</v>
      </c>
      <c r="L26" s="27">
        <v>36</v>
      </c>
      <c r="M26" s="27">
        <v>46</v>
      </c>
      <c r="N26" s="27">
        <v>17</v>
      </c>
      <c r="O26" s="15">
        <v>0.47916666666666702</v>
      </c>
      <c r="P26" s="27">
        <v>94</v>
      </c>
      <c r="Q26" s="27">
        <v>79</v>
      </c>
      <c r="R26" s="27">
        <v>52</v>
      </c>
      <c r="S26" s="27">
        <v>81</v>
      </c>
      <c r="T26" s="27">
        <v>95</v>
      </c>
      <c r="U26" s="27">
        <v>94</v>
      </c>
      <c r="V26" s="15">
        <v>0.47916666666666702</v>
      </c>
      <c r="W26" s="27">
        <v>17</v>
      </c>
      <c r="X26" s="27">
        <v>8</v>
      </c>
      <c r="Y26" s="27">
        <v>10</v>
      </c>
      <c r="Z26" s="27">
        <v>18</v>
      </c>
      <c r="AA26" s="27">
        <v>13</v>
      </c>
      <c r="AB26" s="27">
        <v>8</v>
      </c>
      <c r="AC26" s="15">
        <v>0.47916666666666702</v>
      </c>
      <c r="AD26" s="18">
        <v>0.38750000000000001</v>
      </c>
      <c r="AE26" s="18">
        <v>0.17500000000000002</v>
      </c>
      <c r="AF26" s="18">
        <v>0.17569444444444446</v>
      </c>
      <c r="AG26" s="18">
        <v>0.33819444444444446</v>
      </c>
      <c r="AH26" s="18">
        <v>0.26874999999999999</v>
      </c>
      <c r="AI26" s="18">
        <v>0.16597222222222222</v>
      </c>
      <c r="AJ26" s="15">
        <v>0.47916666666666702</v>
      </c>
      <c r="AK26" s="2">
        <f ca="1">HLOOKUP($AX$1,[1]EU!$B$2:$AF$51,XFD26,0)</f>
        <v>67</v>
      </c>
      <c r="AL26" s="2">
        <f ca="1">HLOOKUP($AX$1,'[1]Enterprise Aspiring'!$B$2:$AF$51,XFD26,0)</f>
        <v>22</v>
      </c>
      <c r="AM26" s="2">
        <f ca="1">HLOOKUP($AX$1,'[1]Red Cash'!$B$2:$AF$51,XFD26,0)</f>
        <v>37</v>
      </c>
      <c r="AN26" s="2">
        <f ca="1">HLOOKUP($AX$1,[1]Aspiring!$B$2:$AF$51,XFD26,0)</f>
        <v>40</v>
      </c>
      <c r="AO26" s="2">
        <f ca="1">HLOOKUP($AX$1,[1]ICC!$B$2:$AF$51,XFD26,0)</f>
        <v>49</v>
      </c>
      <c r="AP26" s="2">
        <f ca="1">HLOOKUP($AX$1,[1]CM!$B$2:$AF$51,XFD26,0)</f>
        <v>24</v>
      </c>
      <c r="AQ26" s="32">
        <v>0.47916666666666702</v>
      </c>
      <c r="AR26" s="34" t="str">
        <f ca="1">EU!N25</f>
        <v>Wait</v>
      </c>
      <c r="AS26" s="34" t="str">
        <f ca="1">'R.EU'!N25</f>
        <v>Wait</v>
      </c>
      <c r="AT26" s="34" t="str">
        <f ca="1">'Red Cash'!N25</f>
        <v>Achived</v>
      </c>
      <c r="AU26" s="34" t="str">
        <f ca="1">Aspiring!N25</f>
        <v>Wait</v>
      </c>
      <c r="AV26" s="34" t="str">
        <f ca="1">ICC!N25</f>
        <v>Wait</v>
      </c>
      <c r="AW26" s="34" t="str">
        <f ca="1">'SME-CM'!N25</f>
        <v>Wait</v>
      </c>
      <c r="XFD26" s="10">
        <f t="shared" si="0"/>
        <v>26</v>
      </c>
    </row>
    <row r="27" spans="1:49 16384:16384" x14ac:dyDescent="0.25">
      <c r="A27" s="15">
        <v>0.5</v>
      </c>
      <c r="B27" s="17">
        <v>0.75</v>
      </c>
      <c r="C27" s="17">
        <v>0.82</v>
      </c>
      <c r="D27" s="17">
        <v>1</v>
      </c>
      <c r="E27" s="17">
        <v>1</v>
      </c>
      <c r="F27" s="17">
        <v>0.94</v>
      </c>
      <c r="G27" s="17">
        <v>0.84</v>
      </c>
      <c r="H27" s="15">
        <v>0.5</v>
      </c>
      <c r="I27" s="27">
        <v>69</v>
      </c>
      <c r="J27" s="27">
        <v>16</v>
      </c>
      <c r="K27" s="27">
        <v>28</v>
      </c>
      <c r="L27" s="27">
        <v>47</v>
      </c>
      <c r="M27" s="27">
        <v>43</v>
      </c>
      <c r="N27" s="27">
        <v>26</v>
      </c>
      <c r="O27" s="15">
        <v>0.5</v>
      </c>
      <c r="P27" s="27">
        <v>94</v>
      </c>
      <c r="Q27" s="27">
        <v>83</v>
      </c>
      <c r="R27" s="27">
        <v>55</v>
      </c>
      <c r="S27" s="27">
        <v>74</v>
      </c>
      <c r="T27" s="27">
        <v>92</v>
      </c>
      <c r="U27" s="27">
        <v>93</v>
      </c>
      <c r="V27" s="15">
        <v>0.5</v>
      </c>
      <c r="W27" s="50">
        <v>20</v>
      </c>
      <c r="X27" s="50">
        <v>7</v>
      </c>
      <c r="Y27" s="50">
        <v>11</v>
      </c>
      <c r="Z27" s="50">
        <v>21</v>
      </c>
      <c r="AA27" s="50">
        <v>14</v>
      </c>
      <c r="AB27" s="50">
        <v>8</v>
      </c>
      <c r="AC27" s="15">
        <v>0.5</v>
      </c>
      <c r="AD27" s="18">
        <v>0.3972222222222222</v>
      </c>
      <c r="AE27" s="18">
        <v>0.15347222222222223</v>
      </c>
      <c r="AF27" s="18">
        <v>0.20902777777777778</v>
      </c>
      <c r="AG27" s="18">
        <v>0.43402777777777773</v>
      </c>
      <c r="AH27" s="18">
        <v>0.29236111111111113</v>
      </c>
      <c r="AI27" s="18">
        <v>0.16527777777777777</v>
      </c>
      <c r="AJ27" s="15">
        <v>0.5</v>
      </c>
      <c r="AK27" s="2">
        <f ca="1">HLOOKUP($AX$1,[1]EU!$B$2:$AF$51,XFD27,0)</f>
        <v>67</v>
      </c>
      <c r="AL27" s="2">
        <f ca="1">HLOOKUP($AX$1,'[1]Enterprise Aspiring'!$B$2:$AF$51,XFD27,0)</f>
        <v>22</v>
      </c>
      <c r="AM27" s="2">
        <f ca="1">HLOOKUP($AX$1,'[1]Red Cash'!$B$2:$AF$51,XFD27,0)</f>
        <v>40</v>
      </c>
      <c r="AN27" s="2">
        <f ca="1">HLOOKUP($AX$1,[1]Aspiring!$B$2:$AF$51,XFD27,0)</f>
        <v>57</v>
      </c>
      <c r="AO27" s="2">
        <f ca="1">HLOOKUP($AX$1,[1]ICC!$B$2:$AF$51,XFD27,0)</f>
        <v>57</v>
      </c>
      <c r="AP27" s="2">
        <f ca="1">HLOOKUP($AX$1,[1]CM!$B$2:$AF$51,XFD27,0)</f>
        <v>26</v>
      </c>
      <c r="AQ27" s="32">
        <v>0.5</v>
      </c>
      <c r="AR27" s="34" t="str">
        <f ca="1">EU!N26</f>
        <v>Achived</v>
      </c>
      <c r="AS27" s="34" t="str">
        <f ca="1">'R.EU'!N26</f>
        <v>Wait</v>
      </c>
      <c r="AT27" s="34" t="str">
        <f ca="1">'Red Cash'!N26</f>
        <v>Wait</v>
      </c>
      <c r="AU27" s="34" t="str">
        <f ca="1">Aspiring!N26</f>
        <v>Wait</v>
      </c>
      <c r="AV27" s="34" t="str">
        <f ca="1">ICC!N26</f>
        <v>Wait</v>
      </c>
      <c r="AW27" s="34" t="str">
        <f ca="1">'SME-CM'!N26</f>
        <v>Achived</v>
      </c>
      <c r="XFD27" s="10">
        <f t="shared" si="0"/>
        <v>27</v>
      </c>
    </row>
    <row r="28" spans="1:49 16384:16384" x14ac:dyDescent="0.25">
      <c r="A28" s="15">
        <v>0.52083333333333304</v>
      </c>
      <c r="B28" s="17">
        <v>0.71</v>
      </c>
      <c r="C28" s="17">
        <v>0.75</v>
      </c>
      <c r="D28" s="17">
        <v>1</v>
      </c>
      <c r="E28" s="17">
        <v>0.81</v>
      </c>
      <c r="F28" s="17">
        <v>0.35</v>
      </c>
      <c r="G28" s="17">
        <v>0.57999999999999996</v>
      </c>
      <c r="H28" s="15">
        <v>0.52083333333333304</v>
      </c>
      <c r="I28" s="27">
        <v>55</v>
      </c>
      <c r="J28" s="27">
        <v>18</v>
      </c>
      <c r="K28" s="27">
        <v>46</v>
      </c>
      <c r="L28" s="27">
        <v>61</v>
      </c>
      <c r="M28" s="27">
        <v>58</v>
      </c>
      <c r="N28" s="27">
        <v>25</v>
      </c>
      <c r="O28" s="15">
        <v>0.52083333333333304</v>
      </c>
      <c r="P28" s="27">
        <v>93</v>
      </c>
      <c r="Q28" s="27">
        <v>76</v>
      </c>
      <c r="R28" s="27">
        <v>67</v>
      </c>
      <c r="S28" s="27">
        <v>87</v>
      </c>
      <c r="T28" s="27">
        <v>98</v>
      </c>
      <c r="U28" s="27">
        <v>95</v>
      </c>
      <c r="V28" s="15">
        <v>0.52083333333333304</v>
      </c>
      <c r="W28" s="50">
        <v>21</v>
      </c>
      <c r="X28" s="50">
        <v>6</v>
      </c>
      <c r="Y28" s="50">
        <v>11</v>
      </c>
      <c r="Z28" s="50">
        <v>23</v>
      </c>
      <c r="AA28" s="50">
        <v>14</v>
      </c>
      <c r="AB28" s="50">
        <v>8</v>
      </c>
      <c r="AC28" s="15">
        <v>0.52083333333333304</v>
      </c>
      <c r="AD28" s="18">
        <v>0.41944444444444445</v>
      </c>
      <c r="AE28" s="18">
        <v>0.14166666666666666</v>
      </c>
      <c r="AF28" s="18">
        <v>0.2298611111111111</v>
      </c>
      <c r="AG28" s="18">
        <v>0.43124999999999997</v>
      </c>
      <c r="AH28" s="18">
        <v>0.28402777777777777</v>
      </c>
      <c r="AI28" s="18">
        <v>0.16597222222222222</v>
      </c>
      <c r="AJ28" s="15">
        <v>0.52083333333333304</v>
      </c>
      <c r="AK28" s="2">
        <f ca="1">HLOOKUP($AX$1,[1]EU!$B$2:$AF$51,XFD28,0)</f>
        <v>74</v>
      </c>
      <c r="AL28" s="2">
        <f ca="1">HLOOKUP($AX$1,'[1]Enterprise Aspiring'!$B$2:$AF$51,XFD28,0)</f>
        <v>28</v>
      </c>
      <c r="AM28" s="2">
        <f ca="1">HLOOKUP($AX$1,'[1]Red Cash'!$B$2:$AF$51,XFD28,0)</f>
        <v>49</v>
      </c>
      <c r="AN28" s="2">
        <f ca="1">HLOOKUP($AX$1,[1]Aspiring!$B$2:$AF$51,XFD28,0)</f>
        <v>52</v>
      </c>
      <c r="AO28" s="2">
        <f ca="1">HLOOKUP($AX$1,[1]ICC!$B$2:$AF$51,XFD28,0)</f>
        <v>54</v>
      </c>
      <c r="AP28" s="2">
        <f ca="1">HLOOKUP($AX$1,[1]CM!$B$2:$AF$51,XFD28,0)</f>
        <v>27</v>
      </c>
      <c r="AQ28" s="32">
        <v>0.52083333333333304</v>
      </c>
      <c r="AR28" s="34" t="str">
        <f ca="1">EU!N27</f>
        <v>Lost</v>
      </c>
      <c r="AS28" s="34" t="str">
        <f ca="1">'R.EU'!N27</f>
        <v>Wait</v>
      </c>
      <c r="AT28" s="34" t="str">
        <f ca="1">'Red Cash'!N27</f>
        <v>Wait</v>
      </c>
      <c r="AU28" s="34" t="str">
        <f ca="1">Aspiring!N27</f>
        <v>Achived</v>
      </c>
      <c r="AV28" s="34" t="str">
        <f ca="1">ICC!N27</f>
        <v>Achived</v>
      </c>
      <c r="AW28" s="34" t="str">
        <f ca="1">'SME-CM'!N27</f>
        <v>Lost</v>
      </c>
      <c r="XFD28" s="10">
        <f t="shared" si="0"/>
        <v>28</v>
      </c>
    </row>
    <row r="29" spans="1:49 16384:16384" x14ac:dyDescent="0.25">
      <c r="A29" s="15">
        <v>0.54166666666666696</v>
      </c>
      <c r="B29" s="17">
        <v>0.84</v>
      </c>
      <c r="C29" s="17">
        <v>0.62</v>
      </c>
      <c r="D29" s="17">
        <v>0.93</v>
      </c>
      <c r="E29" s="17">
        <v>0.96</v>
      </c>
      <c r="F29" s="17">
        <v>0.91</v>
      </c>
      <c r="G29" s="17">
        <v>0.53</v>
      </c>
      <c r="H29" s="15">
        <v>0.54166666666666696</v>
      </c>
      <c r="I29" s="27">
        <v>60</v>
      </c>
      <c r="J29" s="27">
        <v>15</v>
      </c>
      <c r="K29" s="27">
        <v>47</v>
      </c>
      <c r="L29" s="27">
        <v>50</v>
      </c>
      <c r="M29" s="27">
        <v>52</v>
      </c>
      <c r="N29" s="27">
        <v>30</v>
      </c>
      <c r="O29" s="15">
        <v>0.54166666666666696</v>
      </c>
      <c r="P29" s="27">
        <v>96</v>
      </c>
      <c r="Q29" s="27">
        <v>60</v>
      </c>
      <c r="R29" s="27">
        <v>72</v>
      </c>
      <c r="S29" s="27">
        <v>84</v>
      </c>
      <c r="T29" s="27">
        <v>94</v>
      </c>
      <c r="U29" s="27">
        <v>87</v>
      </c>
      <c r="V29" s="15">
        <v>0.54166666666666696</v>
      </c>
      <c r="W29" s="50">
        <v>22</v>
      </c>
      <c r="X29" s="50">
        <v>8</v>
      </c>
      <c r="Y29" s="50">
        <v>12</v>
      </c>
      <c r="Z29" s="50">
        <v>20</v>
      </c>
      <c r="AA29" s="50">
        <v>16</v>
      </c>
      <c r="AB29" s="50">
        <v>8</v>
      </c>
      <c r="AC29" s="15">
        <v>0.54166666666666696</v>
      </c>
      <c r="AD29" s="18">
        <v>0.44236111111111115</v>
      </c>
      <c r="AE29" s="18">
        <v>0.14722222222222223</v>
      </c>
      <c r="AF29" s="18">
        <v>0.22708333333333333</v>
      </c>
      <c r="AG29" s="18">
        <v>0.42638888888888887</v>
      </c>
      <c r="AH29" s="18">
        <v>0.31180555555555556</v>
      </c>
      <c r="AI29" s="18">
        <v>0.16597222222222222</v>
      </c>
      <c r="AJ29" s="15">
        <v>0.54166666666666696</v>
      </c>
      <c r="AK29" s="2">
        <f ca="1">HLOOKUP($AX$1,[1]EU!$B$2:$AF$51,XFD29,0)</f>
        <v>78</v>
      </c>
      <c r="AL29" s="2">
        <f ca="1">HLOOKUP($AX$1,'[1]Enterprise Aspiring'!$B$2:$AF$51,XFD29,0)</f>
        <v>21</v>
      </c>
      <c r="AM29" s="2">
        <f ca="1">HLOOKUP($AX$1,'[1]Red Cash'!$B$2:$AF$51,XFD29,0)</f>
        <v>54</v>
      </c>
      <c r="AN29" s="2">
        <f ca="1">HLOOKUP($AX$1,[1]Aspiring!$B$2:$AF$51,XFD29,0)</f>
        <v>54</v>
      </c>
      <c r="AO29" s="2">
        <f ca="1">HLOOKUP($AX$1,[1]ICC!$B$2:$AF$51,XFD29,0)</f>
        <v>68</v>
      </c>
      <c r="AP29" s="2">
        <f ca="1">HLOOKUP($AX$1,[1]CM!$B$2:$AF$51,XFD29,0)</f>
        <v>30</v>
      </c>
      <c r="AQ29" s="32">
        <v>0.54166666666666696</v>
      </c>
      <c r="AR29" s="34" t="str">
        <f ca="1">EU!N28</f>
        <v>Wait</v>
      </c>
      <c r="AS29" s="34" t="str">
        <f ca="1">'R.EU'!N28</f>
        <v>Lost</v>
      </c>
      <c r="AT29" s="34" t="str">
        <f ca="1">'Red Cash'!N28</f>
        <v>Wait</v>
      </c>
      <c r="AU29" s="34" t="str">
        <f ca="1">Aspiring!N28</f>
        <v>Wait</v>
      </c>
      <c r="AV29" s="34" t="str">
        <f ca="1">ICC!N28</f>
        <v>Wait</v>
      </c>
      <c r="AW29" s="34" t="str">
        <f ca="1">'SME-CM'!N28</f>
        <v>Achived</v>
      </c>
      <c r="XFD29" s="10">
        <f t="shared" si="0"/>
        <v>29</v>
      </c>
    </row>
    <row r="30" spans="1:49 16384:16384" x14ac:dyDescent="0.25">
      <c r="A30" s="15">
        <v>0.5625</v>
      </c>
      <c r="B30" s="17">
        <v>0.77</v>
      </c>
      <c r="C30" s="17">
        <v>0.95</v>
      </c>
      <c r="D30" s="17">
        <v>1</v>
      </c>
      <c r="E30" s="17">
        <v>0.82</v>
      </c>
      <c r="F30" s="17">
        <v>0.81</v>
      </c>
      <c r="G30" s="17">
        <v>0.56999999999999995</v>
      </c>
      <c r="H30" s="15">
        <v>0.5625</v>
      </c>
      <c r="I30" s="27">
        <v>66</v>
      </c>
      <c r="J30" s="27">
        <v>21</v>
      </c>
      <c r="K30" s="27">
        <v>49</v>
      </c>
      <c r="L30" s="27">
        <v>50</v>
      </c>
      <c r="M30" s="27">
        <v>69</v>
      </c>
      <c r="N30" s="27">
        <v>30</v>
      </c>
      <c r="O30" s="15">
        <v>0.5625</v>
      </c>
      <c r="P30" s="27">
        <v>94</v>
      </c>
      <c r="Q30" s="27">
        <v>74</v>
      </c>
      <c r="R30" s="27">
        <v>66</v>
      </c>
      <c r="S30" s="27">
        <v>82</v>
      </c>
      <c r="T30" s="27">
        <v>97</v>
      </c>
      <c r="U30" s="27">
        <v>96</v>
      </c>
      <c r="V30" s="15">
        <v>0.5625</v>
      </c>
      <c r="W30" s="50">
        <v>22</v>
      </c>
      <c r="X30" s="50">
        <v>8</v>
      </c>
      <c r="Y30" s="50">
        <v>12</v>
      </c>
      <c r="Z30" s="50">
        <v>21</v>
      </c>
      <c r="AA30" s="50">
        <v>19</v>
      </c>
      <c r="AB30" s="50">
        <v>9</v>
      </c>
      <c r="AC30" s="15">
        <v>0.5625</v>
      </c>
      <c r="AD30" s="18">
        <v>0.45277777777777778</v>
      </c>
      <c r="AE30" s="18">
        <v>0.16597222222222222</v>
      </c>
      <c r="AF30" s="18">
        <v>0.2388888888888889</v>
      </c>
      <c r="AG30" s="18">
        <v>0.40763888888888888</v>
      </c>
      <c r="AH30" s="18">
        <v>0.37777777777777777</v>
      </c>
      <c r="AI30" s="18">
        <v>0.16944444444444443</v>
      </c>
      <c r="AJ30" s="15">
        <v>0.5625</v>
      </c>
      <c r="AK30" s="2">
        <f ca="1">HLOOKUP($AX$1,[1]EU!$B$2:$AF$51,XFD30,0)</f>
        <v>71</v>
      </c>
      <c r="AL30" s="2">
        <f ca="1">HLOOKUP($AX$1,'[1]Enterprise Aspiring'!$B$2:$AF$51,XFD30,0)</f>
        <v>27</v>
      </c>
      <c r="AM30" s="2">
        <f ca="1">HLOOKUP($AX$1,'[1]Red Cash'!$B$2:$AF$51,XFD30,0)</f>
        <v>57</v>
      </c>
      <c r="AN30" s="2">
        <f ca="1">HLOOKUP($AX$1,[1]Aspiring!$B$2:$AF$51,XFD30,0)</f>
        <v>55</v>
      </c>
      <c r="AO30" s="2">
        <f ca="1">HLOOKUP($AX$1,[1]ICC!$B$2:$AF$51,XFD30,0)</f>
        <v>64</v>
      </c>
      <c r="AP30" s="2">
        <f ca="1">HLOOKUP($AX$1,[1]CM!$B$2:$AF$51,XFD30,0)</f>
        <v>29</v>
      </c>
      <c r="AQ30" s="32">
        <v>0.5625</v>
      </c>
      <c r="AR30" s="34" t="str">
        <f ca="1">EU!N29</f>
        <v>Wait</v>
      </c>
      <c r="AS30" s="34" t="str">
        <f ca="1">'R.EU'!N29</f>
        <v>Wait</v>
      </c>
      <c r="AT30" s="34" t="str">
        <f ca="1">'Red Cash'!N29</f>
        <v>Wait</v>
      </c>
      <c r="AU30" s="34" t="str">
        <f ca="1">Aspiring!N29</f>
        <v>Wait</v>
      </c>
      <c r="AV30" s="34" t="str">
        <f ca="1">ICC!N29</f>
        <v>Achived</v>
      </c>
      <c r="AW30" s="34" t="str">
        <f ca="1">'SME-CM'!N29</f>
        <v>Achived</v>
      </c>
      <c r="XFD30" s="10">
        <f t="shared" si="0"/>
        <v>30</v>
      </c>
    </row>
    <row r="31" spans="1:49 16384:16384" x14ac:dyDescent="0.25">
      <c r="A31" s="15">
        <v>0.58333333333333304</v>
      </c>
      <c r="B31" s="17">
        <v>0.64</v>
      </c>
      <c r="C31" s="17">
        <v>0.6</v>
      </c>
      <c r="D31" s="17">
        <v>0.95</v>
      </c>
      <c r="E31" s="17">
        <v>0.73</v>
      </c>
      <c r="F31" s="17">
        <v>0.45</v>
      </c>
      <c r="G31" s="17">
        <v>0.71</v>
      </c>
      <c r="H31" s="15">
        <v>0.58333333333333304</v>
      </c>
      <c r="I31" s="27">
        <v>62</v>
      </c>
      <c r="J31" s="27">
        <v>22</v>
      </c>
      <c r="K31" s="27">
        <v>26</v>
      </c>
      <c r="L31" s="27">
        <v>55</v>
      </c>
      <c r="M31" s="27">
        <v>80</v>
      </c>
      <c r="N31" s="27">
        <v>26</v>
      </c>
      <c r="O31" s="15">
        <v>0.58333333333333304</v>
      </c>
      <c r="P31" s="27">
        <v>80</v>
      </c>
      <c r="Q31" s="27">
        <v>81</v>
      </c>
      <c r="R31" s="27">
        <v>63</v>
      </c>
      <c r="S31" s="27">
        <v>90</v>
      </c>
      <c r="T31" s="27">
        <v>98</v>
      </c>
      <c r="U31" s="27">
        <v>90</v>
      </c>
      <c r="V31" s="15">
        <v>0.58333333333333304</v>
      </c>
      <c r="W31" s="50">
        <v>26</v>
      </c>
      <c r="X31" s="50">
        <v>8</v>
      </c>
      <c r="Y31" s="50">
        <v>10</v>
      </c>
      <c r="Z31" s="50">
        <v>21</v>
      </c>
      <c r="AA31" s="50">
        <v>20</v>
      </c>
      <c r="AB31" s="50">
        <v>10</v>
      </c>
      <c r="AC31" s="15">
        <v>0.58333333333333304</v>
      </c>
      <c r="AD31" s="18">
        <v>0.4916666666666667</v>
      </c>
      <c r="AE31" s="18">
        <v>0.16597222222222222</v>
      </c>
      <c r="AF31" s="18">
        <v>0.23194444444444443</v>
      </c>
      <c r="AG31" s="18">
        <v>0.38750000000000001</v>
      </c>
      <c r="AH31" s="18">
        <v>0.4145833333333333</v>
      </c>
      <c r="AI31" s="18">
        <v>0.17569444444444446</v>
      </c>
      <c r="AJ31" s="15">
        <v>0.58333333333333304</v>
      </c>
      <c r="AK31" s="2">
        <f ca="1">HLOOKUP($AX$1,[1]EU!$B$2:$AF$51,XFD31,0)</f>
        <v>70</v>
      </c>
      <c r="AL31" s="2">
        <f ca="1">HLOOKUP($AX$1,'[1]Enterprise Aspiring'!$B$2:$AF$51,XFD31,0)</f>
        <v>28</v>
      </c>
      <c r="AM31" s="2">
        <f ca="1">HLOOKUP($AX$1,'[1]Red Cash'!$B$2:$AF$51,XFD31,0)</f>
        <v>59</v>
      </c>
      <c r="AN31" s="2">
        <f ca="1">HLOOKUP($AX$1,[1]Aspiring!$B$2:$AF$51,XFD31,0)</f>
        <v>58</v>
      </c>
      <c r="AO31" s="2">
        <f ca="1">HLOOKUP($AX$1,[1]ICC!$B$2:$AF$51,XFD31,0)</f>
        <v>85</v>
      </c>
      <c r="AP31" s="2">
        <f ca="1">HLOOKUP($AX$1,[1]CM!$B$2:$AF$51,XFD31,0)</f>
        <v>29</v>
      </c>
      <c r="AQ31" s="32">
        <v>0.58333333333333304</v>
      </c>
      <c r="AR31" s="34" t="str">
        <f ca="1">EU!N30</f>
        <v>Lost</v>
      </c>
      <c r="AS31" s="34" t="str">
        <f ca="1">'R.EU'!N30</f>
        <v>Lost</v>
      </c>
      <c r="AT31" s="34" t="str">
        <f ca="1">'Red Cash'!N30</f>
        <v>Wait</v>
      </c>
      <c r="AU31" s="34" t="str">
        <f ca="1">Aspiring!N30</f>
        <v>Lost</v>
      </c>
      <c r="AV31" s="34" t="str">
        <f ca="1">ICC!N30</f>
        <v>Lost</v>
      </c>
      <c r="AW31" s="34" t="str">
        <f ca="1">'SME-CM'!N30</f>
        <v>Lost</v>
      </c>
      <c r="XFD31" s="10">
        <f t="shared" si="0"/>
        <v>31</v>
      </c>
    </row>
    <row r="32" spans="1:49 16384:16384" x14ac:dyDescent="0.25">
      <c r="A32" s="15">
        <v>0.60416666666666696</v>
      </c>
      <c r="B32" s="17">
        <v>0.88</v>
      </c>
      <c r="C32" s="17">
        <v>0.87</v>
      </c>
      <c r="D32" s="17">
        <v>1</v>
      </c>
      <c r="E32" s="17">
        <v>1</v>
      </c>
      <c r="F32" s="17">
        <v>0.52</v>
      </c>
      <c r="G32" s="17">
        <v>0.94</v>
      </c>
      <c r="H32" s="15">
        <v>0.60416666666666696</v>
      </c>
      <c r="I32" s="27">
        <v>72</v>
      </c>
      <c r="J32" s="27">
        <v>15</v>
      </c>
      <c r="K32" s="27">
        <v>50</v>
      </c>
      <c r="L32" s="27">
        <v>42</v>
      </c>
      <c r="M32" s="27">
        <v>89</v>
      </c>
      <c r="N32" s="27">
        <v>19</v>
      </c>
      <c r="O32" s="15">
        <v>0.60416666666666696</v>
      </c>
      <c r="P32" s="27">
        <v>94</v>
      </c>
      <c r="Q32" s="27">
        <v>85</v>
      </c>
      <c r="R32" s="27">
        <v>72</v>
      </c>
      <c r="S32" s="27">
        <v>75</v>
      </c>
      <c r="T32" s="27">
        <v>97</v>
      </c>
      <c r="U32" s="27">
        <v>79</v>
      </c>
      <c r="V32" s="15">
        <v>0.60416666666666696</v>
      </c>
      <c r="W32" s="50">
        <v>28</v>
      </c>
      <c r="X32" s="50">
        <v>9</v>
      </c>
      <c r="Y32" s="50">
        <v>12</v>
      </c>
      <c r="Z32" s="50">
        <v>23</v>
      </c>
      <c r="AA32" s="50">
        <v>19</v>
      </c>
      <c r="AB32" s="50">
        <v>13</v>
      </c>
      <c r="AC32" s="15">
        <v>0.60416666666666696</v>
      </c>
      <c r="AD32" s="18">
        <v>0.53333333333333333</v>
      </c>
      <c r="AE32" s="18">
        <v>0.17222222222222225</v>
      </c>
      <c r="AF32" s="18">
        <v>0.24513888888888888</v>
      </c>
      <c r="AG32" s="18">
        <v>0.45347222222222222</v>
      </c>
      <c r="AH32" s="18">
        <v>0.3840277777777778</v>
      </c>
      <c r="AI32" s="18">
        <v>0.22430555555555556</v>
      </c>
      <c r="AJ32" s="15">
        <v>0.60416666666666696</v>
      </c>
      <c r="AK32" s="2">
        <f ca="1">HLOOKUP($AX$1,[1]EU!$B$2:$AF$51,XFD32,0)</f>
        <v>63</v>
      </c>
      <c r="AL32" s="2">
        <f ca="1">HLOOKUP($AX$1,'[1]Enterprise Aspiring'!$B$2:$AF$51,XFD32,0)</f>
        <v>25</v>
      </c>
      <c r="AM32" s="2">
        <f ca="1">HLOOKUP($AX$1,'[1]Red Cash'!$B$2:$AF$51,XFD32,0)</f>
        <v>50</v>
      </c>
      <c r="AN32" s="2">
        <f ca="1">HLOOKUP($AX$1,[1]Aspiring!$B$2:$AF$51,XFD32,0)</f>
        <v>67</v>
      </c>
      <c r="AO32" s="2">
        <f ca="1">HLOOKUP($AX$1,[1]ICC!$B$2:$AF$51,XFD32,0)</f>
        <v>81</v>
      </c>
      <c r="AP32" s="2">
        <f ca="1">HLOOKUP($AX$1,[1]CM!$B$2:$AF$51,XFD32,0)</f>
        <v>24</v>
      </c>
      <c r="AQ32" s="32">
        <v>0.60416666666666696</v>
      </c>
      <c r="AR32" s="34" t="str">
        <f ca="1">EU!N31</f>
        <v>Achived</v>
      </c>
      <c r="AS32" s="34" t="str">
        <f ca="1">'R.EU'!N31</f>
        <v>Wait</v>
      </c>
      <c r="AT32" s="34" t="str">
        <f ca="1">'Red Cash'!N31</f>
        <v>Achived</v>
      </c>
      <c r="AU32" s="34" t="str">
        <f ca="1">Aspiring!N31</f>
        <v>Wait</v>
      </c>
      <c r="AV32" s="34" t="str">
        <f ca="1">ICC!N31</f>
        <v>Achived</v>
      </c>
      <c r="AW32" s="34" t="str">
        <f ca="1">'SME-CM'!N31</f>
        <v>Wait</v>
      </c>
      <c r="XFD32" s="10">
        <f t="shared" si="0"/>
        <v>32</v>
      </c>
    </row>
    <row r="33" spans="1:49 16384:16384" x14ac:dyDescent="0.25">
      <c r="A33" s="15">
        <v>0.625</v>
      </c>
      <c r="B33" s="17">
        <v>0.9</v>
      </c>
      <c r="C33" s="17">
        <v>0.38</v>
      </c>
      <c r="D33" s="17">
        <v>1</v>
      </c>
      <c r="E33" s="17">
        <v>0.93</v>
      </c>
      <c r="F33" s="17">
        <v>0.73</v>
      </c>
      <c r="G33" s="17">
        <v>1</v>
      </c>
      <c r="H33" s="15">
        <v>0.625</v>
      </c>
      <c r="I33" s="27">
        <v>65</v>
      </c>
      <c r="J33" s="27">
        <v>18</v>
      </c>
      <c r="K33" s="27">
        <v>33</v>
      </c>
      <c r="L33" s="27">
        <v>58</v>
      </c>
      <c r="M33" s="27">
        <v>85</v>
      </c>
      <c r="N33" s="27">
        <v>22</v>
      </c>
      <c r="O33" s="15">
        <v>0.625</v>
      </c>
      <c r="P33" s="27">
        <v>91</v>
      </c>
      <c r="Q33" s="27">
        <v>88</v>
      </c>
      <c r="R33" s="27">
        <v>70</v>
      </c>
      <c r="S33" s="27">
        <v>82</v>
      </c>
      <c r="T33" s="27">
        <v>97</v>
      </c>
      <c r="U33" s="27">
        <v>85</v>
      </c>
      <c r="V33" s="15">
        <v>0.625</v>
      </c>
      <c r="W33" s="27">
        <v>27</v>
      </c>
      <c r="X33" s="27">
        <v>8</v>
      </c>
      <c r="Y33" s="27">
        <v>12</v>
      </c>
      <c r="Z33" s="27">
        <v>23</v>
      </c>
      <c r="AA33" s="27">
        <v>22</v>
      </c>
      <c r="AB33" s="27">
        <v>14</v>
      </c>
      <c r="AC33" s="15">
        <v>0.625</v>
      </c>
      <c r="AD33" s="18">
        <v>0.56736111111111109</v>
      </c>
      <c r="AE33" s="18">
        <v>0.15347222222222223</v>
      </c>
      <c r="AF33" s="18">
        <v>0.22638888888888889</v>
      </c>
      <c r="AG33" s="18">
        <v>0.48958333333333331</v>
      </c>
      <c r="AH33" s="18">
        <v>0.43611111111111112</v>
      </c>
      <c r="AI33" s="18">
        <v>0.23333333333333331</v>
      </c>
      <c r="AJ33" s="15">
        <v>0.625</v>
      </c>
      <c r="AK33" s="2">
        <f ca="1">HLOOKUP($AX$1,[1]EU!$B$2:$AF$51,XFD33,0)</f>
        <v>66</v>
      </c>
      <c r="AL33" s="2">
        <f ca="1">HLOOKUP($AX$1,'[1]Enterprise Aspiring'!$B$2:$AF$51,XFD33,0)</f>
        <v>23</v>
      </c>
      <c r="AM33" s="2">
        <f ca="1">HLOOKUP($AX$1,'[1]Red Cash'!$B$2:$AF$51,XFD33,0)</f>
        <v>55</v>
      </c>
      <c r="AN33" s="2">
        <f ca="1">HLOOKUP($AX$1,[1]Aspiring!$B$2:$AF$51,XFD33,0)</f>
        <v>67</v>
      </c>
      <c r="AO33" s="2">
        <f ca="1">HLOOKUP($AX$1,[1]ICC!$B$2:$AF$51,XFD33,0)</f>
        <v>77</v>
      </c>
      <c r="AP33" s="2">
        <f ca="1">HLOOKUP($AX$1,[1]CM!$B$2:$AF$51,XFD33,0)</f>
        <v>30</v>
      </c>
      <c r="AQ33" s="32">
        <v>0.625</v>
      </c>
      <c r="AR33" s="34" t="str">
        <f ca="1">EU!N32</f>
        <v>Achived</v>
      </c>
      <c r="AS33" s="34" t="str">
        <f ca="1">'R.EU'!N32</f>
        <v>Lost</v>
      </c>
      <c r="AT33" s="34" t="str">
        <f ca="1">'Red Cash'!N32</f>
        <v>Wait</v>
      </c>
      <c r="AU33" s="34" t="str">
        <f ca="1">Aspiring!N32</f>
        <v>Wait</v>
      </c>
      <c r="AV33" s="34" t="str">
        <f ca="1">ICC!N32</f>
        <v>Achived</v>
      </c>
      <c r="AW33" s="34" t="str">
        <f ca="1">'SME-CM'!N32</f>
        <v>Wait</v>
      </c>
      <c r="XFD33" s="10">
        <f t="shared" si="0"/>
        <v>33</v>
      </c>
    </row>
    <row r="34" spans="1:49 16384:16384" x14ac:dyDescent="0.25">
      <c r="A34" s="15">
        <v>0.64583333333333304</v>
      </c>
      <c r="B34" s="17">
        <v>1</v>
      </c>
      <c r="C34" s="17">
        <v>1</v>
      </c>
      <c r="D34" s="17">
        <v>0.97</v>
      </c>
      <c r="E34" s="17">
        <v>0.96</v>
      </c>
      <c r="F34" s="17">
        <v>0.48</v>
      </c>
      <c r="G34" s="17">
        <v>0.97</v>
      </c>
      <c r="H34" s="15">
        <v>0.64583333333333304</v>
      </c>
      <c r="I34" s="27">
        <v>58</v>
      </c>
      <c r="J34" s="27">
        <v>18</v>
      </c>
      <c r="K34" s="27">
        <v>42</v>
      </c>
      <c r="L34" s="27">
        <v>60</v>
      </c>
      <c r="M34" s="27">
        <v>82</v>
      </c>
      <c r="N34" s="27">
        <v>29</v>
      </c>
      <c r="O34" s="15">
        <v>0.64583333333333304</v>
      </c>
      <c r="P34" s="27">
        <v>89</v>
      </c>
      <c r="Q34" s="27">
        <v>71</v>
      </c>
      <c r="R34" s="27">
        <v>76</v>
      </c>
      <c r="S34" s="27">
        <v>85</v>
      </c>
      <c r="T34" s="27">
        <v>98</v>
      </c>
      <c r="U34" s="27">
        <v>86</v>
      </c>
      <c r="V34" s="15">
        <v>0.64583333333333304</v>
      </c>
      <c r="W34" s="50">
        <v>26</v>
      </c>
      <c r="X34" s="50">
        <v>8</v>
      </c>
      <c r="Y34" s="50">
        <v>12</v>
      </c>
      <c r="Z34" s="50">
        <v>25</v>
      </c>
      <c r="AA34" s="50">
        <v>18</v>
      </c>
      <c r="AB34" s="50">
        <v>8</v>
      </c>
      <c r="AC34" s="15">
        <v>0.64583333333333304</v>
      </c>
      <c r="AD34" s="18">
        <v>0.55277777777777781</v>
      </c>
      <c r="AE34" s="18">
        <v>0.18819444444444444</v>
      </c>
      <c r="AF34" s="18">
        <v>0.20625000000000002</v>
      </c>
      <c r="AG34" s="18">
        <v>0.49236111111111108</v>
      </c>
      <c r="AH34" s="18">
        <v>0.39166666666666666</v>
      </c>
      <c r="AI34" s="18">
        <v>0.31527777777777777</v>
      </c>
      <c r="AJ34" s="15">
        <v>0.64583333333333304</v>
      </c>
      <c r="AK34" s="2">
        <f ca="1">HLOOKUP($AX$1,[1]EU!$B$2:$AF$51,XFD34,0)</f>
        <v>65</v>
      </c>
      <c r="AL34" s="2">
        <f ca="1">HLOOKUP($AX$1,'[1]Enterprise Aspiring'!$B$2:$AF$51,XFD34,0)</f>
        <v>23</v>
      </c>
      <c r="AM34" s="2">
        <f ca="1">HLOOKUP($AX$1,'[1]Red Cash'!$B$2:$AF$51,XFD34,0)</f>
        <v>56</v>
      </c>
      <c r="AN34" s="2">
        <f ca="1">HLOOKUP($AX$1,[1]Aspiring!$B$2:$AF$51,XFD34,0)</f>
        <v>74</v>
      </c>
      <c r="AO34" s="2">
        <f ca="1">HLOOKUP($AX$1,[1]ICC!$B$2:$AF$51,XFD34,0)</f>
        <v>73</v>
      </c>
      <c r="AP34" s="2">
        <f ca="1">HLOOKUP($AX$1,[1]CM!$B$2:$AF$51,XFD34,0)</f>
        <v>27</v>
      </c>
      <c r="AQ34" s="32">
        <v>0.64583333333333304</v>
      </c>
      <c r="AR34" s="34" t="str">
        <f ca="1">EU!N33</f>
        <v>Wait</v>
      </c>
      <c r="AS34" s="34" t="str">
        <f ca="1">'R.EU'!N33</f>
        <v>Wait</v>
      </c>
      <c r="AT34" s="34" t="str">
        <f ca="1">'Red Cash'!N33</f>
        <v>Wait</v>
      </c>
      <c r="AU34" s="34" t="str">
        <f ca="1">Aspiring!N33</f>
        <v>Wait</v>
      </c>
      <c r="AV34" s="34" t="str">
        <f ca="1">ICC!N33</f>
        <v>Achived</v>
      </c>
      <c r="AW34" s="34" t="str">
        <f ca="1">'SME-CM'!N33</f>
        <v>Achived</v>
      </c>
      <c r="XFD34" s="10">
        <f t="shared" si="0"/>
        <v>34</v>
      </c>
    </row>
    <row r="35" spans="1:49 16384:16384" x14ac:dyDescent="0.25">
      <c r="A35" s="15">
        <v>0.66666666666666696</v>
      </c>
      <c r="B35" s="17">
        <v>0.94</v>
      </c>
      <c r="C35" s="17">
        <v>0.73</v>
      </c>
      <c r="D35" s="17">
        <v>0.98</v>
      </c>
      <c r="E35" s="17">
        <v>0.86</v>
      </c>
      <c r="F35" s="17">
        <v>0.31</v>
      </c>
      <c r="G35" s="17">
        <v>1</v>
      </c>
      <c r="H35" s="15">
        <v>0.66666666666666696</v>
      </c>
      <c r="I35" s="27">
        <v>57</v>
      </c>
      <c r="J35" s="27">
        <v>19</v>
      </c>
      <c r="K35" s="27">
        <v>47</v>
      </c>
      <c r="L35" s="27">
        <v>55</v>
      </c>
      <c r="M35" s="27">
        <v>86</v>
      </c>
      <c r="N35" s="27">
        <v>27</v>
      </c>
      <c r="O35" s="15">
        <v>0.66666666666666696</v>
      </c>
      <c r="P35" s="27">
        <v>95</v>
      </c>
      <c r="Q35" s="27">
        <v>79</v>
      </c>
      <c r="R35" s="27">
        <v>65</v>
      </c>
      <c r="S35" s="27">
        <v>94</v>
      </c>
      <c r="T35" s="27">
        <v>98</v>
      </c>
      <c r="U35" s="27">
        <v>88</v>
      </c>
      <c r="V35" s="15">
        <v>0.66666666666666696</v>
      </c>
      <c r="W35" s="50">
        <v>26</v>
      </c>
      <c r="X35" s="50">
        <v>9</v>
      </c>
      <c r="Y35" s="50">
        <v>10</v>
      </c>
      <c r="Z35" s="50">
        <v>22</v>
      </c>
      <c r="AA35" s="50">
        <v>23</v>
      </c>
      <c r="AB35" s="50">
        <v>15</v>
      </c>
      <c r="AC35" s="15">
        <v>0.66666666666666696</v>
      </c>
      <c r="AD35" s="18">
        <v>0.55833333333333335</v>
      </c>
      <c r="AE35" s="18">
        <v>0.16666666666666666</v>
      </c>
      <c r="AF35" s="18">
        <v>0.2076388888888889</v>
      </c>
      <c r="AG35" s="18">
        <v>0.44722222222222219</v>
      </c>
      <c r="AH35" s="18">
        <v>0.45624999999999999</v>
      </c>
      <c r="AI35" s="18">
        <v>0.29791666666666666</v>
      </c>
      <c r="AJ35" s="15">
        <v>0.66666666666666696</v>
      </c>
      <c r="AK35" s="2">
        <f ca="1">HLOOKUP($AX$1,[1]EU!$B$2:$AF$51,XFD35,0)</f>
        <v>64</v>
      </c>
      <c r="AL35" s="2">
        <f ca="1">HLOOKUP($AX$1,'[1]Enterprise Aspiring'!$B$2:$AF$51,XFD35,0)</f>
        <v>26</v>
      </c>
      <c r="AM35" s="2">
        <f ca="1">HLOOKUP($AX$1,'[1]Red Cash'!$B$2:$AF$51,XFD35,0)</f>
        <v>58</v>
      </c>
      <c r="AN35" s="2">
        <f ca="1">HLOOKUP($AX$1,[1]Aspiring!$B$2:$AF$51,XFD35,0)</f>
        <v>58</v>
      </c>
      <c r="AO35" s="2">
        <f ca="1">HLOOKUP($AX$1,[1]ICC!$B$2:$AF$51,XFD35,0)</f>
        <v>80</v>
      </c>
      <c r="AP35" s="2">
        <f ca="1">HLOOKUP($AX$1,[1]CM!$B$2:$AF$51,XFD35,0)</f>
        <v>25</v>
      </c>
      <c r="AQ35" s="32">
        <v>0.66666666666666696</v>
      </c>
      <c r="AR35" s="34" t="str">
        <f ca="1">EU!N34</f>
        <v>Wait</v>
      </c>
      <c r="AS35" s="34" t="str">
        <f ca="1">'R.EU'!N34</f>
        <v>Lost</v>
      </c>
      <c r="AT35" s="34" t="str">
        <f ca="1">'Red Cash'!N34</f>
        <v>Wait</v>
      </c>
      <c r="AU35" s="34" t="str">
        <f ca="1">Aspiring!N34</f>
        <v>Wait</v>
      </c>
      <c r="AV35" s="34" t="str">
        <f ca="1">ICC!N34</f>
        <v>Achived</v>
      </c>
      <c r="AW35" s="34" t="str">
        <f ca="1">'SME-CM'!N34</f>
        <v>Achived</v>
      </c>
      <c r="XFD35" s="10">
        <f t="shared" si="0"/>
        <v>35</v>
      </c>
    </row>
    <row r="36" spans="1:49 16384:16384" x14ac:dyDescent="0.25">
      <c r="A36" s="15">
        <v>0.6875</v>
      </c>
      <c r="B36" s="17"/>
      <c r="C36" s="17"/>
      <c r="D36" s="17"/>
      <c r="E36" s="17"/>
      <c r="F36" s="17"/>
      <c r="G36" s="17"/>
      <c r="H36" s="15">
        <v>0.6875</v>
      </c>
      <c r="I36" s="27"/>
      <c r="J36" s="27"/>
      <c r="K36" s="27"/>
      <c r="L36" s="27"/>
      <c r="M36" s="27"/>
      <c r="N36" s="27"/>
      <c r="O36" s="15">
        <v>0.6875</v>
      </c>
      <c r="P36" s="27"/>
      <c r="Q36" s="27"/>
      <c r="R36" s="27"/>
      <c r="S36" s="27"/>
      <c r="T36" s="27"/>
      <c r="U36" s="27"/>
      <c r="V36" s="15">
        <v>0.6875</v>
      </c>
      <c r="W36" s="50"/>
      <c r="X36" s="50"/>
      <c r="Y36" s="50"/>
      <c r="Z36" s="50"/>
      <c r="AA36" s="50"/>
      <c r="AB36" s="50"/>
      <c r="AC36" s="15">
        <v>0.6875</v>
      </c>
      <c r="AD36" s="18"/>
      <c r="AE36" s="18"/>
      <c r="AF36" s="18"/>
      <c r="AG36" s="18"/>
      <c r="AH36" s="18"/>
      <c r="AI36" s="18"/>
      <c r="AJ36" s="15">
        <v>0.6875</v>
      </c>
      <c r="AK36" s="2">
        <f ca="1">HLOOKUP($AX$1,[1]EU!$B$2:$AF$51,XFD36,0)</f>
        <v>62</v>
      </c>
      <c r="AL36" s="2">
        <f ca="1">HLOOKUP($AX$1,'[1]Enterprise Aspiring'!$B$2:$AF$51,XFD36,0)</f>
        <v>22</v>
      </c>
      <c r="AM36" s="2">
        <f ca="1">HLOOKUP($AX$1,'[1]Red Cash'!$B$2:$AF$51,XFD36,0)</f>
        <v>58</v>
      </c>
      <c r="AN36" s="2">
        <f ca="1">HLOOKUP($AX$1,[1]Aspiring!$B$2:$AF$51,XFD36,0)</f>
        <v>56</v>
      </c>
      <c r="AO36" s="2">
        <f ca="1">HLOOKUP($AX$1,[1]ICC!$B$2:$AF$51,XFD36,0)</f>
        <v>86</v>
      </c>
      <c r="AP36" s="2">
        <f ca="1">HLOOKUP($AX$1,[1]CM!$B$2:$AF$51,XFD36,0)</f>
        <v>27</v>
      </c>
      <c r="AQ36" s="32">
        <v>0.6875</v>
      </c>
      <c r="AR36" s="34" t="str">
        <f>EU!N35</f>
        <v/>
      </c>
      <c r="AS36" s="34" t="str">
        <f>'R.EU'!N35</f>
        <v/>
      </c>
      <c r="AT36" s="34" t="str">
        <f>'Red Cash'!N35</f>
        <v/>
      </c>
      <c r="AU36" s="34" t="str">
        <f>Aspiring!N35</f>
        <v/>
      </c>
      <c r="AV36" s="34" t="str">
        <f>ICC!N35</f>
        <v/>
      </c>
      <c r="AW36" s="34" t="str">
        <f>'SME-CM'!N35</f>
        <v/>
      </c>
      <c r="XFD36" s="10">
        <f t="shared" si="0"/>
        <v>36</v>
      </c>
    </row>
    <row r="37" spans="1:49 16384:16384" x14ac:dyDescent="0.25">
      <c r="A37" s="15">
        <v>0.70833333333333304</v>
      </c>
      <c r="B37" s="17"/>
      <c r="C37" s="17"/>
      <c r="D37" s="17"/>
      <c r="E37" s="17"/>
      <c r="F37" s="17"/>
      <c r="G37" s="17"/>
      <c r="H37" s="15">
        <v>0.70833333333333304</v>
      </c>
      <c r="I37" s="27"/>
      <c r="J37" s="27"/>
      <c r="K37" s="27"/>
      <c r="L37" s="27"/>
      <c r="M37" s="27"/>
      <c r="N37" s="27"/>
      <c r="O37" s="15">
        <v>0.70833333333333304</v>
      </c>
      <c r="P37" s="27"/>
      <c r="Q37" s="27"/>
      <c r="R37" s="27"/>
      <c r="S37" s="27"/>
      <c r="T37" s="27"/>
      <c r="U37" s="27"/>
      <c r="V37" s="15">
        <v>0.70833333333333304</v>
      </c>
      <c r="W37" s="50"/>
      <c r="X37" s="50"/>
      <c r="Y37" s="50"/>
      <c r="Z37" s="50"/>
      <c r="AA37" s="50"/>
      <c r="AB37" s="50"/>
      <c r="AC37" s="15">
        <v>0.70833333333333304</v>
      </c>
      <c r="AD37" s="18"/>
      <c r="AE37" s="18"/>
      <c r="AF37" s="18"/>
      <c r="AG37" s="18"/>
      <c r="AH37" s="18"/>
      <c r="AI37" s="18"/>
      <c r="AJ37" s="15">
        <v>0.70833333333333304</v>
      </c>
      <c r="AK37" s="2">
        <f ca="1">HLOOKUP($AX$1,[1]EU!$B$2:$AF$51,XFD37,0)</f>
        <v>61</v>
      </c>
      <c r="AL37" s="2">
        <f ca="1">HLOOKUP($AX$1,'[1]Enterprise Aspiring'!$B$2:$AF$51,XFD37,0)</f>
        <v>21</v>
      </c>
      <c r="AM37" s="2">
        <f ca="1">HLOOKUP($AX$1,'[1]Red Cash'!$B$2:$AF$51,XFD37,0)</f>
        <v>51</v>
      </c>
      <c r="AN37" s="2">
        <f ca="1">HLOOKUP($AX$1,[1]Aspiring!$B$2:$AF$51,XFD37,0)</f>
        <v>59</v>
      </c>
      <c r="AO37" s="2">
        <f ca="1">HLOOKUP($AX$1,[1]ICC!$B$2:$AF$51,XFD37,0)</f>
        <v>89</v>
      </c>
      <c r="AP37" s="2">
        <f ca="1">HLOOKUP($AX$1,[1]CM!$B$2:$AF$51,XFD37,0)</f>
        <v>23</v>
      </c>
      <c r="AQ37" s="32">
        <v>0.70833333333333304</v>
      </c>
      <c r="AR37" s="34" t="str">
        <f>EU!N36</f>
        <v/>
      </c>
      <c r="AS37" s="34" t="str">
        <f>'R.EU'!N36</f>
        <v/>
      </c>
      <c r="AT37" s="34" t="str">
        <f>'Red Cash'!N36</f>
        <v/>
      </c>
      <c r="AU37" s="34" t="str">
        <f>Aspiring!N36</f>
        <v/>
      </c>
      <c r="AV37" s="34" t="str">
        <f>ICC!N36</f>
        <v/>
      </c>
      <c r="AW37" s="34" t="str">
        <f>'SME-CM'!N36</f>
        <v/>
      </c>
      <c r="XFD37" s="10">
        <f t="shared" si="0"/>
        <v>37</v>
      </c>
    </row>
    <row r="38" spans="1:49 16384:16384" x14ac:dyDescent="0.25">
      <c r="A38" s="15">
        <v>0.72916666666666696</v>
      </c>
      <c r="B38" s="17"/>
      <c r="C38" s="17"/>
      <c r="D38" s="17"/>
      <c r="E38" s="17"/>
      <c r="F38" s="17"/>
      <c r="G38" s="17"/>
      <c r="H38" s="15">
        <v>0.72916666666666696</v>
      </c>
      <c r="I38" s="27"/>
      <c r="J38" s="27"/>
      <c r="K38" s="27"/>
      <c r="L38" s="27"/>
      <c r="M38" s="27"/>
      <c r="N38" s="27"/>
      <c r="O38" s="15">
        <v>0.72916666666666696</v>
      </c>
      <c r="P38" s="27"/>
      <c r="Q38" s="27"/>
      <c r="R38" s="27"/>
      <c r="S38" s="27"/>
      <c r="T38" s="27"/>
      <c r="U38" s="27"/>
      <c r="V38" s="15">
        <v>0.72916666666666696</v>
      </c>
      <c r="W38" s="50"/>
      <c r="X38" s="50"/>
      <c r="Y38" s="50"/>
      <c r="Z38" s="50"/>
      <c r="AA38" s="50"/>
      <c r="AB38" s="50"/>
      <c r="AC38" s="15">
        <v>0.72916666666666696</v>
      </c>
      <c r="AD38" s="18"/>
      <c r="AE38" s="18"/>
      <c r="AF38" s="18"/>
      <c r="AG38" s="18"/>
      <c r="AH38" s="18"/>
      <c r="AI38" s="18"/>
      <c r="AJ38" s="15">
        <v>0.72916666666666696</v>
      </c>
      <c r="AK38" s="2">
        <f ca="1">HLOOKUP($AX$1,[1]EU!$B$2:$AF$51,XFD38,0)</f>
        <v>72</v>
      </c>
      <c r="AL38" s="2">
        <f ca="1">HLOOKUP($AX$1,'[1]Enterprise Aspiring'!$B$2:$AF$51,XFD38,0)</f>
        <v>24</v>
      </c>
      <c r="AM38" s="2">
        <f ca="1">HLOOKUP($AX$1,'[1]Red Cash'!$B$2:$AF$51,XFD38,0)</f>
        <v>56</v>
      </c>
      <c r="AN38" s="2">
        <f ca="1">HLOOKUP($AX$1,[1]Aspiring!$B$2:$AF$51,XFD38,0)</f>
        <v>74</v>
      </c>
      <c r="AO38" s="2">
        <f ca="1">HLOOKUP($AX$1,[1]ICC!$B$2:$AF$51,XFD38,0)</f>
        <v>97</v>
      </c>
      <c r="AP38" s="2">
        <f ca="1">HLOOKUP($AX$1,[1]CM!$B$2:$AF$51,XFD38,0)</f>
        <v>30</v>
      </c>
      <c r="AQ38" s="32">
        <v>0.72916666666666696</v>
      </c>
      <c r="AR38" s="34" t="str">
        <f>EU!N37</f>
        <v/>
      </c>
      <c r="AS38" s="34" t="str">
        <f>'R.EU'!N37</f>
        <v/>
      </c>
      <c r="AT38" s="34" t="str">
        <f>'Red Cash'!N37</f>
        <v/>
      </c>
      <c r="AU38" s="34" t="str">
        <f>Aspiring!N37</f>
        <v/>
      </c>
      <c r="AV38" s="34" t="str">
        <f>ICC!N37</f>
        <v/>
      </c>
      <c r="AW38" s="34" t="str">
        <f>'SME-CM'!N37</f>
        <v/>
      </c>
      <c r="XFD38" s="10">
        <f t="shared" si="0"/>
        <v>38</v>
      </c>
    </row>
    <row r="39" spans="1:49 16384:16384" x14ac:dyDescent="0.25">
      <c r="A39" s="15">
        <v>0.75</v>
      </c>
      <c r="B39" s="17"/>
      <c r="C39" s="17"/>
      <c r="D39" s="17"/>
      <c r="E39" s="17"/>
      <c r="F39" s="17"/>
      <c r="G39" s="17"/>
      <c r="H39" s="15">
        <v>0.75</v>
      </c>
      <c r="I39" s="27"/>
      <c r="J39" s="27"/>
      <c r="K39" s="27"/>
      <c r="L39" s="27"/>
      <c r="M39" s="27"/>
      <c r="N39" s="27"/>
      <c r="O39" s="15">
        <v>0.75</v>
      </c>
      <c r="P39" s="27"/>
      <c r="Q39" s="27"/>
      <c r="R39" s="27"/>
      <c r="S39" s="27"/>
      <c r="T39" s="27"/>
      <c r="U39" s="27"/>
      <c r="V39" s="15">
        <v>0.75</v>
      </c>
      <c r="W39" s="50"/>
      <c r="X39" s="50"/>
      <c r="Y39" s="50"/>
      <c r="Z39" s="50"/>
      <c r="AA39" s="50"/>
      <c r="AB39" s="50"/>
      <c r="AC39" s="15">
        <v>0.75</v>
      </c>
      <c r="AD39" s="18"/>
      <c r="AE39" s="18"/>
      <c r="AF39" s="18"/>
      <c r="AG39" s="18"/>
      <c r="AH39" s="18"/>
      <c r="AI39" s="18"/>
      <c r="AJ39" s="15">
        <v>0.75</v>
      </c>
      <c r="AK39" s="2">
        <f ca="1">HLOOKUP($AX$1,[1]EU!$B$2:$AF$51,XFD39,0)</f>
        <v>72</v>
      </c>
      <c r="AL39" s="2">
        <f ca="1">HLOOKUP($AX$1,'[1]Enterprise Aspiring'!$B$2:$AF$51,XFD39,0)</f>
        <v>23</v>
      </c>
      <c r="AM39" s="2">
        <f ca="1">HLOOKUP($AX$1,'[1]Red Cash'!$B$2:$AF$51,XFD39,0)</f>
        <v>57</v>
      </c>
      <c r="AN39" s="2">
        <f ca="1">HLOOKUP($AX$1,[1]Aspiring!$B$2:$AF$51,XFD39,0)</f>
        <v>66</v>
      </c>
      <c r="AO39" s="2">
        <f ca="1">HLOOKUP($AX$1,[1]ICC!$B$2:$AF$51,XFD39,0)</f>
        <v>99</v>
      </c>
      <c r="AP39" s="2">
        <f ca="1">HLOOKUP($AX$1,[1]CM!$B$2:$AF$51,XFD39,0)</f>
        <v>30</v>
      </c>
      <c r="AQ39" s="32">
        <v>0.75</v>
      </c>
      <c r="AR39" s="34" t="str">
        <f>EU!N38</f>
        <v/>
      </c>
      <c r="AS39" s="34" t="str">
        <f>'R.EU'!N38</f>
        <v/>
      </c>
      <c r="AT39" s="34" t="str">
        <f>'Red Cash'!N38</f>
        <v/>
      </c>
      <c r="AU39" s="34" t="str">
        <f>Aspiring!N38</f>
        <v/>
      </c>
      <c r="AV39" s="34" t="str">
        <f>ICC!N38</f>
        <v/>
      </c>
      <c r="AW39" s="34" t="str">
        <f>'SME-CM'!N38</f>
        <v/>
      </c>
      <c r="XFD39" s="10">
        <f t="shared" si="0"/>
        <v>39</v>
      </c>
    </row>
    <row r="40" spans="1:49 16384:16384" x14ac:dyDescent="0.25">
      <c r="A40" s="15">
        <v>0.77083333333333304</v>
      </c>
      <c r="B40" s="17"/>
      <c r="C40" s="17"/>
      <c r="D40" s="17"/>
      <c r="E40" s="17"/>
      <c r="F40" s="17"/>
      <c r="G40" s="17"/>
      <c r="H40" s="15">
        <v>0.77083333333333304</v>
      </c>
      <c r="I40" s="27"/>
      <c r="J40" s="27"/>
      <c r="K40" s="27"/>
      <c r="L40" s="27"/>
      <c r="M40" s="27"/>
      <c r="N40" s="27"/>
      <c r="O40" s="15">
        <v>0.77083333333333304</v>
      </c>
      <c r="P40" s="27"/>
      <c r="Q40" s="27"/>
      <c r="R40" s="27"/>
      <c r="S40" s="27"/>
      <c r="T40" s="27"/>
      <c r="U40" s="27"/>
      <c r="V40" s="15">
        <v>0.77083333333333304</v>
      </c>
      <c r="W40" s="27"/>
      <c r="X40" s="27"/>
      <c r="Y40" s="27"/>
      <c r="Z40" s="27"/>
      <c r="AA40" s="27"/>
      <c r="AB40" s="27"/>
      <c r="AC40" s="15">
        <v>0.77083333333333304</v>
      </c>
      <c r="AD40" s="18"/>
      <c r="AE40" s="18"/>
      <c r="AF40" s="18"/>
      <c r="AG40" s="18"/>
      <c r="AH40" s="18"/>
      <c r="AI40" s="18"/>
      <c r="AJ40" s="15">
        <v>0.77083333333333304</v>
      </c>
      <c r="AK40" s="2">
        <f ca="1">HLOOKUP($AX$1,[1]EU!$B$2:$AF$51,XFD40,0)</f>
        <v>69</v>
      </c>
      <c r="AL40" s="2">
        <f ca="1">HLOOKUP($AX$1,'[1]Enterprise Aspiring'!$B$2:$AF$51,XFD40,0)</f>
        <v>27</v>
      </c>
      <c r="AM40" s="2">
        <f ca="1">HLOOKUP($AX$1,'[1]Red Cash'!$B$2:$AF$51,XFD40,0)</f>
        <v>52</v>
      </c>
      <c r="AN40" s="2">
        <f ca="1">HLOOKUP($AX$1,[1]Aspiring!$B$2:$AF$51,XFD40,0)</f>
        <v>64</v>
      </c>
      <c r="AO40" s="2">
        <f ca="1">HLOOKUP($AX$1,[1]ICC!$B$2:$AF$51,XFD40,0)</f>
        <v>100</v>
      </c>
      <c r="AP40" s="2">
        <f ca="1">HLOOKUP($AX$1,[1]CM!$B$2:$AF$51,XFD40,0)</f>
        <v>23</v>
      </c>
      <c r="AQ40" s="32">
        <v>0.77083333333333304</v>
      </c>
      <c r="AR40" s="34" t="str">
        <f>EU!N39</f>
        <v/>
      </c>
      <c r="AS40" s="34" t="str">
        <f>'R.EU'!N39</f>
        <v/>
      </c>
      <c r="AT40" s="34" t="str">
        <f>'Red Cash'!N39</f>
        <v/>
      </c>
      <c r="AU40" s="34" t="str">
        <f>Aspiring!N39</f>
        <v/>
      </c>
      <c r="AV40" s="34" t="str">
        <f>ICC!N39</f>
        <v/>
      </c>
      <c r="AW40" s="34" t="str">
        <f>'SME-CM'!N39</f>
        <v/>
      </c>
      <c r="XFD40" s="10">
        <f t="shared" si="0"/>
        <v>40</v>
      </c>
    </row>
    <row r="41" spans="1:49 16384:16384" x14ac:dyDescent="0.25">
      <c r="A41" s="15">
        <v>0.79166666666666696</v>
      </c>
      <c r="B41" s="17"/>
      <c r="C41" s="17"/>
      <c r="D41" s="17"/>
      <c r="E41" s="17"/>
      <c r="F41" s="17"/>
      <c r="G41" s="17"/>
      <c r="H41" s="15">
        <v>0.79166666666666696</v>
      </c>
      <c r="I41" s="27"/>
      <c r="J41" s="27"/>
      <c r="K41" s="27"/>
      <c r="L41" s="27"/>
      <c r="M41" s="27"/>
      <c r="N41" s="27"/>
      <c r="O41" s="15">
        <v>0.79166666666666696</v>
      </c>
      <c r="P41" s="27"/>
      <c r="Q41" s="27"/>
      <c r="R41" s="27"/>
      <c r="S41" s="27"/>
      <c r="T41" s="27"/>
      <c r="U41" s="27"/>
      <c r="V41" s="15">
        <v>0.79166666666666696</v>
      </c>
      <c r="W41" s="27"/>
      <c r="X41" s="27"/>
      <c r="Y41" s="27"/>
      <c r="Z41" s="27"/>
      <c r="AA41" s="27"/>
      <c r="AB41" s="27"/>
      <c r="AC41" s="15">
        <v>0.79166666666666696</v>
      </c>
      <c r="AD41" s="18"/>
      <c r="AE41" s="18"/>
      <c r="AF41" s="18"/>
      <c r="AG41" s="18"/>
      <c r="AH41" s="18"/>
      <c r="AI41" s="18"/>
      <c r="AJ41" s="15">
        <v>0.79166666666666696</v>
      </c>
      <c r="AK41" s="2">
        <f ca="1">HLOOKUP($AX$1,[1]EU!$B$2:$AF$51,XFD41,0)</f>
        <v>90</v>
      </c>
      <c r="AL41" s="2">
        <f ca="1">HLOOKUP($AX$1,'[1]Enterprise Aspiring'!$B$2:$AF$51,XFD41,0)</f>
        <v>23</v>
      </c>
      <c r="AM41" s="2">
        <f ca="1">HLOOKUP($AX$1,'[1]Red Cash'!$B$2:$AF$51,XFD41,0)</f>
        <v>58</v>
      </c>
      <c r="AN41" s="2">
        <f ca="1">HLOOKUP($AX$1,[1]Aspiring!$B$2:$AF$51,XFD41,0)</f>
        <v>68</v>
      </c>
      <c r="AO41" s="2">
        <f ca="1">HLOOKUP($AX$1,[1]ICC!$B$2:$AF$51,XFD41,0)</f>
        <v>100</v>
      </c>
      <c r="AP41" s="2">
        <f ca="1">HLOOKUP($AX$1,[1]CM!$B$2:$AF$51,XFD41,0)</f>
        <v>24</v>
      </c>
      <c r="AQ41" s="32">
        <v>0.79166666666666696</v>
      </c>
      <c r="AR41" s="34" t="str">
        <f>EU!N40</f>
        <v/>
      </c>
      <c r="AS41" s="34" t="str">
        <f>'R.EU'!N40</f>
        <v/>
      </c>
      <c r="AT41" s="34" t="str">
        <f>'Red Cash'!N40</f>
        <v/>
      </c>
      <c r="AU41" s="34" t="str">
        <f>Aspiring!N40</f>
        <v/>
      </c>
      <c r="AV41" s="34" t="str">
        <f>ICC!N40</f>
        <v/>
      </c>
      <c r="AW41" s="34" t="str">
        <f>'SME-CM'!N40</f>
        <v/>
      </c>
      <c r="XFD41" s="10">
        <f t="shared" si="0"/>
        <v>41</v>
      </c>
    </row>
    <row r="42" spans="1:49 16384:16384" x14ac:dyDescent="0.25">
      <c r="A42" s="15">
        <v>0.8125</v>
      </c>
      <c r="B42" s="17"/>
      <c r="C42" s="17"/>
      <c r="D42" s="17"/>
      <c r="E42" s="17"/>
      <c r="F42" s="17"/>
      <c r="G42" s="17"/>
      <c r="H42" s="15">
        <v>0.8125</v>
      </c>
      <c r="I42" s="27"/>
      <c r="J42" s="27"/>
      <c r="K42" s="27"/>
      <c r="L42" s="27"/>
      <c r="M42" s="27"/>
      <c r="N42" s="27"/>
      <c r="O42" s="15">
        <v>0.8125</v>
      </c>
      <c r="P42" s="27"/>
      <c r="Q42" s="27"/>
      <c r="R42" s="27"/>
      <c r="S42" s="27"/>
      <c r="T42" s="27"/>
      <c r="U42" s="27"/>
      <c r="V42" s="15">
        <v>0.8125</v>
      </c>
      <c r="W42" s="27"/>
      <c r="X42" s="27"/>
      <c r="Y42" s="27"/>
      <c r="Z42" s="27"/>
      <c r="AA42" s="27"/>
      <c r="AB42" s="27"/>
      <c r="AC42" s="15">
        <v>0.8125</v>
      </c>
      <c r="AD42" s="18"/>
      <c r="AE42" s="18"/>
      <c r="AF42" s="18"/>
      <c r="AG42" s="18"/>
      <c r="AH42" s="18"/>
      <c r="AI42" s="18"/>
      <c r="AJ42" s="15">
        <v>0.8125</v>
      </c>
      <c r="AK42" s="2">
        <f ca="1">HLOOKUP($AX$1,[1]EU!$B$2:$AF$51,XFD42,0)</f>
        <v>77</v>
      </c>
      <c r="AL42" s="2">
        <f ca="1">HLOOKUP($AX$1,'[1]Enterprise Aspiring'!$B$2:$AF$51,XFD42,0)</f>
        <v>27</v>
      </c>
      <c r="AM42" s="2">
        <f ca="1">HLOOKUP($AX$1,'[1]Red Cash'!$B$2:$AF$51,XFD42,0)</f>
        <v>61</v>
      </c>
      <c r="AN42" s="2">
        <f ca="1">HLOOKUP($AX$1,[1]Aspiring!$B$2:$AF$51,XFD42,0)</f>
        <v>69</v>
      </c>
      <c r="AO42" s="2">
        <f ca="1">HLOOKUP($AX$1,[1]ICC!$B$2:$AF$51,XFD42,0)</f>
        <v>110</v>
      </c>
      <c r="AP42" s="2">
        <f ca="1">HLOOKUP($AX$1,[1]CM!$B$2:$AF$51,XFD42,0)</f>
        <v>24</v>
      </c>
      <c r="AQ42" s="32">
        <v>0.8125</v>
      </c>
      <c r="AR42" s="34" t="str">
        <f>EU!N41</f>
        <v/>
      </c>
      <c r="AS42" s="34" t="str">
        <f>'R.EU'!N41</f>
        <v/>
      </c>
      <c r="AT42" s="34" t="str">
        <f>'Red Cash'!N41</f>
        <v/>
      </c>
      <c r="AU42" s="34" t="str">
        <f>Aspiring!N41</f>
        <v/>
      </c>
      <c r="AV42" s="34" t="str">
        <f>ICC!N41</f>
        <v/>
      </c>
      <c r="AW42" s="34" t="str">
        <f>'SME-CM'!N41</f>
        <v/>
      </c>
      <c r="XFD42" s="10">
        <f t="shared" si="0"/>
        <v>42</v>
      </c>
    </row>
    <row r="43" spans="1:49 16384:16384" x14ac:dyDescent="0.25">
      <c r="A43" s="15">
        <v>0.83333333333333304</v>
      </c>
      <c r="B43" s="17"/>
      <c r="C43" s="17"/>
      <c r="D43" s="17"/>
      <c r="E43" s="17"/>
      <c r="F43" s="17"/>
      <c r="G43" s="17"/>
      <c r="H43" s="15">
        <v>0.83333333333333304</v>
      </c>
      <c r="I43" s="27"/>
      <c r="J43" s="27"/>
      <c r="K43" s="27"/>
      <c r="L43" s="27"/>
      <c r="M43" s="27"/>
      <c r="N43" s="27"/>
      <c r="O43" s="15">
        <v>0.83333333333333304</v>
      </c>
      <c r="P43" s="27"/>
      <c r="Q43" s="27"/>
      <c r="R43" s="27"/>
      <c r="S43" s="27"/>
      <c r="T43" s="27"/>
      <c r="U43" s="27"/>
      <c r="V43" s="15">
        <v>0.83333333333333304</v>
      </c>
      <c r="W43" s="27"/>
      <c r="X43" s="27"/>
      <c r="Y43" s="27"/>
      <c r="Z43" s="27"/>
      <c r="AA43" s="27"/>
      <c r="AB43" s="27"/>
      <c r="AC43" s="15">
        <v>0.83333333333333304</v>
      </c>
      <c r="AD43" s="18"/>
      <c r="AE43" s="18"/>
      <c r="AF43" s="18"/>
      <c r="AG43" s="18"/>
      <c r="AH43" s="18"/>
      <c r="AI43" s="18"/>
      <c r="AJ43" s="15">
        <v>0.83333333333333304</v>
      </c>
      <c r="AK43" s="2">
        <f ca="1">HLOOKUP($AX$1,[1]EU!$B$2:$AF$51,XFD43,0)</f>
        <v>83</v>
      </c>
      <c r="AL43" s="2">
        <f ca="1">HLOOKUP($AX$1,'[1]Enterprise Aspiring'!$B$2:$AF$51,XFD43,0)</f>
        <v>24</v>
      </c>
      <c r="AM43" s="2">
        <f ca="1">HLOOKUP($AX$1,'[1]Red Cash'!$B$2:$AF$51,XFD43,0)</f>
        <v>64</v>
      </c>
      <c r="AN43" s="2">
        <f ca="1">HLOOKUP($AX$1,[1]Aspiring!$B$2:$AF$51,XFD43,0)</f>
        <v>79</v>
      </c>
      <c r="AO43" s="2">
        <f ca="1">HLOOKUP($AX$1,[1]ICC!$B$2:$AF$51,XFD43,0)</f>
        <v>110</v>
      </c>
      <c r="AP43" s="2">
        <f ca="1">HLOOKUP($AX$1,[1]CM!$B$2:$AF$51,XFD43,0)</f>
        <v>52</v>
      </c>
      <c r="AQ43" s="32">
        <v>0.83333333333333304</v>
      </c>
      <c r="AR43" s="34" t="str">
        <f>EU!N42</f>
        <v/>
      </c>
      <c r="AS43" s="34" t="str">
        <f>'R.EU'!N42</f>
        <v/>
      </c>
      <c r="AT43" s="34" t="str">
        <f>'Red Cash'!N42</f>
        <v/>
      </c>
      <c r="AU43" s="34" t="str">
        <f>Aspiring!N42</f>
        <v/>
      </c>
      <c r="AV43" s="34" t="str">
        <f>ICC!N42</f>
        <v/>
      </c>
      <c r="AW43" s="34" t="str">
        <f>'SME-CM'!N42</f>
        <v/>
      </c>
      <c r="XFD43" s="10">
        <f t="shared" si="0"/>
        <v>43</v>
      </c>
    </row>
    <row r="44" spans="1:49 16384:16384" x14ac:dyDescent="0.25">
      <c r="A44" s="15">
        <v>0.85416666666666696</v>
      </c>
      <c r="B44" s="17"/>
      <c r="C44" s="17"/>
      <c r="D44" s="17"/>
      <c r="E44" s="17"/>
      <c r="F44" s="17"/>
      <c r="G44" s="17"/>
      <c r="H44" s="15">
        <v>0.85416666666666696</v>
      </c>
      <c r="I44" s="27"/>
      <c r="J44" s="27"/>
      <c r="K44" s="27"/>
      <c r="L44" s="27"/>
      <c r="M44" s="27"/>
      <c r="N44" s="27"/>
      <c r="O44" s="15">
        <v>0.85416666666666696</v>
      </c>
      <c r="P44" s="27"/>
      <c r="Q44" s="27"/>
      <c r="R44" s="27"/>
      <c r="S44" s="27"/>
      <c r="T44" s="27"/>
      <c r="U44" s="27"/>
      <c r="V44" s="15">
        <v>0.85416666666666696</v>
      </c>
      <c r="W44" s="27"/>
      <c r="X44" s="27"/>
      <c r="Y44" s="27"/>
      <c r="Z44" s="27"/>
      <c r="AA44" s="27"/>
      <c r="AB44" s="27"/>
      <c r="AC44" s="15">
        <v>0.85416666666666696</v>
      </c>
      <c r="AD44" s="18"/>
      <c r="AE44" s="18"/>
      <c r="AF44" s="18"/>
      <c r="AG44" s="18"/>
      <c r="AH44" s="18"/>
      <c r="AI44" s="18"/>
      <c r="AJ44" s="15">
        <v>0.85416666666666696</v>
      </c>
      <c r="AK44" s="2">
        <f ca="1">HLOOKUP($AX$1,[1]EU!$B$2:$AF$51,XFD44,0)</f>
        <v>73</v>
      </c>
      <c r="AL44" s="2">
        <f ca="1">HLOOKUP($AX$1,'[1]Enterprise Aspiring'!$B$2:$AF$51,XFD44,0)</f>
        <v>22</v>
      </c>
      <c r="AM44" s="2">
        <f ca="1">HLOOKUP($AX$1,'[1]Red Cash'!$B$2:$AF$51,XFD44,0)</f>
        <v>63</v>
      </c>
      <c r="AN44" s="2">
        <f ca="1">HLOOKUP($AX$1,[1]Aspiring!$B$2:$AF$51,XFD44,0)</f>
        <v>67</v>
      </c>
      <c r="AO44" s="2">
        <f ca="1">HLOOKUP($AX$1,[1]ICC!$B$2:$AF$51,XFD44,0)</f>
        <v>105</v>
      </c>
      <c r="AP44" s="2">
        <f ca="1">HLOOKUP($AX$1,[1]CM!$B$2:$AF$51,XFD44,0)</f>
        <v>52</v>
      </c>
      <c r="AQ44" s="32">
        <v>0.85416666666666696</v>
      </c>
      <c r="AR44" s="34" t="str">
        <f>EU!N43</f>
        <v/>
      </c>
      <c r="AS44" s="34" t="str">
        <f>'R.EU'!N43</f>
        <v/>
      </c>
      <c r="AT44" s="34" t="str">
        <f>'Red Cash'!N43</f>
        <v/>
      </c>
      <c r="AU44" s="34" t="str">
        <f>Aspiring!N43</f>
        <v/>
      </c>
      <c r="AV44" s="34" t="str">
        <f>ICC!N43</f>
        <v/>
      </c>
      <c r="AW44" s="34" t="str">
        <f>'SME-CM'!N43</f>
        <v/>
      </c>
      <c r="XFD44" s="10">
        <f t="shared" si="0"/>
        <v>44</v>
      </c>
    </row>
    <row r="45" spans="1:49 16384:16384" x14ac:dyDescent="0.25">
      <c r="A45" s="15">
        <v>0.875</v>
      </c>
      <c r="B45" s="17"/>
      <c r="C45" s="17"/>
      <c r="D45" s="17"/>
      <c r="E45" s="17"/>
      <c r="F45" s="17"/>
      <c r="G45" s="17"/>
      <c r="H45" s="15">
        <v>0.875</v>
      </c>
      <c r="I45" s="27"/>
      <c r="J45" s="27"/>
      <c r="K45" s="27"/>
      <c r="L45" s="27"/>
      <c r="M45" s="27"/>
      <c r="N45" s="27"/>
      <c r="O45" s="15">
        <v>0.875</v>
      </c>
      <c r="P45" s="27"/>
      <c r="Q45" s="27"/>
      <c r="R45" s="27"/>
      <c r="S45" s="27"/>
      <c r="T45" s="27"/>
      <c r="U45" s="27"/>
      <c r="V45" s="15">
        <v>0.875</v>
      </c>
      <c r="W45" s="27"/>
      <c r="X45" s="27"/>
      <c r="Y45" s="27"/>
      <c r="Z45" s="27"/>
      <c r="AA45" s="27"/>
      <c r="AB45" s="27"/>
      <c r="AC45" s="15">
        <v>0.875</v>
      </c>
      <c r="AD45" s="18"/>
      <c r="AE45" s="18"/>
      <c r="AF45" s="18"/>
      <c r="AG45" s="18"/>
      <c r="AH45" s="18"/>
      <c r="AI45" s="18"/>
      <c r="AJ45" s="15">
        <v>0.875</v>
      </c>
      <c r="AK45" s="2">
        <f ca="1">HLOOKUP($AX$1,[1]EU!$B$2:$AF$51,XFD45,0)</f>
        <v>87</v>
      </c>
      <c r="AL45" s="2">
        <f ca="1">HLOOKUP($AX$1,'[1]Enterprise Aspiring'!$B$2:$AF$51,XFD45,0)</f>
        <v>23</v>
      </c>
      <c r="AM45" s="2">
        <f ca="1">HLOOKUP($AX$1,'[1]Red Cash'!$B$2:$AF$51,XFD45,0)</f>
        <v>61</v>
      </c>
      <c r="AN45" s="2">
        <f ca="1">HLOOKUP($AX$1,[1]Aspiring!$B$2:$AF$51,XFD45,0)</f>
        <v>63</v>
      </c>
      <c r="AO45" s="2">
        <f ca="1">HLOOKUP($AX$1,[1]ICC!$B$2:$AF$51,XFD45,0)</f>
        <v>104</v>
      </c>
      <c r="AP45" s="2">
        <f ca="1">HLOOKUP($AX$1,[1]CM!$B$2:$AF$51,XFD45,0)</f>
        <v>50</v>
      </c>
      <c r="AQ45" s="32">
        <v>0.875</v>
      </c>
      <c r="AR45" s="34" t="str">
        <f>EU!N44</f>
        <v/>
      </c>
      <c r="AS45" s="34" t="str">
        <f>'R.EU'!N44</f>
        <v/>
      </c>
      <c r="AT45" s="34" t="str">
        <f>'Red Cash'!N44</f>
        <v/>
      </c>
      <c r="AU45" s="34" t="str">
        <f>Aspiring!N44</f>
        <v/>
      </c>
      <c r="AV45" s="34" t="str">
        <f>ICC!N44</f>
        <v/>
      </c>
      <c r="AW45" s="34" t="str">
        <f>'SME-CM'!N44</f>
        <v/>
      </c>
      <c r="XFD45" s="10">
        <f t="shared" si="0"/>
        <v>45</v>
      </c>
    </row>
    <row r="46" spans="1:49 16384:16384" x14ac:dyDescent="0.25">
      <c r="A46" s="15">
        <v>0.89583333333333304</v>
      </c>
      <c r="B46" s="17"/>
      <c r="C46" s="17"/>
      <c r="D46" s="17"/>
      <c r="E46" s="17"/>
      <c r="F46" s="17"/>
      <c r="G46" s="17"/>
      <c r="H46" s="15">
        <v>0.89583333333333304</v>
      </c>
      <c r="I46" s="27"/>
      <c r="J46" s="27"/>
      <c r="K46" s="27"/>
      <c r="L46" s="27"/>
      <c r="M46" s="27"/>
      <c r="N46" s="27"/>
      <c r="O46" s="15">
        <v>0.89583333333333304</v>
      </c>
      <c r="P46" s="27"/>
      <c r="Q46" s="27"/>
      <c r="R46" s="27"/>
      <c r="S46" s="27"/>
      <c r="T46" s="27"/>
      <c r="U46" s="27"/>
      <c r="V46" s="15">
        <v>0.89583333333333304</v>
      </c>
      <c r="W46" s="27"/>
      <c r="X46" s="27"/>
      <c r="Y46" s="27"/>
      <c r="Z46" s="27"/>
      <c r="AA46" s="27"/>
      <c r="AB46" s="27"/>
      <c r="AC46" s="15">
        <v>0.89583333333333304</v>
      </c>
      <c r="AD46" s="18"/>
      <c r="AE46" s="18"/>
      <c r="AF46" s="18"/>
      <c r="AG46" s="18"/>
      <c r="AH46" s="18"/>
      <c r="AI46" s="18"/>
      <c r="AJ46" s="15">
        <v>0.89583333333333304</v>
      </c>
      <c r="AK46" s="2">
        <f ca="1">HLOOKUP($AX$1,[1]EU!$B$2:$AF$51,XFD46,0)</f>
        <v>75</v>
      </c>
      <c r="AL46" s="2">
        <f ca="1">HLOOKUP($AX$1,'[1]Enterprise Aspiring'!$B$2:$AF$51,XFD46,0)</f>
        <v>21</v>
      </c>
      <c r="AM46" s="2">
        <f ca="1">HLOOKUP($AX$1,'[1]Red Cash'!$B$2:$AF$51,XFD46,0)</f>
        <v>57</v>
      </c>
      <c r="AN46" s="2">
        <f ca="1">HLOOKUP($AX$1,[1]Aspiring!$B$2:$AF$51,XFD46,0)</f>
        <v>66</v>
      </c>
      <c r="AO46" s="2">
        <f ca="1">HLOOKUP($AX$1,[1]ICC!$B$2:$AF$51,XFD46,0)</f>
        <v>100</v>
      </c>
      <c r="AP46" s="2">
        <f ca="1">HLOOKUP($AX$1,[1]CM!$B$2:$AF$51,XFD46,0)</f>
        <v>47</v>
      </c>
      <c r="AQ46" s="32">
        <v>0.89583333333333304</v>
      </c>
      <c r="AR46" s="34" t="str">
        <f>EU!N45</f>
        <v/>
      </c>
      <c r="AS46" s="34" t="str">
        <f>'R.EU'!N45</f>
        <v/>
      </c>
      <c r="AT46" s="34" t="str">
        <f>'Red Cash'!N45</f>
        <v/>
      </c>
      <c r="AU46" s="34" t="str">
        <f>Aspiring!N45</f>
        <v/>
      </c>
      <c r="AV46" s="34" t="str">
        <f>ICC!N45</f>
        <v/>
      </c>
      <c r="AW46" s="34" t="str">
        <f>'SME-CM'!N45</f>
        <v/>
      </c>
      <c r="XFD46" s="10">
        <f t="shared" si="0"/>
        <v>46</v>
      </c>
    </row>
    <row r="47" spans="1:49 16384:16384" x14ac:dyDescent="0.25">
      <c r="A47" s="15">
        <v>0.91666666666666696</v>
      </c>
      <c r="B47" s="17"/>
      <c r="C47" s="17"/>
      <c r="D47" s="17"/>
      <c r="E47" s="17"/>
      <c r="F47" s="17"/>
      <c r="G47" s="17"/>
      <c r="H47" s="15">
        <v>0.91666666666666696</v>
      </c>
      <c r="I47" s="27"/>
      <c r="J47" s="27"/>
      <c r="K47" s="27"/>
      <c r="L47" s="27"/>
      <c r="M47" s="27"/>
      <c r="N47" s="27"/>
      <c r="O47" s="15">
        <v>0.91666666666666696</v>
      </c>
      <c r="P47" s="27"/>
      <c r="Q47" s="27"/>
      <c r="R47" s="27"/>
      <c r="S47" s="27"/>
      <c r="T47" s="27"/>
      <c r="U47" s="27"/>
      <c r="V47" s="15">
        <v>0.91666666666666696</v>
      </c>
      <c r="W47" s="27"/>
      <c r="X47" s="27"/>
      <c r="Y47" s="27"/>
      <c r="Z47" s="27"/>
      <c r="AA47" s="27"/>
      <c r="AB47" s="27"/>
      <c r="AC47" s="15">
        <v>0.91666666666666696</v>
      </c>
      <c r="AD47" s="18"/>
      <c r="AE47" s="18"/>
      <c r="AF47" s="18"/>
      <c r="AG47" s="18"/>
      <c r="AH47" s="18"/>
      <c r="AI47" s="18"/>
      <c r="AJ47" s="15">
        <v>0.91666666666666696</v>
      </c>
      <c r="AK47" s="2">
        <f ca="1">HLOOKUP($AX$1,[1]EU!$B$2:$AF$51,XFD47,0)</f>
        <v>59</v>
      </c>
      <c r="AL47" s="2">
        <f ca="1">HLOOKUP($AX$1,'[1]Enterprise Aspiring'!$B$2:$AF$51,XFD47,0)</f>
        <v>27</v>
      </c>
      <c r="AM47" s="2">
        <f ca="1">HLOOKUP($AX$1,'[1]Red Cash'!$B$2:$AF$51,XFD47,0)</f>
        <v>52</v>
      </c>
      <c r="AN47" s="2">
        <f ca="1">HLOOKUP($AX$1,[1]Aspiring!$B$2:$AF$51,XFD47,0)</f>
        <v>63</v>
      </c>
      <c r="AO47" s="2">
        <f ca="1">HLOOKUP($AX$1,[1]ICC!$B$2:$AF$51,XFD47,0)</f>
        <v>100</v>
      </c>
      <c r="AP47" s="2">
        <f ca="1">HLOOKUP($AX$1,[1]CM!$B$2:$AF$51,XFD47,0)</f>
        <v>36</v>
      </c>
      <c r="AQ47" s="32">
        <v>0.91666666666666696</v>
      </c>
      <c r="AR47" s="34" t="str">
        <f>EU!N46</f>
        <v/>
      </c>
      <c r="AS47" s="34" t="str">
        <f>'R.EU'!N46</f>
        <v/>
      </c>
      <c r="AT47" s="34" t="str">
        <f>'Red Cash'!N46</f>
        <v/>
      </c>
      <c r="AU47" s="34" t="str">
        <f>Aspiring!N46</f>
        <v/>
      </c>
      <c r="AV47" s="34" t="str">
        <f>ICC!N46</f>
        <v/>
      </c>
      <c r="AW47" s="34" t="str">
        <f>'SME-CM'!N46</f>
        <v/>
      </c>
      <c r="XFD47" s="10">
        <f t="shared" si="0"/>
        <v>47</v>
      </c>
    </row>
    <row r="48" spans="1:49 16384:16384" x14ac:dyDescent="0.25">
      <c r="A48" s="15">
        <v>0.9375</v>
      </c>
      <c r="B48" s="17"/>
      <c r="C48" s="17"/>
      <c r="D48" s="17"/>
      <c r="E48" s="17"/>
      <c r="F48" s="17"/>
      <c r="G48" s="17"/>
      <c r="H48" s="15">
        <v>0.9375</v>
      </c>
      <c r="I48" s="27"/>
      <c r="J48" s="27"/>
      <c r="K48" s="27"/>
      <c r="L48" s="27"/>
      <c r="M48" s="27"/>
      <c r="N48" s="27"/>
      <c r="O48" s="15">
        <v>0.9375</v>
      </c>
      <c r="P48" s="27"/>
      <c r="Q48" s="27"/>
      <c r="R48" s="27"/>
      <c r="S48" s="27"/>
      <c r="T48" s="27"/>
      <c r="U48" s="27"/>
      <c r="V48" s="15">
        <v>0.9375</v>
      </c>
      <c r="W48" s="27"/>
      <c r="X48" s="27"/>
      <c r="Y48" s="27"/>
      <c r="Z48" s="27"/>
      <c r="AA48" s="27"/>
      <c r="AB48" s="27"/>
      <c r="AC48" s="15">
        <v>0.9375</v>
      </c>
      <c r="AD48" s="18"/>
      <c r="AE48" s="18"/>
      <c r="AF48" s="18"/>
      <c r="AG48" s="18"/>
      <c r="AH48" s="18"/>
      <c r="AI48" s="18"/>
      <c r="AJ48" s="15">
        <v>0.9375</v>
      </c>
      <c r="AK48" s="2">
        <f ca="1">HLOOKUP($AX$1,[1]EU!$B$2:$AF$51,XFD48,0)</f>
        <v>53</v>
      </c>
      <c r="AL48" s="2">
        <f ca="1">HLOOKUP($AX$1,'[1]Enterprise Aspiring'!$B$2:$AF$51,XFD48,0)</f>
        <v>22</v>
      </c>
      <c r="AM48" s="2">
        <f ca="1">HLOOKUP($AX$1,'[1]Red Cash'!$B$2:$AF$51,XFD48,0)</f>
        <v>47</v>
      </c>
      <c r="AN48" s="2">
        <f ca="1">HLOOKUP($AX$1,[1]Aspiring!$B$2:$AF$51,XFD48,0)</f>
        <v>54</v>
      </c>
      <c r="AO48" s="2">
        <f ca="1">HLOOKUP($AX$1,[1]ICC!$B$2:$AF$51,XFD48,0)</f>
        <v>90</v>
      </c>
      <c r="AP48" s="2">
        <f ca="1">HLOOKUP($AX$1,[1]CM!$B$2:$AF$51,XFD48,0)</f>
        <v>35</v>
      </c>
      <c r="AQ48" s="32">
        <v>0.9375</v>
      </c>
      <c r="AR48" s="34" t="str">
        <f>EU!N47</f>
        <v/>
      </c>
      <c r="AS48" s="34" t="str">
        <f>'R.EU'!N47</f>
        <v/>
      </c>
      <c r="AT48" s="34" t="str">
        <f>'Red Cash'!N47</f>
        <v/>
      </c>
      <c r="AU48" s="34" t="str">
        <f>Aspiring!N47</f>
        <v/>
      </c>
      <c r="AV48" s="34" t="str">
        <f>ICC!N47</f>
        <v/>
      </c>
      <c r="AW48" s="34" t="str">
        <f>'SME-CM'!N47</f>
        <v/>
      </c>
      <c r="XFD48" s="10">
        <f t="shared" si="0"/>
        <v>48</v>
      </c>
    </row>
    <row r="49" spans="1:49 16384:16384" x14ac:dyDescent="0.25">
      <c r="A49" s="15">
        <v>0.95833333333333304</v>
      </c>
      <c r="B49" s="17"/>
      <c r="C49" s="17"/>
      <c r="D49" s="17"/>
      <c r="E49" s="17"/>
      <c r="F49" s="17"/>
      <c r="G49" s="17"/>
      <c r="H49" s="15">
        <v>0.95833333333333304</v>
      </c>
      <c r="I49" s="27"/>
      <c r="J49" s="27"/>
      <c r="K49" s="27"/>
      <c r="L49" s="27"/>
      <c r="M49" s="27"/>
      <c r="N49" s="27"/>
      <c r="O49" s="15">
        <v>0.95833333333333304</v>
      </c>
      <c r="P49" s="27"/>
      <c r="Q49" s="27"/>
      <c r="R49" s="27"/>
      <c r="S49" s="27"/>
      <c r="T49" s="27"/>
      <c r="U49" s="27"/>
      <c r="V49" s="15">
        <v>0.95833333333333304</v>
      </c>
      <c r="W49" s="27"/>
      <c r="X49" s="27"/>
      <c r="Y49" s="27"/>
      <c r="Z49" s="27"/>
      <c r="AA49" s="27"/>
      <c r="AB49" s="27"/>
      <c r="AC49" s="15">
        <v>0.95833333333333304</v>
      </c>
      <c r="AD49" s="18"/>
      <c r="AE49" s="18"/>
      <c r="AF49" s="18"/>
      <c r="AG49" s="18"/>
      <c r="AH49" s="18"/>
      <c r="AI49" s="18"/>
      <c r="AJ49" s="15">
        <v>0.95833333333333304</v>
      </c>
      <c r="AK49" s="2">
        <f ca="1">HLOOKUP($AX$1,[1]EU!$B$2:$AF$51,XFD49,0)</f>
        <v>41</v>
      </c>
      <c r="AL49" s="2">
        <f ca="1">HLOOKUP($AX$1,'[1]Enterprise Aspiring'!$B$2:$AF$51,XFD49,0)</f>
        <v>25</v>
      </c>
      <c r="AM49" s="2">
        <f ca="1">HLOOKUP($AX$1,'[1]Red Cash'!$B$2:$AF$51,XFD49,0)</f>
        <v>42</v>
      </c>
      <c r="AN49" s="2">
        <f ca="1">HLOOKUP($AX$1,[1]Aspiring!$B$2:$AF$51,XFD49,0)</f>
        <v>49</v>
      </c>
      <c r="AO49" s="2">
        <f ca="1">HLOOKUP($AX$1,[1]ICC!$B$2:$AF$51,XFD49,0)</f>
        <v>78</v>
      </c>
      <c r="AP49" s="2">
        <f ca="1">HLOOKUP($AX$1,[1]CM!$B$2:$AF$51,XFD49,0)</f>
        <v>21</v>
      </c>
      <c r="AQ49" s="32">
        <v>0.95833333333333304</v>
      </c>
      <c r="AR49" s="34" t="str">
        <f>EU!N48</f>
        <v/>
      </c>
      <c r="AS49" s="34" t="str">
        <f>'R.EU'!N48</f>
        <v/>
      </c>
      <c r="AT49" s="34" t="str">
        <f>'Red Cash'!N48</f>
        <v/>
      </c>
      <c r="AU49" s="34" t="str">
        <f>Aspiring!N48</f>
        <v/>
      </c>
      <c r="AV49" s="34" t="str">
        <f>ICC!N48</f>
        <v/>
      </c>
      <c r="AW49" s="34" t="str">
        <f>'SME-CM'!N48</f>
        <v/>
      </c>
      <c r="XFD49" s="10">
        <f t="shared" si="0"/>
        <v>49</v>
      </c>
    </row>
    <row r="50" spans="1:49 16384:16384" x14ac:dyDescent="0.25">
      <c r="A50" s="15">
        <v>0.97916666666666696</v>
      </c>
      <c r="B50" s="17"/>
      <c r="C50" s="17"/>
      <c r="D50" s="17"/>
      <c r="E50" s="17"/>
      <c r="F50" s="17"/>
      <c r="G50" s="17"/>
      <c r="H50" s="15">
        <v>0.97916666666666696</v>
      </c>
      <c r="I50" s="27"/>
      <c r="J50" s="27"/>
      <c r="K50" s="27"/>
      <c r="L50" s="27"/>
      <c r="M50" s="27"/>
      <c r="N50" s="27"/>
      <c r="O50" s="15">
        <v>0.97916666666666696</v>
      </c>
      <c r="P50" s="27"/>
      <c r="Q50" s="27"/>
      <c r="R50" s="27"/>
      <c r="S50" s="27"/>
      <c r="T50" s="27"/>
      <c r="U50" s="27"/>
      <c r="V50" s="15">
        <v>0.97916666666666696</v>
      </c>
      <c r="W50" s="27"/>
      <c r="X50" s="27"/>
      <c r="Y50" s="27"/>
      <c r="Z50" s="27"/>
      <c r="AA50" s="27"/>
      <c r="AB50" s="27"/>
      <c r="AC50" s="15">
        <v>0.97916666666666696</v>
      </c>
      <c r="AD50" s="18"/>
      <c r="AE50" s="18"/>
      <c r="AF50" s="18"/>
      <c r="AG50" s="18"/>
      <c r="AH50" s="18"/>
      <c r="AI50" s="18"/>
      <c r="AJ50" s="15">
        <v>0.97916666666666696</v>
      </c>
      <c r="AK50" s="2">
        <f ca="1">HLOOKUP($AX$1,[1]EU!$B$2:$AF$51,XFD50,0)</f>
        <v>32</v>
      </c>
      <c r="AL50" s="2">
        <f ca="1">HLOOKUP($AX$1,'[1]Enterprise Aspiring'!$B$2:$AF$51,XFD50,0)</f>
        <v>18</v>
      </c>
      <c r="AM50" s="2">
        <f ca="1">HLOOKUP($AX$1,'[1]Red Cash'!$B$2:$AF$51,XFD50,0)</f>
        <v>35</v>
      </c>
      <c r="AN50" s="2">
        <f ca="1">HLOOKUP($AX$1,[1]Aspiring!$B$2:$AF$51,XFD50,0)</f>
        <v>28</v>
      </c>
      <c r="AO50" s="2">
        <f ca="1">HLOOKUP($AX$1,[1]ICC!$B$2:$AF$51,XFD50,0)</f>
        <v>66</v>
      </c>
      <c r="AP50" s="2">
        <f ca="1">HLOOKUP($AX$1,[1]CM!$B$2:$AF$51,XFD50,0)</f>
        <v>19</v>
      </c>
      <c r="AQ50" s="32">
        <v>0.97916666666666696</v>
      </c>
      <c r="AR50" s="34" t="str">
        <f>EU!N49</f>
        <v/>
      </c>
      <c r="AS50" s="34" t="str">
        <f>'R.EU'!N49</f>
        <v/>
      </c>
      <c r="AT50" s="34" t="str">
        <f>'Red Cash'!N49</f>
        <v/>
      </c>
      <c r="AU50" s="34" t="str">
        <f>Aspiring!N49</f>
        <v/>
      </c>
      <c r="AV50" s="34" t="str">
        <f>ICC!N49</f>
        <v/>
      </c>
      <c r="AW50" s="34" t="str">
        <f>'SME-CM'!N49</f>
        <v/>
      </c>
      <c r="XFD50" s="10">
        <f t="shared" si="0"/>
        <v>50</v>
      </c>
    </row>
    <row r="51" spans="1:49 16384:16384" x14ac:dyDescent="0.25">
      <c r="A51" s="15" t="s">
        <v>15</v>
      </c>
      <c r="B51" s="17">
        <f t="shared" ref="B51:G51" si="1">AVERAGE(B3:B50)</f>
        <v>0.88636363636363635</v>
      </c>
      <c r="C51" s="17">
        <f t="shared" si="1"/>
        <v>0.81484848484848493</v>
      </c>
      <c r="D51" s="17">
        <f t="shared" si="1"/>
        <v>0.9926086956521738</v>
      </c>
      <c r="E51" s="17">
        <f t="shared" si="1"/>
        <v>0.89484848484848478</v>
      </c>
      <c r="F51" s="17">
        <f t="shared" si="1"/>
        <v>0.67359999999999998</v>
      </c>
      <c r="G51" s="17">
        <f t="shared" si="1"/>
        <v>0.80705882352941172</v>
      </c>
      <c r="H51" s="15" t="s">
        <v>15</v>
      </c>
      <c r="I51" s="27">
        <f t="shared" ref="I51:N51" si="2">AVERAGE(I3:I50)</f>
        <v>32.636363636363633</v>
      </c>
      <c r="J51" s="27">
        <f t="shared" si="2"/>
        <v>9.8484848484848477</v>
      </c>
      <c r="K51" s="27">
        <f t="shared" si="2"/>
        <v>27.173913043478262</v>
      </c>
      <c r="L51" s="27">
        <f t="shared" si="2"/>
        <v>29.636363636363637</v>
      </c>
      <c r="M51" s="27">
        <f t="shared" si="2"/>
        <v>48.84</v>
      </c>
      <c r="N51" s="27">
        <f t="shared" si="2"/>
        <v>22.470588235294116</v>
      </c>
      <c r="O51" s="15" t="s">
        <v>15</v>
      </c>
      <c r="P51" s="27">
        <f t="shared" ref="P51:U51" si="3">AVERAGE(P3:P50)</f>
        <v>88.242424242424249</v>
      </c>
      <c r="Q51" s="27">
        <f t="shared" si="3"/>
        <v>50.484848484848484</v>
      </c>
      <c r="R51" s="27">
        <f t="shared" si="3"/>
        <v>55.173913043478258</v>
      </c>
      <c r="S51" s="27">
        <f t="shared" si="3"/>
        <v>72.545454545454547</v>
      </c>
      <c r="T51" s="27">
        <f t="shared" si="3"/>
        <v>90.2</v>
      </c>
      <c r="U51" s="27">
        <f t="shared" si="3"/>
        <v>88.17647058823529</v>
      </c>
      <c r="V51" s="15" t="s">
        <v>15</v>
      </c>
      <c r="W51" s="27">
        <f t="shared" ref="W51:AB51" si="4">AVERAGE(W3:W50)</f>
        <v>13.757575757575758</v>
      </c>
      <c r="X51" s="27">
        <f t="shared" si="4"/>
        <v>5.4242424242424239</v>
      </c>
      <c r="Y51" s="27">
        <f t="shared" si="4"/>
        <v>9.1739130434782616</v>
      </c>
      <c r="Z51" s="27">
        <f t="shared" si="4"/>
        <v>13.424242424242424</v>
      </c>
      <c r="AA51" s="27">
        <f t="shared" si="4"/>
        <v>13.12</v>
      </c>
      <c r="AB51" s="27">
        <f t="shared" si="4"/>
        <v>8.4705882352941178</v>
      </c>
      <c r="AC51" s="15" t="s">
        <v>15</v>
      </c>
      <c r="AD51" s="18">
        <f t="shared" ref="AD51:AI51" si="5">AVERAGE(AD3:AD50)</f>
        <v>0.2803451178451179</v>
      </c>
      <c r="AE51" s="18">
        <f t="shared" si="5"/>
        <v>0.11035353535353534</v>
      </c>
      <c r="AF51" s="18">
        <f t="shared" si="5"/>
        <v>0.1842391304347826</v>
      </c>
      <c r="AG51" s="18">
        <f t="shared" si="5"/>
        <v>0.26725260416666669</v>
      </c>
      <c r="AH51" s="18">
        <f t="shared" si="5"/>
        <v>0.27627777777777779</v>
      </c>
      <c r="AI51" s="18">
        <f t="shared" si="5"/>
        <v>0.17214052287581699</v>
      </c>
      <c r="AJ51" s="15" t="s">
        <v>15</v>
      </c>
      <c r="AK51" s="2">
        <f t="shared" ref="AK51:AP51" ca="1" si="6">AVERAGE(AK3:AK50)</f>
        <v>47.3125</v>
      </c>
      <c r="AL51" s="2">
        <f t="shared" ca="1" si="6"/>
        <v>16.895833333333332</v>
      </c>
      <c r="AM51" s="2">
        <f t="shared" ca="1" si="6"/>
        <v>34.541666666666664</v>
      </c>
      <c r="AN51" s="2">
        <f t="shared" ca="1" si="6"/>
        <v>40.895833333333336</v>
      </c>
      <c r="AO51" s="2">
        <f t="shared" ca="1" si="6"/>
        <v>53.479166666666664</v>
      </c>
      <c r="AP51" s="2">
        <f t="shared" ca="1" si="6"/>
        <v>18.3125</v>
      </c>
      <c r="AQ51" s="32" t="s">
        <v>15</v>
      </c>
      <c r="AR51" s="34"/>
      <c r="AS51" s="34"/>
      <c r="AT51" s="34"/>
      <c r="AU51" s="34"/>
      <c r="AV51" s="34"/>
      <c r="AW51" s="34"/>
      <c r="XFD51" s="10"/>
    </row>
  </sheetData>
  <mergeCells count="8">
    <mergeCell ref="A1:G1"/>
    <mergeCell ref="H1:N1"/>
    <mergeCell ref="O1:U1"/>
    <mergeCell ref="AX1:AX2"/>
    <mergeCell ref="AQ1:AW1"/>
    <mergeCell ref="V1:AB1"/>
    <mergeCell ref="AC1:AI1"/>
    <mergeCell ref="AJ1:AP1"/>
  </mergeCells>
  <conditionalFormatting sqref="A33">
    <cfRule type="cellIs" dxfId="421" priority="15" operator="equal">
      <formula>"-"</formula>
    </cfRule>
  </conditionalFormatting>
  <conditionalFormatting sqref="A34:A35">
    <cfRule type="cellIs" dxfId="420" priority="143" operator="equal">
      <formula>"-"</formula>
    </cfRule>
  </conditionalFormatting>
  <conditionalFormatting sqref="A20:H31">
    <cfRule type="cellIs" dxfId="419" priority="295" operator="equal">
      <formula>"-"</formula>
    </cfRule>
  </conditionalFormatting>
  <conditionalFormatting sqref="A19:O19">
    <cfRule type="cellIs" dxfId="418" priority="102" operator="equal">
      <formula>"-"</formula>
    </cfRule>
  </conditionalFormatting>
  <conditionalFormatting sqref="A32:V32 P34:U37 A47:AJ51 AC36:AC39 A1:XFD2 A52:XFD1048576 A36:A45 H36:H45 B33:G45 O38:V39 O36:O37 A46:H46 O46:AJ46 I33:N46 O40:AC45 AJ36:AJ45">
    <cfRule type="cellIs" dxfId="417" priority="489" operator="equal">
      <formula>"-"</formula>
    </cfRule>
  </conditionalFormatting>
  <conditionalFormatting sqref="B3:G24 B26:G31">
    <cfRule type="expression" dxfId="416" priority="298">
      <formula>AR3="Achived"</formula>
    </cfRule>
    <cfRule type="expression" dxfId="415" priority="297">
      <formula>AR3="Wait"</formula>
    </cfRule>
    <cfRule type="expression" dxfId="414" priority="296">
      <formula>AR3="Lost"</formula>
    </cfRule>
  </conditionalFormatting>
  <conditionalFormatting sqref="B25:G25">
    <cfRule type="expression" dxfId="413" priority="81">
      <formula>AR25="Wait"</formula>
    </cfRule>
    <cfRule type="expression" dxfId="412" priority="82">
      <formula>AR25="Achived"</formula>
    </cfRule>
    <cfRule type="expression" dxfId="411" priority="80">
      <formula>AR25="Lost"</formula>
    </cfRule>
  </conditionalFormatting>
  <conditionalFormatting sqref="B26:G26">
    <cfRule type="expression" dxfId="410" priority="291">
      <formula>AK26="Achived"</formula>
    </cfRule>
    <cfRule type="expression" dxfId="409" priority="290">
      <formula>AK26="Wait"</formula>
    </cfRule>
    <cfRule type="expression" dxfId="408" priority="289">
      <formula>AK26="Lost"</formula>
    </cfRule>
  </conditionalFormatting>
  <conditionalFormatting sqref="B32:G51">
    <cfRule type="expression" dxfId="407" priority="493">
      <formula>AR32="Lost"</formula>
    </cfRule>
    <cfRule type="expression" dxfId="406" priority="494">
      <formula>AR32="Wait"</formula>
    </cfRule>
    <cfRule type="expression" dxfId="405" priority="496">
      <formula>AR32="Achived"</formula>
    </cfRule>
  </conditionalFormatting>
  <conditionalFormatting sqref="B3:H24 B26:H31">
    <cfRule type="cellIs" dxfId="396" priority="299" operator="equal">
      <formula>"Lost"</formula>
    </cfRule>
  </conditionalFormatting>
  <conditionalFormatting sqref="B25:H25">
    <cfRule type="cellIs" dxfId="395" priority="86" operator="equal">
      <formula>"Lost"</formula>
    </cfRule>
  </conditionalFormatting>
  <conditionalFormatting sqref="B19:O19">
    <cfRule type="cellIs" dxfId="394" priority="103" operator="equal">
      <formula>"Lost"</formula>
    </cfRule>
  </conditionalFormatting>
  <conditionalFormatting sqref="B32:V32 B47:AJ51 P34:U37 AC36:AC39 H36:H45 B33:G45 B46:H46 O46:AJ46 O38:V39 O36:O37 I33:N46 O40:AC45 AJ36:AJ45">
    <cfRule type="cellIs" dxfId="393" priority="500" operator="equal">
      <formula>"Lost"</formula>
    </cfRule>
  </conditionalFormatting>
  <conditionalFormatting sqref="C29:F29">
    <cfRule type="expression" dxfId="392" priority="294">
      <formula>AL29="Achived"</formula>
    </cfRule>
    <cfRule type="expression" dxfId="391" priority="293">
      <formula>AL29="Wait"</formula>
    </cfRule>
    <cfRule type="expression" dxfId="390" priority="292">
      <formula>AL29="Lost"</formula>
    </cfRule>
  </conditionalFormatting>
  <conditionalFormatting sqref="E18">
    <cfRule type="cellIs" dxfId="389" priority="9" operator="equal">
      <formula>"Lost"</formula>
    </cfRule>
    <cfRule type="cellIs" dxfId="388" priority="8" operator="equal">
      <formula>"-"</formula>
    </cfRule>
  </conditionalFormatting>
  <conditionalFormatting sqref="H33:H35 O33:O35">
    <cfRule type="cellIs" dxfId="384" priority="135" operator="equal">
      <formula>"-"</formula>
    </cfRule>
  </conditionalFormatting>
  <conditionalFormatting sqref="H33:H35">
    <cfRule type="cellIs" dxfId="383" priority="139" operator="equal">
      <formula>"Lost"</formula>
    </cfRule>
  </conditionalFormatting>
  <conditionalFormatting sqref="I3:M4">
    <cfRule type="expression" dxfId="382" priority="274">
      <formula>AY3="Achived"</formula>
    </cfRule>
    <cfRule type="expression" dxfId="381" priority="272">
      <formula>AY3="Lost"</formula>
    </cfRule>
    <cfRule type="expression" dxfId="380" priority="273">
      <formula>AY3="Wait"</formula>
    </cfRule>
  </conditionalFormatting>
  <conditionalFormatting sqref="I3:N24 I26:N31">
    <cfRule type="expression" dxfId="379" priority="285">
      <formula>AR3="Lost"</formula>
    </cfRule>
    <cfRule type="expression" dxfId="378" priority="286">
      <formula>AR3="Wait"</formula>
    </cfRule>
    <cfRule type="expression" dxfId="377" priority="287">
      <formula>AR3="Achived"</formula>
    </cfRule>
  </conditionalFormatting>
  <conditionalFormatting sqref="I25:N25">
    <cfRule type="expression" dxfId="376" priority="79">
      <formula>AR25="Achived"</formula>
    </cfRule>
    <cfRule type="expression" dxfId="375" priority="78">
      <formula>AR25="Wait"</formula>
    </cfRule>
    <cfRule type="expression" dxfId="374" priority="77">
      <formula>AR25="Lost"</formula>
    </cfRule>
  </conditionalFormatting>
  <conditionalFormatting sqref="I29:N29">
    <cfRule type="expression" dxfId="373" priority="271">
      <formula>AY29="Achived"</formula>
    </cfRule>
    <cfRule type="expression" dxfId="372" priority="270">
      <formula>AY29="Wait"</formula>
    </cfRule>
    <cfRule type="expression" dxfId="371" priority="269">
      <formula>AY29="Lost"</formula>
    </cfRule>
  </conditionalFormatting>
  <conditionalFormatting sqref="I32:N51">
    <cfRule type="expression" dxfId="370" priority="492">
      <formula>AR32="Achived"</formula>
    </cfRule>
    <cfRule type="expression" dxfId="369" priority="491">
      <formula>AR32="Wait"</formula>
    </cfRule>
    <cfRule type="expression" dxfId="368" priority="490">
      <formula>AR32="Lost"</formula>
    </cfRule>
  </conditionalFormatting>
  <conditionalFormatting sqref="I32:N32">
    <cfRule type="expression" dxfId="367" priority="318">
      <formula>AY32="Achived"</formula>
    </cfRule>
    <cfRule type="expression" dxfId="366" priority="316">
      <formula>AY32="Lost"</formula>
    </cfRule>
    <cfRule type="expression" dxfId="365" priority="317">
      <formula>AY32="Wait"</formula>
    </cfRule>
  </conditionalFormatting>
  <conditionalFormatting sqref="I3:O31">
    <cfRule type="cellIs" dxfId="351" priority="288" operator="equal">
      <formula>"Lost"</formula>
    </cfRule>
  </conditionalFormatting>
  <conditionalFormatting sqref="I20:O31 A3:O19">
    <cfRule type="cellIs" dxfId="350" priority="284" operator="equal">
      <formula>"-"</formula>
    </cfRule>
  </conditionalFormatting>
  <conditionalFormatting sqref="L18">
    <cfRule type="cellIs" dxfId="349" priority="7" operator="equal">
      <formula>"Lost"</formula>
    </cfRule>
    <cfRule type="cellIs" dxfId="348" priority="6" operator="equal">
      <formula>"-"</formula>
    </cfRule>
  </conditionalFormatting>
  <conditionalFormatting sqref="M17">
    <cfRule type="expression" dxfId="347" priority="278">
      <formula>BC17="Lost"</formula>
    </cfRule>
    <cfRule type="expression" dxfId="346" priority="280">
      <formula>BC17="Achived"</formula>
    </cfRule>
    <cfRule type="expression" dxfId="345" priority="279">
      <formula>BC17="Wait"</formula>
    </cfRule>
  </conditionalFormatting>
  <conditionalFormatting sqref="M48">
    <cfRule type="expression" dxfId="344" priority="392">
      <formula>BC48="Achived"</formula>
    </cfRule>
    <cfRule type="expression" dxfId="343" priority="391">
      <formula>BC48="Wait"</formula>
    </cfRule>
    <cfRule type="expression" dxfId="342" priority="390">
      <formula>BC48="Lost"</formula>
    </cfRule>
  </conditionalFormatting>
  <conditionalFormatting sqref="N20:N24 N26:N31">
    <cfRule type="expression" dxfId="341" priority="283">
      <formula>BD20="Achived"</formula>
    </cfRule>
    <cfRule type="expression" dxfId="340" priority="282">
      <formula>BD20="Wait"</formula>
    </cfRule>
  </conditionalFormatting>
  <conditionalFormatting sqref="N26:N31 N20:N24">
    <cfRule type="expression" dxfId="339" priority="281">
      <formula>BD20="Lost"</formula>
    </cfRule>
  </conditionalFormatting>
  <conditionalFormatting sqref="N32 N47:N51 I50:N50">
    <cfRule type="expression" dxfId="338" priority="467">
      <formula>AY32="Achived"</formula>
    </cfRule>
    <cfRule type="expression" dxfId="337" priority="466">
      <formula>AY32="Wait"</formula>
    </cfRule>
    <cfRule type="expression" dxfId="336" priority="465">
      <formula>AY32="Lost"</formula>
    </cfRule>
  </conditionalFormatting>
  <conditionalFormatting sqref="O33:O35 V33:V37">
    <cfRule type="cellIs" dxfId="332" priority="131" operator="equal">
      <formula>"Lost"</formula>
    </cfRule>
  </conditionalFormatting>
  <conditionalFormatting sqref="P3:S4">
    <cfRule type="expression" dxfId="331" priority="252">
      <formula>BF3="Lost"</formula>
    </cfRule>
    <cfRule type="expression" dxfId="330" priority="254">
      <formula>BF3="Achived"</formula>
    </cfRule>
    <cfRule type="expression" dxfId="329" priority="253">
      <formula>BF3="Wait"</formula>
    </cfRule>
  </conditionalFormatting>
  <conditionalFormatting sqref="P10:S10">
    <cfRule type="expression" dxfId="328" priority="257">
      <formula>AY10="Achived"</formula>
    </cfRule>
    <cfRule type="expression" dxfId="327" priority="255">
      <formula>AY10="Lost"</formula>
    </cfRule>
    <cfRule type="expression" dxfId="326" priority="256">
      <formula>AY10="Wait"</formula>
    </cfRule>
  </conditionalFormatting>
  <conditionalFormatting sqref="P16:T16">
    <cfRule type="expression" dxfId="325" priority="266">
      <formula>AY16="Achived"</formula>
    </cfRule>
    <cfRule type="expression" dxfId="324" priority="265">
      <formula>AY16="Wait"</formula>
    </cfRule>
    <cfRule type="expression" dxfId="323" priority="264">
      <formula>AY16="Lost"</formula>
    </cfRule>
  </conditionalFormatting>
  <conditionalFormatting sqref="P20:U20">
    <cfRule type="expression" dxfId="322" priority="248">
      <formula>AY20="Achived"</formula>
    </cfRule>
    <cfRule type="expression" dxfId="321" priority="246">
      <formula>AY20="Lost"</formula>
    </cfRule>
    <cfRule type="expression" dxfId="320" priority="247">
      <formula>AY20="Wait"</formula>
    </cfRule>
  </conditionalFormatting>
  <conditionalFormatting sqref="P26:U26">
    <cfRule type="expression" dxfId="319" priority="249">
      <formula>AY26="Lost"</formula>
    </cfRule>
    <cfRule type="expression" dxfId="318" priority="250">
      <formula>AY26="Wait"</formula>
    </cfRule>
    <cfRule type="expression" dxfId="317" priority="251">
      <formula>AY26="Achived"</formula>
    </cfRule>
  </conditionalFormatting>
  <conditionalFormatting sqref="P29:U29">
    <cfRule type="expression" dxfId="316" priority="245">
      <formula>BF29="Achived"</formula>
    </cfRule>
    <cfRule type="expression" dxfId="315" priority="243">
      <formula>BF29="Lost"</formula>
    </cfRule>
    <cfRule type="expression" dxfId="314" priority="244">
      <formula>BF29="Wait"</formula>
    </cfRule>
  </conditionalFormatting>
  <conditionalFormatting sqref="P32:U32">
    <cfRule type="expression" dxfId="313" priority="313">
      <formula>BF32="Lost"</formula>
    </cfRule>
    <cfRule type="expression" dxfId="312" priority="314">
      <formula>BF32="Wait"</formula>
    </cfRule>
    <cfRule type="expression" dxfId="311" priority="315">
      <formula>BF32="Achived"</formula>
    </cfRule>
  </conditionalFormatting>
  <conditionalFormatting sqref="P33:U33">
    <cfRule type="cellIs" dxfId="310" priority="72" operator="equal">
      <formula>"Lost"</formula>
    </cfRule>
    <cfRule type="cellIs" dxfId="309" priority="71" operator="equal">
      <formula>"-"</formula>
    </cfRule>
  </conditionalFormatting>
  <conditionalFormatting sqref="P34:U37">
    <cfRule type="expression" dxfId="308" priority="42">
      <formula>BF34="Wait"</formula>
    </cfRule>
    <cfRule type="expression" dxfId="307" priority="43">
      <formula>BF34="Achived"</formula>
    </cfRule>
    <cfRule type="expression" dxfId="306" priority="41">
      <formula>BF34="Lost"</formula>
    </cfRule>
  </conditionalFormatting>
  <conditionalFormatting sqref="P3:V31">
    <cfRule type="cellIs" dxfId="305" priority="267" operator="equal">
      <formula>"-"</formula>
    </cfRule>
    <cfRule type="cellIs" dxfId="304" priority="268" operator="equal">
      <formula>"Lost"</formula>
    </cfRule>
  </conditionalFormatting>
  <conditionalFormatting sqref="Q29:T29">
    <cfRule type="expression" dxfId="303" priority="262">
      <formula>AZ29="Wait"</formula>
    </cfRule>
    <cfRule type="expression" dxfId="302" priority="261">
      <formula>AZ29="Lost"</formula>
    </cfRule>
    <cfRule type="expression" dxfId="301" priority="263">
      <formula>AZ29="Achived"</formula>
    </cfRule>
  </conditionalFormatting>
  <conditionalFormatting sqref="U19:U31">
    <cfRule type="expression" dxfId="300" priority="258">
      <formula>BK19="Lost"</formula>
    </cfRule>
    <cfRule type="expression" dxfId="299" priority="259">
      <formula>BK19="Wait"</formula>
    </cfRule>
    <cfRule type="expression" dxfId="298" priority="260">
      <formula>BK19="Achived"</formula>
    </cfRule>
  </conditionalFormatting>
  <conditionalFormatting sqref="U32 U34:U51">
    <cfRule type="expression" dxfId="297" priority="471">
      <formula>BK32="Lost"</formula>
    </cfRule>
    <cfRule type="expression" dxfId="296" priority="472">
      <formula>BK32="Wait"</formula>
    </cfRule>
    <cfRule type="expression" dxfId="295" priority="473">
      <formula>BK32="Achived"</formula>
    </cfRule>
  </conditionalFormatting>
  <conditionalFormatting sqref="V33:V37">
    <cfRule type="cellIs" dxfId="294" priority="127" operator="equal">
      <formula>"-"</formula>
    </cfRule>
  </conditionalFormatting>
  <conditionalFormatting sqref="W3:Z6">
    <cfRule type="expression" dxfId="293" priority="223">
      <formula>BM3="Lost"</formula>
    </cfRule>
    <cfRule type="expression" dxfId="292" priority="225">
      <formula>BM3="Achived"</formula>
    </cfRule>
    <cfRule type="expression" dxfId="291" priority="224">
      <formula>BM3="Wait"</formula>
    </cfRule>
  </conditionalFormatting>
  <conditionalFormatting sqref="W10:AA10">
    <cfRule type="expression" dxfId="290" priority="237">
      <formula>BF10="Achived"</formula>
    </cfRule>
    <cfRule type="expression" dxfId="289" priority="235">
      <formula>BF10="Lost"</formula>
    </cfRule>
    <cfRule type="expression" dxfId="288" priority="236">
      <formula>BF10="Wait"</formula>
    </cfRule>
  </conditionalFormatting>
  <conditionalFormatting sqref="W20:AB20">
    <cfRule type="expression" dxfId="287" priority="227">
      <formula>BF20="Wait"</formula>
    </cfRule>
    <cfRule type="expression" dxfId="286" priority="226">
      <formula>BF20="Lost"</formula>
    </cfRule>
    <cfRule type="expression" dxfId="285" priority="228">
      <formula>BF20="Achived"</formula>
    </cfRule>
  </conditionalFormatting>
  <conditionalFormatting sqref="W26:AB26">
    <cfRule type="expression" dxfId="284" priority="230">
      <formula>BF26="Wait"</formula>
    </cfRule>
    <cfRule type="expression" dxfId="283" priority="229">
      <formula>BF26="Lost"</formula>
    </cfRule>
    <cfRule type="expression" dxfId="282" priority="231">
      <formula>BF26="Achived"</formula>
    </cfRule>
  </conditionalFormatting>
  <conditionalFormatting sqref="W33:AB39">
    <cfRule type="cellIs" dxfId="281" priority="39" operator="equal">
      <formula>"-"</formula>
    </cfRule>
    <cfRule type="cellIs" dxfId="280" priority="40" operator="equal">
      <formula>"Lost"</formula>
    </cfRule>
  </conditionalFormatting>
  <conditionalFormatting sqref="W3:AC28">
    <cfRule type="cellIs" dxfId="279" priority="241" operator="equal">
      <formula>"-"</formula>
    </cfRule>
    <cfRule type="cellIs" dxfId="278" priority="242" operator="equal">
      <formula>"Lost"</formula>
    </cfRule>
  </conditionalFormatting>
  <conditionalFormatting sqref="W19:AJ19">
    <cfRule type="cellIs" dxfId="277" priority="14" operator="equal">
      <formula>"Lost"</formula>
    </cfRule>
    <cfRule type="cellIs" dxfId="276" priority="13" operator="equal">
      <formula>"-"</formula>
    </cfRule>
  </conditionalFormatting>
  <conditionalFormatting sqref="AC33:AC35 AJ33:AJ35">
    <cfRule type="cellIs" dxfId="275" priority="28" operator="equal">
      <formula>"Lost"</formula>
    </cfRule>
    <cfRule type="cellIs" dxfId="274" priority="27" operator="equal">
      <formula>"-"</formula>
    </cfRule>
  </conditionalFormatting>
  <conditionalFormatting sqref="AD10:AH10">
    <cfRule type="expression" dxfId="273" priority="211">
      <formula>BM10="Achived"</formula>
    </cfRule>
    <cfRule type="expression" dxfId="272" priority="210">
      <formula>BM10="Wait"</formula>
    </cfRule>
    <cfRule type="expression" dxfId="271" priority="209">
      <formula>BM10="Lost"</formula>
    </cfRule>
  </conditionalFormatting>
  <conditionalFormatting sqref="AD20:AI20">
    <cfRule type="expression" dxfId="270" priority="202">
      <formula>BM20="Achived"</formula>
    </cfRule>
    <cfRule type="expression" dxfId="269" priority="200">
      <formula>BM20="Lost"</formula>
    </cfRule>
    <cfRule type="expression" dxfId="268" priority="201">
      <formula>BM20="Wait"</formula>
    </cfRule>
  </conditionalFormatting>
  <conditionalFormatting sqref="AD22:AI22">
    <cfRule type="expression" dxfId="267" priority="197">
      <formula>BM22="Lost"</formula>
    </cfRule>
    <cfRule type="expression" dxfId="266" priority="199">
      <formula>BM22="Achived"</formula>
    </cfRule>
    <cfRule type="expression" dxfId="265" priority="198">
      <formula>BM22="Wait"</formula>
    </cfRule>
  </conditionalFormatting>
  <conditionalFormatting sqref="AD25:AI26">
    <cfRule type="expression" dxfId="264" priority="196">
      <formula>BM25="Achived"</formula>
    </cfRule>
    <cfRule type="expression" dxfId="263" priority="195">
      <formula>BM25="Wait"</formula>
    </cfRule>
    <cfRule type="expression" dxfId="262" priority="194">
      <formula>BM25="Lost"</formula>
    </cfRule>
    <cfRule type="expression" dxfId="261" priority="193">
      <formula>BM25="Achived"</formula>
    </cfRule>
    <cfRule type="expression" dxfId="260" priority="192">
      <formula>BM25="Wait"</formula>
    </cfRule>
    <cfRule type="expression" dxfId="259" priority="191">
      <formula>BM25="Lost"</formula>
    </cfRule>
  </conditionalFormatting>
  <conditionalFormatting sqref="AD46:AI51">
    <cfRule type="expression" dxfId="258" priority="438">
      <formula>BM46="Lost"</formula>
    </cfRule>
    <cfRule type="expression" dxfId="257" priority="439">
      <formula>BM46="Wait"</formula>
    </cfRule>
    <cfRule type="expression" dxfId="256" priority="440">
      <formula>BM46="Achived"</formula>
    </cfRule>
  </conditionalFormatting>
  <conditionalFormatting sqref="AD3:AJ28 W29:AJ32">
    <cfRule type="cellIs" dxfId="255" priority="219" operator="equal">
      <formula>"Lost"</formula>
    </cfRule>
    <cfRule type="cellIs" dxfId="254" priority="218" operator="equal">
      <formula>"-"</formula>
    </cfRule>
  </conditionalFormatting>
  <conditionalFormatting sqref="AF11">
    <cfRule type="expression" dxfId="250" priority="11">
      <formula>BO11="Wait"</formula>
    </cfRule>
    <cfRule type="expression" dxfId="249" priority="12">
      <formula>BO11="Achived"</formula>
    </cfRule>
    <cfRule type="expression" dxfId="248" priority="10">
      <formula>BO11="Lost"</formula>
    </cfRule>
  </conditionalFormatting>
  <conditionalFormatting sqref="AI20:AI28">
    <cfRule type="expression" dxfId="244" priority="212">
      <formula>BY20="Lost"</formula>
    </cfRule>
    <cfRule type="expression" dxfId="243" priority="213">
      <formula>BY20="Wait"</formula>
    </cfRule>
    <cfRule type="expression" dxfId="242" priority="214">
      <formula>BY20="Achived"</formula>
    </cfRule>
  </conditionalFormatting>
  <conditionalFormatting sqref="AI46:AI51">
    <cfRule type="expression" dxfId="241" priority="470">
      <formula>BY46="Achived"</formula>
    </cfRule>
    <cfRule type="expression" dxfId="240" priority="468">
      <formula>BY46="Lost"</formula>
    </cfRule>
    <cfRule type="expression" dxfId="239" priority="469">
      <formula>BY46="Wait"</formula>
    </cfRule>
  </conditionalFormatting>
  <conditionalFormatting sqref="AK3:AP51">
    <cfRule type="cellIs" dxfId="238" priority="301" operator="equal">
      <formula>"Lost"</formula>
    </cfRule>
  </conditionalFormatting>
  <conditionalFormatting sqref="AK3:XFD51">
    <cfRule type="cellIs" dxfId="237" priority="300" operator="equal">
      <formula>"-"</formula>
    </cfRule>
  </conditionalFormatting>
  <conditionalFormatting sqref="AR3:AW51">
    <cfRule type="cellIs" dxfId="236" priority="498" operator="equal">
      <formula>"Wait"</formula>
    </cfRule>
    <cfRule type="cellIs" dxfId="235" priority="499" operator="equal">
      <formula>"Achived"</formula>
    </cfRule>
  </conditionalFormatting>
  <conditionalFormatting sqref="I33:N46">
    <cfRule type="expression" dxfId="3" priority="3">
      <formula>AY33="Lost"</formula>
    </cfRule>
    <cfRule type="expression" dxfId="2" priority="4">
      <formula>AY33="Wait"</formula>
    </cfRule>
    <cfRule type="expression" dxfId="4" priority="5">
      <formula>AY33="Achived"</formula>
    </cfRule>
  </conditionalFormatting>
  <conditionalFormatting sqref="AD33:AI45">
    <cfRule type="cellIs" dxfId="0" priority="1" operator="equal">
      <formula>"-"</formula>
    </cfRule>
    <cfRule type="cellIs" dxfId="1" priority="2" operator="equal">
      <formula>"Lost"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51"/>
  <sheetViews>
    <sheetView topLeftCell="C1" zoomScale="46" zoomScaleNormal="46" workbookViewId="0">
      <selection activeCell="X30" sqref="X30"/>
    </sheetView>
  </sheetViews>
  <sheetFormatPr defaultColWidth="9.140625" defaultRowHeight="21" x14ac:dyDescent="0.35"/>
  <cols>
    <col min="1" max="1" width="20.28515625" style="3" hidden="1" customWidth="1"/>
    <col min="2" max="2" width="20.7109375" style="3" hidden="1" customWidth="1"/>
    <col min="3" max="3" width="15.28515625" style="3" bestFit="1" customWidth="1"/>
    <col min="4" max="4" width="11.85546875" style="3" bestFit="1" customWidth="1"/>
    <col min="5" max="5" width="17.42578125" style="3" bestFit="1" customWidth="1"/>
    <col min="6" max="6" width="16.140625" style="3" bestFit="1" customWidth="1"/>
    <col min="7" max="7" width="11.5703125" style="3" bestFit="1" customWidth="1"/>
    <col min="8" max="8" width="27" style="3" bestFit="1" customWidth="1"/>
    <col min="9" max="9" width="11.28515625" style="3" bestFit="1" customWidth="1"/>
    <col min="10" max="10" width="10.28515625" style="3" bestFit="1" customWidth="1"/>
    <col min="11" max="11" width="18.85546875" style="3" bestFit="1" customWidth="1"/>
    <col min="12" max="12" width="21.7109375" style="3" bestFit="1" customWidth="1"/>
    <col min="13" max="13" width="7.7109375" style="3" bestFit="1" customWidth="1"/>
    <col min="14" max="14" width="16.42578125" style="3" bestFit="1" customWidth="1"/>
    <col min="15" max="15" width="19.85546875" style="25" bestFit="1" customWidth="1"/>
    <col min="16" max="16" width="16.42578125" style="3" hidden="1" customWidth="1"/>
    <col min="17" max="17" width="19.85546875" style="3" hidden="1" customWidth="1"/>
    <col min="18" max="18" width="12.5703125" style="3" bestFit="1" customWidth="1"/>
    <col min="19" max="25" width="9.140625" style="3"/>
    <col min="26" max="26" width="8.85546875" customWidth="1"/>
    <col min="27" max="16384" width="9.140625" style="3"/>
  </cols>
  <sheetData>
    <row r="1" spans="1:21" ht="22.5" thickTop="1" thickBot="1" x14ac:dyDescent="0.4">
      <c r="A1" s="4" t="s">
        <v>16</v>
      </c>
      <c r="B1" s="4" t="s">
        <v>39</v>
      </c>
      <c r="C1" s="4" t="s">
        <v>0</v>
      </c>
      <c r="D1" s="5">
        <f ca="1">SUM(D2:D49)</f>
        <v>2271</v>
      </c>
      <c r="E1" s="5" t="s">
        <v>1</v>
      </c>
      <c r="F1" s="5" t="s">
        <v>2</v>
      </c>
      <c r="G1" s="5" t="s">
        <v>3</v>
      </c>
      <c r="H1" s="5" t="s">
        <v>30</v>
      </c>
      <c r="I1" s="5" t="s">
        <v>21</v>
      </c>
      <c r="J1" s="5" t="s">
        <v>19</v>
      </c>
      <c r="K1" s="5" t="s">
        <v>26</v>
      </c>
      <c r="L1" s="5" t="s">
        <v>4</v>
      </c>
      <c r="M1" s="5" t="s">
        <v>27</v>
      </c>
      <c r="N1" s="5" t="s">
        <v>5</v>
      </c>
      <c r="O1" s="24" t="s">
        <v>22</v>
      </c>
      <c r="P1" s="5" t="s">
        <v>24</v>
      </c>
      <c r="Q1" s="38" t="s">
        <v>20</v>
      </c>
    </row>
    <row r="2" spans="1:21" ht="22.5" thickTop="1" thickBot="1" x14ac:dyDescent="0.4">
      <c r="A2" s="40" t="str">
        <f>R3</f>
        <v>Enterprise</v>
      </c>
      <c r="B2" s="40">
        <f ca="1">Master!$AX$1</f>
        <v>45965</v>
      </c>
      <c r="C2" s="6">
        <v>0</v>
      </c>
      <c r="D2" s="7">
        <f ca="1">IF(E2="","",Master!AK3)</f>
        <v>36</v>
      </c>
      <c r="E2" s="8">
        <f>Master!I3</f>
        <v>40</v>
      </c>
      <c r="F2" s="9">
        <f ca="1">IFERROR(IF(OR(E2="-",E2=0),"",E2/D2),0)</f>
        <v>1.1111111111111112</v>
      </c>
      <c r="G2" s="9">
        <f>Master!B3</f>
        <v>0.79</v>
      </c>
      <c r="H2" s="19">
        <f>IFERROR(E2*I2,0)</f>
        <v>23860.2</v>
      </c>
      <c r="I2" s="8">
        <f>IFERROR(((Master!AD3*3600*24)*((Master!P3/100)/Master!I3)),0)</f>
        <v>596.505</v>
      </c>
      <c r="J2" s="8">
        <f>Master!P3</f>
        <v>91</v>
      </c>
      <c r="K2" s="8">
        <f ca="1">(D2*Validation!$M$4/1800)/IF(Validation!$N$4="",(IF(OR(NOT(ISNUMBER(J2)),J2=0),1,J2%)),Validation!$N$4)</f>
        <v>8.8235294117647065</v>
      </c>
      <c r="L2" s="8">
        <f>Master!W3</f>
        <v>15</v>
      </c>
      <c r="M2" s="8">
        <f t="shared" ref="M2:M49" ca="1" si="0">IF(AND(ISNUMBER(L2),L2&gt;0),L2-K2,"-")</f>
        <v>6.1764705882352935</v>
      </c>
      <c r="N2" s="19" t="str">
        <f ca="1">IF(OR(E2=0,E2="-"),"",IF(F2&gt;=98%,"Achived",IF(G2&gt;=75%,"Wait","Lost")))</f>
        <v>Achived</v>
      </c>
      <c r="O2" s="23">
        <f ca="1">IF(E2=0,0,IF(N2="Wait",D2*0.9,IF($T$3="Y",E2,IF(AND(N2="achived",F2&lt;=1.1),E2,IF(F2&gt;=1.1,D2*1.1,IF(N2="Lost",E2,"ER"))))))</f>
        <v>39.6</v>
      </c>
      <c r="P2" s="39" t="str">
        <f>T3</f>
        <v>N</v>
      </c>
      <c r="Q2" s="39">
        <f>IFERROR((I2*E2)/((J2/100)*86400),0)</f>
        <v>0.30347222222222225</v>
      </c>
      <c r="R2" s="60" t="s">
        <v>16</v>
      </c>
      <c r="S2" s="61"/>
      <c r="T2" s="60" t="s">
        <v>24</v>
      </c>
      <c r="U2" s="61"/>
    </row>
    <row r="3" spans="1:21" ht="22.5" thickTop="1" thickBot="1" x14ac:dyDescent="0.4">
      <c r="A3" s="40" t="str">
        <f>R3</f>
        <v>Enterprise</v>
      </c>
      <c r="B3" s="40">
        <f ca="1">Master!$AX$1</f>
        <v>45965</v>
      </c>
      <c r="C3" s="6">
        <v>2.0833333333333332E-2</v>
      </c>
      <c r="D3" s="7">
        <f ca="1">Master!AK4</f>
        <v>33</v>
      </c>
      <c r="E3" s="8">
        <f>Master!I4</f>
        <v>24</v>
      </c>
      <c r="F3" s="9">
        <f t="shared" ref="F3:F49" ca="1" si="1">IFERROR(IF(OR(E3="-",E3=0),"",E3/D3),0)</f>
        <v>0.72727272727272729</v>
      </c>
      <c r="G3" s="9">
        <f>Master!B4</f>
        <v>1</v>
      </c>
      <c r="H3" s="19">
        <f t="shared" ref="H3:H49" si="2">IFERROR(E3*I3,0)</f>
        <v>23122.2</v>
      </c>
      <c r="I3" s="8">
        <f>IFERROR(((Master!AD4*3600*24)*((Master!P4/100)/Master!I4)),0)</f>
        <v>963.42500000000007</v>
      </c>
      <c r="J3" s="8">
        <f>Master!P4</f>
        <v>89</v>
      </c>
      <c r="K3" s="8">
        <f ca="1">(D3*Validation!$M$4/1800)/IF(Validation!$N$4="",(IF(OR(NOT(ISNUMBER(J3)),J3=0),1,J3%)),Validation!$N$4)</f>
        <v>8.0882352941176467</v>
      </c>
      <c r="L3" s="8">
        <f>Master!W4</f>
        <v>16</v>
      </c>
      <c r="M3" s="8">
        <f t="shared" ca="1" si="0"/>
        <v>7.9117647058823533</v>
      </c>
      <c r="N3" s="19" t="str">
        <f t="shared" ref="N3:N49" ca="1" si="3">IF(OR(E3=0,E3="-"),"",IF(F3&gt;=98%,"Achived",IF(G3&gt;=75%,"Wait","Lost")))</f>
        <v>Wait</v>
      </c>
      <c r="O3" s="23">
        <f t="shared" ref="O3:O49" ca="1" si="4">IF(E3=0,0,IF(N3="Wait",D3*0.9,IF($T$3="Y",E3,IF(AND(N3="achived",F3&lt;=1.1),E3,IF(F3&gt;=1.1,D3*1.1,IF(N3="Lost",E3,"ER"))))))</f>
        <v>29.7</v>
      </c>
      <c r="P3" s="39" t="str">
        <f>T3</f>
        <v>N</v>
      </c>
      <c r="Q3" s="39">
        <f t="shared" ref="Q3:Q50" si="5">IFERROR((I3*E3)/((J3/100)*86400),0)</f>
        <v>0.30069444444444443</v>
      </c>
      <c r="R3" s="56" t="s">
        <v>23</v>
      </c>
      <c r="S3" s="57"/>
      <c r="T3" s="62" t="s">
        <v>25</v>
      </c>
      <c r="U3" s="63"/>
    </row>
    <row r="4" spans="1:21" ht="22.5" thickTop="1" thickBot="1" x14ac:dyDescent="0.4">
      <c r="A4" s="40" t="str">
        <f>R3</f>
        <v>Enterprise</v>
      </c>
      <c r="B4" s="40">
        <f ca="1">Master!$AX$1</f>
        <v>45965</v>
      </c>
      <c r="C4" s="6">
        <v>4.1666666666666664E-2</v>
      </c>
      <c r="D4" s="7">
        <f ca="1">Master!AK5</f>
        <v>19</v>
      </c>
      <c r="E4" s="8">
        <f>Master!I5</f>
        <v>21</v>
      </c>
      <c r="F4" s="9">
        <f t="shared" ca="1" si="1"/>
        <v>1.1052631578947369</v>
      </c>
      <c r="G4" s="9">
        <f>Master!B5</f>
        <v>1</v>
      </c>
      <c r="H4" s="19">
        <f t="shared" si="2"/>
        <v>18306.000000000004</v>
      </c>
      <c r="I4" s="8">
        <f>IFERROR(((Master!AD5*3600*24)*((Master!P5/100)/Master!I5)),0)</f>
        <v>871.71428571428589</v>
      </c>
      <c r="J4" s="8">
        <f>Master!P5</f>
        <v>90</v>
      </c>
      <c r="K4" s="8">
        <f ca="1">(D4*Validation!$M$4/1800)/IF(Validation!$N$4="",(IF(OR(NOT(ISNUMBER(J4)),J4=0),1,J4%)),Validation!$N$4)</f>
        <v>4.6568627450980395</v>
      </c>
      <c r="L4" s="8">
        <f>Master!W5</f>
        <v>11</v>
      </c>
      <c r="M4" s="8">
        <f t="shared" ca="1" si="0"/>
        <v>6.3431372549019605</v>
      </c>
      <c r="N4" s="19" t="str">
        <f t="shared" ca="1" si="3"/>
        <v>Achived</v>
      </c>
      <c r="O4" s="23">
        <f t="shared" ca="1" si="4"/>
        <v>20.900000000000002</v>
      </c>
      <c r="P4" s="39" t="str">
        <f>T3</f>
        <v>N</v>
      </c>
      <c r="Q4" s="39">
        <f t="shared" si="5"/>
        <v>0.23541666666666672</v>
      </c>
      <c r="R4" s="58"/>
      <c r="S4" s="59"/>
      <c r="T4" s="64"/>
      <c r="U4" s="65"/>
    </row>
    <row r="5" spans="1:21" ht="22.5" thickTop="1" thickBot="1" x14ac:dyDescent="0.4">
      <c r="A5" s="40" t="str">
        <f>R3</f>
        <v>Enterprise</v>
      </c>
      <c r="B5" s="40">
        <f ca="1">Master!$AX$1</f>
        <v>45965</v>
      </c>
      <c r="C5" s="6">
        <v>6.25E-2</v>
      </c>
      <c r="D5" s="7">
        <f ca="1">Master!AK6</f>
        <v>16</v>
      </c>
      <c r="E5" s="8">
        <f>Master!I6</f>
        <v>13</v>
      </c>
      <c r="F5" s="9">
        <f t="shared" ca="1" si="1"/>
        <v>0.8125</v>
      </c>
      <c r="G5" s="9">
        <f>Master!B6</f>
        <v>1</v>
      </c>
      <c r="H5" s="19">
        <f t="shared" si="2"/>
        <v>17933.400000000005</v>
      </c>
      <c r="I5" s="8">
        <f>IFERROR(((Master!AD6*3600*24)*((Master!P6/100)/Master!I6)),0)</f>
        <v>1379.492307692308</v>
      </c>
      <c r="J5" s="8">
        <f>Master!P6</f>
        <v>81</v>
      </c>
      <c r="K5" s="8">
        <f ca="1">(D5*Validation!$M$4/1800)/IF(Validation!$N$4="",(IF(OR(NOT(ISNUMBER(J5)),J5=0),1,J5%)),Validation!$N$4)</f>
        <v>3.9215686274509807</v>
      </c>
      <c r="L5" s="8">
        <f>Master!W6</f>
        <v>12</v>
      </c>
      <c r="M5" s="8">
        <f t="shared" ca="1" si="0"/>
        <v>8.0784313725490193</v>
      </c>
      <c r="N5" s="19" t="str">
        <f t="shared" ca="1" si="3"/>
        <v>Wait</v>
      </c>
      <c r="O5" s="23">
        <f t="shared" ca="1" si="4"/>
        <v>14.4</v>
      </c>
      <c r="P5" s="39" t="str">
        <f>T3</f>
        <v>N</v>
      </c>
      <c r="Q5" s="39">
        <f t="shared" si="5"/>
        <v>0.25625000000000009</v>
      </c>
    </row>
    <row r="6" spans="1:21" ht="22.5" thickTop="1" thickBot="1" x14ac:dyDescent="0.4">
      <c r="A6" s="40" t="str">
        <f>R3</f>
        <v>Enterprise</v>
      </c>
      <c r="B6" s="40">
        <f ca="1">Master!$AX$1</f>
        <v>45965</v>
      </c>
      <c r="C6" s="6">
        <v>8.3333333333333301E-2</v>
      </c>
      <c r="D6" s="7">
        <f ca="1">Master!AK7</f>
        <v>13</v>
      </c>
      <c r="E6" s="8">
        <f>Master!I7</f>
        <v>9</v>
      </c>
      <c r="F6" s="9">
        <f t="shared" ca="1" si="1"/>
        <v>0.69230769230769229</v>
      </c>
      <c r="G6" s="9">
        <f>Master!B7</f>
        <v>1</v>
      </c>
      <c r="H6" s="19">
        <f t="shared" si="2"/>
        <v>14981.4</v>
      </c>
      <c r="I6" s="8">
        <f>IFERROR(((Master!AD7*3600*24)*((Master!P7/100)/Master!I7)),0)</f>
        <v>1664.6</v>
      </c>
      <c r="J6" s="8">
        <f>Master!P7</f>
        <v>87</v>
      </c>
      <c r="K6" s="8">
        <f ca="1">(D6*Validation!$M$4/1800)/IF(Validation!$N$4="",(IF(OR(NOT(ISNUMBER(J6)),J6=0),1,J6%)),Validation!$N$4)</f>
        <v>3.1862745098039218</v>
      </c>
      <c r="L6" s="8">
        <f>Master!W7</f>
        <v>8</v>
      </c>
      <c r="M6" s="8">
        <f t="shared" ca="1" si="0"/>
        <v>4.8137254901960782</v>
      </c>
      <c r="N6" s="19" t="str">
        <f t="shared" ca="1" si="3"/>
        <v>Wait</v>
      </c>
      <c r="O6" s="23">
        <f t="shared" ca="1" si="4"/>
        <v>11.700000000000001</v>
      </c>
      <c r="P6" s="39" t="str">
        <f>T3</f>
        <v>N</v>
      </c>
      <c r="Q6" s="39">
        <f t="shared" si="5"/>
        <v>0.19930555555555554</v>
      </c>
    </row>
    <row r="7" spans="1:21" ht="22.5" thickTop="1" thickBot="1" x14ac:dyDescent="0.4">
      <c r="A7" s="40" t="str">
        <f>R3</f>
        <v>Enterprise</v>
      </c>
      <c r="B7" s="40">
        <f ca="1">Master!$AX$1</f>
        <v>45965</v>
      </c>
      <c r="C7" s="6">
        <v>0.104166666666667</v>
      </c>
      <c r="D7" s="7">
        <f ca="1">Master!AK8</f>
        <v>11</v>
      </c>
      <c r="E7" s="8">
        <f>Master!I8</f>
        <v>6</v>
      </c>
      <c r="F7" s="9">
        <f t="shared" ca="1" si="1"/>
        <v>0.54545454545454541</v>
      </c>
      <c r="G7" s="9">
        <f>Master!B8</f>
        <v>0.8</v>
      </c>
      <c r="H7" s="19">
        <f t="shared" si="2"/>
        <v>12466.200000000004</v>
      </c>
      <c r="I7" s="8">
        <f>IFERROR(((Master!AD8*3600*24)*((Master!P8/100)/Master!I8)),0)</f>
        <v>2077.7000000000007</v>
      </c>
      <c r="J7" s="8">
        <f>Master!P8</f>
        <v>79</v>
      </c>
      <c r="K7" s="8">
        <f ca="1">(D7*Validation!$M$4/1800)/IF(Validation!$N$4="",(IF(OR(NOT(ISNUMBER(J7)),J7=0),1,J7%)),Validation!$N$4)</f>
        <v>2.6960784313725488</v>
      </c>
      <c r="L7" s="8">
        <f>Master!W8</f>
        <v>7</v>
      </c>
      <c r="M7" s="8">
        <f t="shared" ca="1" si="0"/>
        <v>4.3039215686274517</v>
      </c>
      <c r="N7" s="19" t="str">
        <f t="shared" ca="1" si="3"/>
        <v>Wait</v>
      </c>
      <c r="O7" s="23">
        <f t="shared" ca="1" si="4"/>
        <v>9.9</v>
      </c>
      <c r="P7" s="39" t="str">
        <f>T3</f>
        <v>N</v>
      </c>
      <c r="Q7" s="39">
        <f t="shared" si="5"/>
        <v>0.18263888888888896</v>
      </c>
    </row>
    <row r="8" spans="1:21" ht="22.5" thickTop="1" thickBot="1" x14ac:dyDescent="0.4">
      <c r="A8" s="40" t="str">
        <f>R3</f>
        <v>Enterprise</v>
      </c>
      <c r="B8" s="40">
        <f ca="1">Master!$AX$1</f>
        <v>45965</v>
      </c>
      <c r="C8" s="6">
        <v>0.125</v>
      </c>
      <c r="D8" s="7">
        <f ca="1">Master!AK9</f>
        <v>5</v>
      </c>
      <c r="E8" s="8">
        <f>Master!I9</f>
        <v>4</v>
      </c>
      <c r="F8" s="9">
        <f t="shared" ca="1" si="1"/>
        <v>0.8</v>
      </c>
      <c r="G8" s="9">
        <f>Master!B9</f>
        <v>1</v>
      </c>
      <c r="H8" s="19">
        <f t="shared" si="2"/>
        <v>7204.8</v>
      </c>
      <c r="I8" s="8">
        <f>IFERROR(((Master!AD9*3600*24)*((Master!P9/100)/Master!I9)),0)</f>
        <v>1801.2</v>
      </c>
      <c r="J8" s="8">
        <f>Master!P9</f>
        <v>76</v>
      </c>
      <c r="K8" s="8">
        <f ca="1">(D8*Validation!$M$4/1800)/IF(Validation!$N$4="",(IF(OR(NOT(ISNUMBER(J8)),J8=0),1,J8%)),Validation!$N$4)</f>
        <v>1.2254901960784315</v>
      </c>
      <c r="L8" s="8">
        <f>Master!W9</f>
        <v>7</v>
      </c>
      <c r="M8" s="8">
        <f t="shared" ca="1" si="0"/>
        <v>5.7745098039215685</v>
      </c>
      <c r="N8" s="19" t="str">
        <f t="shared" ca="1" si="3"/>
        <v>Wait</v>
      </c>
      <c r="O8" s="23">
        <f t="shared" ca="1" si="4"/>
        <v>4.5</v>
      </c>
      <c r="P8" s="39" t="str">
        <f>T3</f>
        <v>N</v>
      </c>
      <c r="Q8" s="39">
        <f t="shared" si="5"/>
        <v>0.10972222222222222</v>
      </c>
    </row>
    <row r="9" spans="1:21" ht="22.5" thickTop="1" thickBot="1" x14ac:dyDescent="0.4">
      <c r="A9" s="40" t="str">
        <f>R3</f>
        <v>Enterprise</v>
      </c>
      <c r="B9" s="40">
        <f ca="1">Master!$AX$1</f>
        <v>45965</v>
      </c>
      <c r="C9" s="6">
        <v>0.14583333333333301</v>
      </c>
      <c r="D9" s="7">
        <f ca="1">Master!AK10</f>
        <v>5</v>
      </c>
      <c r="E9" s="8">
        <f>Master!I10</f>
        <v>7</v>
      </c>
      <c r="F9" s="9">
        <f t="shared" ca="1" si="1"/>
        <v>1.4</v>
      </c>
      <c r="G9" s="9">
        <f>Master!B10</f>
        <v>1</v>
      </c>
      <c r="H9" s="19">
        <f t="shared" si="2"/>
        <v>9279.6</v>
      </c>
      <c r="I9" s="8">
        <f>IFERROR(((Master!AD10*3600*24)*((Master!P10/100)/Master!I10)),0)</f>
        <v>1325.6571428571428</v>
      </c>
      <c r="J9" s="8">
        <f>Master!P10</f>
        <v>74</v>
      </c>
      <c r="K9" s="8">
        <f ca="1">(D9*Validation!$M$4/1800)/IF(Validation!$N$4="",(IF(OR(NOT(ISNUMBER(J9)),J9=0),1,J9%)),Validation!$N$4)</f>
        <v>1.2254901960784315</v>
      </c>
      <c r="L9" s="8">
        <f>Master!W10</f>
        <v>7</v>
      </c>
      <c r="M9" s="8">
        <f t="shared" ca="1" si="0"/>
        <v>5.7745098039215685</v>
      </c>
      <c r="N9" s="19" t="str">
        <f t="shared" ca="1" si="3"/>
        <v>Achived</v>
      </c>
      <c r="O9" s="23">
        <f t="shared" ca="1" si="4"/>
        <v>5.5</v>
      </c>
      <c r="P9" s="39" t="str">
        <f>T3</f>
        <v>N</v>
      </c>
      <c r="Q9" s="39">
        <f t="shared" si="5"/>
        <v>0.1451388888888889</v>
      </c>
    </row>
    <row r="10" spans="1:21" ht="22.5" thickTop="1" thickBot="1" x14ac:dyDescent="0.4">
      <c r="A10" s="40" t="str">
        <f>R3</f>
        <v>Enterprise</v>
      </c>
      <c r="B10" s="40">
        <f ca="1">Master!$AX$1</f>
        <v>45965</v>
      </c>
      <c r="C10" s="6">
        <v>0.16666666666666699</v>
      </c>
      <c r="D10" s="7">
        <f ca="1">Master!AK11</f>
        <v>6</v>
      </c>
      <c r="E10" s="8">
        <f>Master!I11</f>
        <v>2</v>
      </c>
      <c r="F10" s="9">
        <f t="shared" ca="1" si="1"/>
        <v>0.33333333333333331</v>
      </c>
      <c r="G10" s="9">
        <f>Master!B11</f>
        <v>1</v>
      </c>
      <c r="H10" s="19">
        <f t="shared" si="2"/>
        <v>9262.8000000000011</v>
      </c>
      <c r="I10" s="8">
        <f>IFERROR(((Master!AD11*3600*24)*((Master!P11/100)/Master!I11)),0)</f>
        <v>4631.4000000000005</v>
      </c>
      <c r="J10" s="8">
        <f>Master!P11</f>
        <v>93</v>
      </c>
      <c r="K10" s="8">
        <f ca="1">(D10*Validation!$M$4/1800)/IF(Validation!$N$4="",(IF(OR(NOT(ISNUMBER(J10)),J10=0),1,J10%)),Validation!$N$4)</f>
        <v>1.4705882352941178</v>
      </c>
      <c r="L10" s="8">
        <f>Master!W11</f>
        <v>6</v>
      </c>
      <c r="M10" s="8">
        <f t="shared" ca="1" si="0"/>
        <v>4.5294117647058822</v>
      </c>
      <c r="N10" s="19" t="str">
        <f t="shared" ca="1" si="3"/>
        <v>Wait</v>
      </c>
      <c r="O10" s="23">
        <f t="shared" ca="1" si="4"/>
        <v>5.4</v>
      </c>
      <c r="P10" s="39" t="str">
        <f>T3</f>
        <v>N</v>
      </c>
      <c r="Q10" s="39">
        <f t="shared" si="5"/>
        <v>0.11527777777777778</v>
      </c>
    </row>
    <row r="11" spans="1:21" ht="22.5" thickTop="1" thickBot="1" x14ac:dyDescent="0.4">
      <c r="A11" s="40" t="str">
        <f>R3</f>
        <v>Enterprise</v>
      </c>
      <c r="B11" s="40">
        <f ca="1">Master!$AX$1</f>
        <v>45965</v>
      </c>
      <c r="C11" s="6">
        <v>0.1875</v>
      </c>
      <c r="D11" s="7">
        <f ca="1">Master!AK12</f>
        <v>4</v>
      </c>
      <c r="E11" s="8">
        <f>Master!I12</f>
        <v>2</v>
      </c>
      <c r="F11" s="9">
        <f t="shared" ca="1" si="1"/>
        <v>0.5</v>
      </c>
      <c r="G11" s="9">
        <f>Master!B12</f>
        <v>1</v>
      </c>
      <c r="H11" s="19">
        <f t="shared" si="2"/>
        <v>9291.6</v>
      </c>
      <c r="I11" s="8">
        <f>IFERROR(((Master!AD12*3600*24)*((Master!P12/100)/Master!I12)),0)</f>
        <v>4645.8</v>
      </c>
      <c r="J11" s="8">
        <f>Master!P12</f>
        <v>89</v>
      </c>
      <c r="K11" s="8">
        <f ca="1">(D11*Validation!$M$4/1800)/IF(Validation!$N$4="",(IF(OR(NOT(ISNUMBER(J11)),J11=0),1,J11%)),Validation!$N$4)</f>
        <v>0.98039215686274517</v>
      </c>
      <c r="L11" s="8">
        <f>Master!W12</f>
        <v>6</v>
      </c>
      <c r="M11" s="8">
        <f t="shared" ca="1" si="0"/>
        <v>5.0196078431372548</v>
      </c>
      <c r="N11" s="19" t="str">
        <f t="shared" ca="1" si="3"/>
        <v>Wait</v>
      </c>
      <c r="O11" s="23">
        <f t="shared" ca="1" si="4"/>
        <v>3.6</v>
      </c>
      <c r="P11" s="39" t="str">
        <f>T3</f>
        <v>N</v>
      </c>
      <c r="Q11" s="39">
        <f t="shared" si="5"/>
        <v>0.12083333333333333</v>
      </c>
    </row>
    <row r="12" spans="1:21" ht="22.5" thickTop="1" thickBot="1" x14ac:dyDescent="0.4">
      <c r="A12" s="40" t="str">
        <f>R3</f>
        <v>Enterprise</v>
      </c>
      <c r="B12" s="40">
        <f ca="1">Master!$AX$1</f>
        <v>45965</v>
      </c>
      <c r="C12" s="6">
        <v>0.20833333333333301</v>
      </c>
      <c r="D12" s="7">
        <f ca="1">Master!AK13</f>
        <v>4</v>
      </c>
      <c r="E12" s="8">
        <f>Master!I13</f>
        <v>3</v>
      </c>
      <c r="F12" s="9">
        <f t="shared" ca="1" si="1"/>
        <v>0.75</v>
      </c>
      <c r="G12" s="9">
        <f>Master!B13</f>
        <v>1</v>
      </c>
      <c r="H12" s="19">
        <f t="shared" si="2"/>
        <v>7777.7999999999993</v>
      </c>
      <c r="I12" s="8">
        <f>IFERROR(((Master!AD13*3600*24)*((Master!P13/100)/Master!I13)),0)</f>
        <v>2592.6</v>
      </c>
      <c r="J12" s="8">
        <f>Master!P13</f>
        <v>87</v>
      </c>
      <c r="K12" s="8">
        <f ca="1">(D12*Validation!$M$4/1800)/IF(Validation!$N$4="",(IF(OR(NOT(ISNUMBER(J12)),J12=0),1,J12%)),Validation!$N$4)</f>
        <v>0.98039215686274517</v>
      </c>
      <c r="L12" s="8">
        <f>Master!W13</f>
        <v>5</v>
      </c>
      <c r="M12" s="8">
        <f t="shared" ca="1" si="0"/>
        <v>4.0196078431372548</v>
      </c>
      <c r="N12" s="19" t="str">
        <f t="shared" ca="1" si="3"/>
        <v>Wait</v>
      </c>
      <c r="O12" s="23">
        <f t="shared" ca="1" si="4"/>
        <v>3.6</v>
      </c>
      <c r="P12" s="39" t="str">
        <f>T3</f>
        <v>N</v>
      </c>
      <c r="Q12" s="39">
        <f t="shared" si="5"/>
        <v>0.10347222222222222</v>
      </c>
    </row>
    <row r="13" spans="1:21" ht="22.5" thickTop="1" thickBot="1" x14ac:dyDescent="0.4">
      <c r="A13" s="40" t="str">
        <f>R3</f>
        <v>Enterprise</v>
      </c>
      <c r="B13" s="40">
        <f ca="1">Master!$AX$1</f>
        <v>45965</v>
      </c>
      <c r="C13" s="6">
        <v>0.22916666666666699</v>
      </c>
      <c r="D13" s="7">
        <f ca="1">Master!AK14</f>
        <v>8</v>
      </c>
      <c r="E13" s="8">
        <f>Master!I14</f>
        <v>2</v>
      </c>
      <c r="F13" s="9">
        <f t="shared" ca="1" si="1"/>
        <v>0.25</v>
      </c>
      <c r="G13" s="9">
        <f>Master!B14</f>
        <v>1</v>
      </c>
      <c r="H13" s="19">
        <f t="shared" si="2"/>
        <v>7071.5999999999995</v>
      </c>
      <c r="I13" s="8">
        <f>IFERROR(((Master!AD14*3600*24)*((Master!P14/100)/Master!I14)),0)</f>
        <v>3535.7999999999997</v>
      </c>
      <c r="J13" s="8">
        <f>Master!P14</f>
        <v>83</v>
      </c>
      <c r="K13" s="8">
        <f ca="1">(D13*Validation!$M$4/1800)/IF(Validation!$N$4="",(IF(OR(NOT(ISNUMBER(J13)),J13=0),1,J13%)),Validation!$N$4)</f>
        <v>1.9607843137254903</v>
      </c>
      <c r="L13" s="8">
        <f>Master!W14</f>
        <v>4</v>
      </c>
      <c r="M13" s="8">
        <f t="shared" ca="1" si="0"/>
        <v>2.0392156862745097</v>
      </c>
      <c r="N13" s="19" t="str">
        <f t="shared" ca="1" si="3"/>
        <v>Wait</v>
      </c>
      <c r="O13" s="23">
        <f t="shared" ca="1" si="4"/>
        <v>7.2</v>
      </c>
      <c r="P13" s="39" t="str">
        <f>T3</f>
        <v>N</v>
      </c>
      <c r="Q13" s="39">
        <f t="shared" si="5"/>
        <v>9.8611111111111108E-2</v>
      </c>
    </row>
    <row r="14" spans="1:21" ht="22.5" thickTop="1" thickBot="1" x14ac:dyDescent="0.4">
      <c r="A14" s="40" t="str">
        <f>R3</f>
        <v>Enterprise</v>
      </c>
      <c r="B14" s="40">
        <f ca="1">Master!$AX$1</f>
        <v>45965</v>
      </c>
      <c r="C14" s="6">
        <v>0.25</v>
      </c>
      <c r="D14" s="7">
        <f ca="1">Master!AK15</f>
        <v>7</v>
      </c>
      <c r="E14" s="8">
        <f>Master!I15</f>
        <v>8</v>
      </c>
      <c r="F14" s="9">
        <f t="shared" ca="1" si="1"/>
        <v>1.1428571428571428</v>
      </c>
      <c r="G14" s="9">
        <f>Master!B15</f>
        <v>1</v>
      </c>
      <c r="H14" s="19">
        <f t="shared" si="2"/>
        <v>6568.8</v>
      </c>
      <c r="I14" s="8">
        <f>IFERROR(((Master!AD15*3600*24)*((Master!P15/100)/Master!I15)),0)</f>
        <v>821.1</v>
      </c>
      <c r="J14" s="8">
        <f>Master!P15</f>
        <v>92</v>
      </c>
      <c r="K14" s="8">
        <f ca="1">(D14*Validation!$M$4/1800)/IF(Validation!$N$4="",(IF(OR(NOT(ISNUMBER(J14)),J14=0),1,J14%)),Validation!$N$4)</f>
        <v>1.7156862745098038</v>
      </c>
      <c r="L14" s="8">
        <f>Master!W15</f>
        <v>4</v>
      </c>
      <c r="M14" s="8">
        <f t="shared" ca="1" si="0"/>
        <v>2.284313725490196</v>
      </c>
      <c r="N14" s="19" t="str">
        <f t="shared" ca="1" si="3"/>
        <v>Achived</v>
      </c>
      <c r="O14" s="23">
        <f t="shared" ca="1" si="4"/>
        <v>7.7000000000000011</v>
      </c>
      <c r="P14" s="39" t="str">
        <f>T3</f>
        <v>N</v>
      </c>
      <c r="Q14" s="39">
        <f t="shared" si="5"/>
        <v>8.2638888888888887E-2</v>
      </c>
    </row>
    <row r="15" spans="1:21" ht="22.5" thickTop="1" thickBot="1" x14ac:dyDescent="0.4">
      <c r="A15" s="40" t="str">
        <f>R3</f>
        <v>Enterprise</v>
      </c>
      <c r="B15" s="40">
        <f ca="1">Master!$AX$1</f>
        <v>45965</v>
      </c>
      <c r="C15" s="6">
        <v>0.27083333333333298</v>
      </c>
      <c r="D15" s="7">
        <f ca="1">Master!AK16</f>
        <v>10</v>
      </c>
      <c r="E15" s="8">
        <f>Master!I16</f>
        <v>7</v>
      </c>
      <c r="F15" s="9">
        <f t="shared" ca="1" si="1"/>
        <v>0.7</v>
      </c>
      <c r="G15" s="9">
        <f>Master!B16</f>
        <v>1</v>
      </c>
      <c r="H15" s="19">
        <f t="shared" si="2"/>
        <v>5854.8</v>
      </c>
      <c r="I15" s="8">
        <f>IFERROR(((Master!AD16*3600*24)*((Master!P16/100)/Master!I16)),0)</f>
        <v>836.4</v>
      </c>
      <c r="J15" s="8">
        <f>Master!P16</f>
        <v>82</v>
      </c>
      <c r="K15" s="8">
        <f ca="1">(D15*Validation!$M$4/1800)/IF(Validation!$N$4="",(IF(OR(NOT(ISNUMBER(J15)),J15=0),1,J15%)),Validation!$N$4)</f>
        <v>2.4509803921568629</v>
      </c>
      <c r="L15" s="8">
        <f>Master!W16</f>
        <v>4</v>
      </c>
      <c r="M15" s="8">
        <f t="shared" ca="1" si="0"/>
        <v>1.5490196078431371</v>
      </c>
      <c r="N15" s="19" t="str">
        <f t="shared" ca="1" si="3"/>
        <v>Wait</v>
      </c>
      <c r="O15" s="23">
        <f t="shared" ca="1" si="4"/>
        <v>9</v>
      </c>
      <c r="P15" s="39" t="str">
        <f>T3</f>
        <v>N</v>
      </c>
      <c r="Q15" s="39">
        <f t="shared" si="5"/>
        <v>8.2638888888888887E-2</v>
      </c>
    </row>
    <row r="16" spans="1:21" ht="22.5" thickTop="1" thickBot="1" x14ac:dyDescent="0.4">
      <c r="A16" s="40" t="str">
        <f>R3</f>
        <v>Enterprise</v>
      </c>
      <c r="B16" s="40">
        <f ca="1">Master!$AX$1</f>
        <v>45965</v>
      </c>
      <c r="C16" s="6">
        <v>0.29166666666666702</v>
      </c>
      <c r="D16" s="7">
        <f ca="1">Master!AK17</f>
        <v>14</v>
      </c>
      <c r="E16" s="8">
        <f>Master!I17</f>
        <v>14</v>
      </c>
      <c r="F16" s="9">
        <f t="shared" ca="1" si="1"/>
        <v>1</v>
      </c>
      <c r="G16" s="9">
        <f>Master!B17</f>
        <v>0.79</v>
      </c>
      <c r="H16" s="19">
        <f t="shared" si="2"/>
        <v>9556.8000000000011</v>
      </c>
      <c r="I16" s="8">
        <f>IFERROR(((Master!AD17*3600*24)*((Master!P17/100)/Master!I17)),0)</f>
        <v>682.62857142857149</v>
      </c>
      <c r="J16" s="8">
        <f>Master!P17</f>
        <v>88</v>
      </c>
      <c r="K16" s="8">
        <f ca="1">(D16*Validation!$M$4/1800)/IF(Validation!$N$4="",(IF(OR(NOT(ISNUMBER(J16)),J16=0),1,J16%)),Validation!$N$4)</f>
        <v>3.4313725490196076</v>
      </c>
      <c r="L16" s="8">
        <f>Master!W17</f>
        <v>7</v>
      </c>
      <c r="M16" s="8">
        <f t="shared" ca="1" si="0"/>
        <v>3.5686274509803924</v>
      </c>
      <c r="N16" s="19" t="str">
        <f t="shared" ca="1" si="3"/>
        <v>Achived</v>
      </c>
      <c r="O16" s="23">
        <f t="shared" ca="1" si="4"/>
        <v>14</v>
      </c>
      <c r="P16" s="39" t="str">
        <f>T3</f>
        <v>N</v>
      </c>
      <c r="Q16" s="39">
        <f t="shared" si="5"/>
        <v>0.12569444444444447</v>
      </c>
    </row>
    <row r="17" spans="1:17" ht="22.5" thickTop="1" thickBot="1" x14ac:dyDescent="0.4">
      <c r="A17" s="40" t="str">
        <f>R3</f>
        <v>Enterprise</v>
      </c>
      <c r="B17" s="40">
        <f ca="1">Master!$AX$1</f>
        <v>45965</v>
      </c>
      <c r="C17" s="6">
        <v>0.3125</v>
      </c>
      <c r="D17" s="7">
        <f ca="1">Master!AK18</f>
        <v>21</v>
      </c>
      <c r="E17" s="8">
        <f>Master!I18</f>
        <v>21</v>
      </c>
      <c r="F17" s="9">
        <f t="shared" ca="1" si="1"/>
        <v>1</v>
      </c>
      <c r="G17" s="9">
        <f>Master!B18</f>
        <v>0.9</v>
      </c>
      <c r="H17" s="19">
        <f t="shared" si="2"/>
        <v>13311</v>
      </c>
      <c r="I17" s="8">
        <f>IFERROR(((Master!AD18*3600*24)*((Master!P18/100)/Master!I18)),0)</f>
        <v>633.85714285714289</v>
      </c>
      <c r="J17" s="8">
        <f>Master!P18</f>
        <v>85</v>
      </c>
      <c r="K17" s="8">
        <f ca="1">(D17*Validation!$M$4/1800)/IF(Validation!$N$4="",(IF(OR(NOT(ISNUMBER(J17)),J17=0),1,J17%)),Validation!$N$4)</f>
        <v>5.1470588235294121</v>
      </c>
      <c r="L17" s="8">
        <f>Master!W18</f>
        <v>7</v>
      </c>
      <c r="M17" s="8">
        <f t="shared" ca="1" si="0"/>
        <v>1.8529411764705879</v>
      </c>
      <c r="N17" s="19" t="str">
        <f t="shared" ca="1" si="3"/>
        <v>Achived</v>
      </c>
      <c r="O17" s="23">
        <f t="shared" ca="1" si="4"/>
        <v>21</v>
      </c>
      <c r="P17" s="39" t="str">
        <f>T3</f>
        <v>N</v>
      </c>
      <c r="Q17" s="39">
        <f t="shared" si="5"/>
        <v>0.18124999999999999</v>
      </c>
    </row>
    <row r="18" spans="1:17" ht="22.5" thickTop="1" thickBot="1" x14ac:dyDescent="0.4">
      <c r="A18" s="40" t="str">
        <f>R3</f>
        <v>Enterprise</v>
      </c>
      <c r="B18" s="40">
        <f ca="1">Master!$AX$1</f>
        <v>45965</v>
      </c>
      <c r="C18" s="6">
        <v>0.33333333333333298</v>
      </c>
      <c r="D18" s="7">
        <f ca="1">Master!AK19</f>
        <v>28</v>
      </c>
      <c r="E18" s="8">
        <f>Master!I19</f>
        <v>17</v>
      </c>
      <c r="F18" s="9">
        <f t="shared" ca="1" si="1"/>
        <v>0.6071428571428571</v>
      </c>
      <c r="G18" s="9">
        <f>Master!B19</f>
        <v>0.93</v>
      </c>
      <c r="H18" s="19">
        <f t="shared" si="2"/>
        <v>10578</v>
      </c>
      <c r="I18" s="8">
        <f>IFERROR(((Master!AD19*3600*24)*((Master!P19/100)/Master!I19)),0)</f>
        <v>622.23529411764707</v>
      </c>
      <c r="J18" s="8">
        <f>Master!P19</f>
        <v>86</v>
      </c>
      <c r="K18" s="8">
        <f ca="1">(D18*Validation!$M$4/1800)/IF(Validation!$N$4="",(IF(OR(NOT(ISNUMBER(J18)),J18=0),1,J18%)),Validation!$N$4)</f>
        <v>6.8627450980392153</v>
      </c>
      <c r="L18" s="8">
        <f>Master!W19</f>
        <v>7</v>
      </c>
      <c r="M18" s="8">
        <f t="shared" ca="1" si="0"/>
        <v>0.13725490196078471</v>
      </c>
      <c r="N18" s="19" t="str">
        <f t="shared" ca="1" si="3"/>
        <v>Wait</v>
      </c>
      <c r="O18" s="23">
        <f t="shared" ca="1" si="4"/>
        <v>25.2</v>
      </c>
      <c r="P18" s="39" t="str">
        <f>T3</f>
        <v>N</v>
      </c>
      <c r="Q18" s="39">
        <f t="shared" si="5"/>
        <v>0.1423611111111111</v>
      </c>
    </row>
    <row r="19" spans="1:17" ht="22.5" thickTop="1" thickBot="1" x14ac:dyDescent="0.4">
      <c r="A19" s="40" t="str">
        <f>R3</f>
        <v>Enterprise</v>
      </c>
      <c r="B19" s="40">
        <f ca="1">Master!$AX$1</f>
        <v>45965</v>
      </c>
      <c r="C19" s="6">
        <v>0.35416666666666702</v>
      </c>
      <c r="D19" s="7">
        <f ca="1">Master!AK20</f>
        <v>36</v>
      </c>
      <c r="E19" s="8">
        <f>Master!I20</f>
        <v>33</v>
      </c>
      <c r="F19" s="9">
        <f t="shared" ca="1" si="1"/>
        <v>0.91666666666666663</v>
      </c>
      <c r="G19" s="9">
        <f>Master!B20</f>
        <v>0.75</v>
      </c>
      <c r="H19" s="19">
        <f t="shared" si="2"/>
        <v>12640.800000000001</v>
      </c>
      <c r="I19" s="8">
        <f>IFERROR(((Master!AD20*3600*24)*((Master!P20/100)/Master!I20)),0)</f>
        <v>383.05454545454546</v>
      </c>
      <c r="J19" s="8">
        <f>Master!P20</f>
        <v>92</v>
      </c>
      <c r="K19" s="8">
        <f ca="1">(D19*Validation!$M$4/1800)/IF(Validation!$N$4="",(IF(OR(NOT(ISNUMBER(J19)),J19=0),1,J19%)),Validation!$N$4)</f>
        <v>8.8235294117647065</v>
      </c>
      <c r="L19" s="8">
        <f>Master!W20</f>
        <v>10</v>
      </c>
      <c r="M19" s="8">
        <f t="shared" ca="1" si="0"/>
        <v>1.1764705882352935</v>
      </c>
      <c r="N19" s="19" t="str">
        <f t="shared" ca="1" si="3"/>
        <v>Wait</v>
      </c>
      <c r="O19" s="23">
        <f t="shared" ca="1" si="4"/>
        <v>32.4</v>
      </c>
      <c r="P19" s="39" t="str">
        <f>T3</f>
        <v>N</v>
      </c>
      <c r="Q19" s="39">
        <f t="shared" si="5"/>
        <v>0.1590277777777778</v>
      </c>
    </row>
    <row r="20" spans="1:17" ht="22.5" thickTop="1" thickBot="1" x14ac:dyDescent="0.4">
      <c r="A20" s="40" t="str">
        <f>R3</f>
        <v>Enterprise</v>
      </c>
      <c r="B20" s="40">
        <f ca="1">Master!$AX$1</f>
        <v>45965</v>
      </c>
      <c r="C20" s="6">
        <v>0.375</v>
      </c>
      <c r="D20" s="7">
        <f ca="1">Master!AK21</f>
        <v>54</v>
      </c>
      <c r="E20" s="8">
        <f>Master!I21</f>
        <v>43</v>
      </c>
      <c r="F20" s="9">
        <f t="shared" ca="1" si="1"/>
        <v>0.79629629629629628</v>
      </c>
      <c r="G20" s="9">
        <f>Master!B21</f>
        <v>0.75</v>
      </c>
      <c r="H20" s="19">
        <f t="shared" si="2"/>
        <v>19314.000000000004</v>
      </c>
      <c r="I20" s="8">
        <f>IFERROR(((Master!AD21*3600*24)*((Master!P21/100)/Master!I21)),0)</f>
        <v>449.1627906976745</v>
      </c>
      <c r="J20" s="8">
        <f>Master!P21</f>
        <v>87</v>
      </c>
      <c r="K20" s="8">
        <f ca="1">(D20*Validation!$M$4/1800)/IF(Validation!$N$4="",(IF(OR(NOT(ISNUMBER(J20)),J20=0),1,J20%)),Validation!$N$4)</f>
        <v>13.23529411764706</v>
      </c>
      <c r="L20" s="8">
        <f>Master!W21</f>
        <v>12</v>
      </c>
      <c r="M20" s="8">
        <f t="shared" ca="1" si="0"/>
        <v>-1.2352941176470598</v>
      </c>
      <c r="N20" s="19" t="str">
        <f t="shared" ca="1" si="3"/>
        <v>Wait</v>
      </c>
      <c r="O20" s="23">
        <f t="shared" ca="1" si="4"/>
        <v>48.6</v>
      </c>
      <c r="P20" s="39" t="str">
        <f>T3</f>
        <v>N</v>
      </c>
      <c r="Q20" s="39">
        <f t="shared" si="5"/>
        <v>0.25694444444444448</v>
      </c>
    </row>
    <row r="21" spans="1:17" ht="22.5" thickTop="1" thickBot="1" x14ac:dyDescent="0.4">
      <c r="A21" s="40" t="str">
        <f>R3</f>
        <v>Enterprise</v>
      </c>
      <c r="B21" s="40">
        <f ca="1">Master!$AX$1</f>
        <v>45965</v>
      </c>
      <c r="C21" s="6">
        <v>0.39583333333333298</v>
      </c>
      <c r="D21" s="7">
        <f ca="1">Master!AK22</f>
        <v>63</v>
      </c>
      <c r="E21" s="8">
        <f>Master!I22</f>
        <v>37</v>
      </c>
      <c r="F21" s="9">
        <f t="shared" ca="1" si="1"/>
        <v>0.58730158730158732</v>
      </c>
      <c r="G21" s="9">
        <f>Master!B22</f>
        <v>0.93</v>
      </c>
      <c r="H21" s="19">
        <f t="shared" si="2"/>
        <v>21138.1</v>
      </c>
      <c r="I21" s="8">
        <f>IFERROR(((Master!AD22*3600*24)*((Master!P22/100)/Master!I23)),0)</f>
        <v>571.29999999999995</v>
      </c>
      <c r="J21" s="8">
        <f>Master!P22</f>
        <v>87</v>
      </c>
      <c r="K21" s="8">
        <f ca="1">(D21*Validation!$M$4/1800)/IF(Validation!$N$4="",(IF(OR(NOT(ISNUMBER(J21)),J21=0),1,J21%)),Validation!$N$4)</f>
        <v>15.441176470588236</v>
      </c>
      <c r="L21" s="8">
        <f>Master!W22</f>
        <v>14</v>
      </c>
      <c r="M21" s="8">
        <f t="shared" ca="1" si="0"/>
        <v>-1.4411764705882355</v>
      </c>
      <c r="N21" s="19" t="str">
        <f t="shared" ca="1" si="3"/>
        <v>Wait</v>
      </c>
      <c r="O21" s="23">
        <f t="shared" ca="1" si="4"/>
        <v>56.7</v>
      </c>
      <c r="P21" s="39" t="str">
        <f>T3</f>
        <v>N</v>
      </c>
      <c r="Q21" s="39">
        <f t="shared" si="5"/>
        <v>0.28121141975308639</v>
      </c>
    </row>
    <row r="22" spans="1:17" ht="22.5" thickTop="1" thickBot="1" x14ac:dyDescent="0.4">
      <c r="A22" s="40" t="str">
        <f>R3</f>
        <v>Enterprise</v>
      </c>
      <c r="B22" s="40">
        <f ca="1">Master!$AX$1</f>
        <v>45965</v>
      </c>
      <c r="C22" s="6">
        <v>0.41666666666666702</v>
      </c>
      <c r="D22" s="7">
        <f ca="1">Master!AK23</f>
        <v>62</v>
      </c>
      <c r="E22" s="8">
        <f>Master!I23</f>
        <v>36</v>
      </c>
      <c r="F22" s="9">
        <f t="shared" ca="1" si="1"/>
        <v>0.58064516129032262</v>
      </c>
      <c r="G22" s="9">
        <f>Master!B23</f>
        <v>0.97</v>
      </c>
      <c r="H22" s="19">
        <f t="shared" si="2"/>
        <v>0</v>
      </c>
      <c r="I22" s="8">
        <f>IFERROR(((Master!AD23*3600*24)*((Master!P23/100)/Master!#REF!)),0)</f>
        <v>0</v>
      </c>
      <c r="J22" s="8">
        <f>Master!P23</f>
        <v>88</v>
      </c>
      <c r="K22" s="8">
        <f ca="1">(D22*Validation!$M$4/1800)/IF(Validation!$N$4="",(IF(OR(NOT(ISNUMBER(J22)),J22=0),1,J22%)),Validation!$N$4)</f>
        <v>15.196078431372548</v>
      </c>
      <c r="L22" s="8">
        <f>Master!W23</f>
        <v>15</v>
      </c>
      <c r="M22" s="8">
        <f t="shared" ca="1" si="0"/>
        <v>-0.19607843137254832</v>
      </c>
      <c r="N22" s="19" t="str">
        <f t="shared" ca="1" si="3"/>
        <v>Wait</v>
      </c>
      <c r="O22" s="23">
        <f t="shared" ca="1" si="4"/>
        <v>55.800000000000004</v>
      </c>
      <c r="P22" s="39" t="str">
        <f>T3</f>
        <v>N</v>
      </c>
      <c r="Q22" s="39">
        <f t="shared" si="5"/>
        <v>0</v>
      </c>
    </row>
    <row r="23" spans="1:17" ht="22.5" thickTop="1" thickBot="1" x14ac:dyDescent="0.4">
      <c r="A23" s="40" t="str">
        <f>R3</f>
        <v>Enterprise</v>
      </c>
      <c r="B23" s="40">
        <f ca="1">Master!$AX$1</f>
        <v>45965</v>
      </c>
      <c r="C23" s="6">
        <v>0.4375</v>
      </c>
      <c r="D23" s="7">
        <f ca="1">Master!AK24</f>
        <v>65</v>
      </c>
      <c r="E23" s="8">
        <f>Master!I24</f>
        <v>56</v>
      </c>
      <c r="F23" s="9">
        <f t="shared" ca="1" si="1"/>
        <v>0.86153846153846159</v>
      </c>
      <c r="G23" s="9">
        <f>Master!B24</f>
        <v>0.78</v>
      </c>
      <c r="H23" s="19">
        <f t="shared" si="2"/>
        <v>26790</v>
      </c>
      <c r="I23" s="8">
        <f>IFERROR(((Master!AD24*3600*24)*((Master!P24/100)/Master!I24)),0)</f>
        <v>478.39285714285717</v>
      </c>
      <c r="J23" s="8">
        <f>Master!P24</f>
        <v>94</v>
      </c>
      <c r="K23" s="8">
        <f ca="1">(D23*Validation!$M$4/1800)/IF(Validation!$N$4="",(IF(OR(NOT(ISNUMBER(J23)),J23=0),1,J23%)),Validation!$N$4)</f>
        <v>15.931372549019608</v>
      </c>
      <c r="L23" s="8">
        <f>Master!W24</f>
        <v>16</v>
      </c>
      <c r="M23" s="8">
        <f t="shared" ca="1" si="0"/>
        <v>6.8627450980391913E-2</v>
      </c>
      <c r="N23" s="19" t="str">
        <f t="shared" ca="1" si="3"/>
        <v>Wait</v>
      </c>
      <c r="O23" s="23">
        <f t="shared" ca="1" si="4"/>
        <v>58.5</v>
      </c>
      <c r="P23" s="39" t="str">
        <f>T3</f>
        <v>N</v>
      </c>
      <c r="Q23" s="39">
        <f t="shared" si="5"/>
        <v>0.3298611111111111</v>
      </c>
    </row>
    <row r="24" spans="1:17" ht="22.5" thickTop="1" thickBot="1" x14ac:dyDescent="0.4">
      <c r="A24" s="40" t="str">
        <f>R3</f>
        <v>Enterprise</v>
      </c>
      <c r="B24" s="40">
        <f ca="1">Master!$AX$1</f>
        <v>45965</v>
      </c>
      <c r="C24" s="6">
        <v>0.45833333333333298</v>
      </c>
      <c r="D24" s="7">
        <f ca="1">Master!AK25</f>
        <v>60</v>
      </c>
      <c r="E24" s="8">
        <f>Master!I25</f>
        <v>57</v>
      </c>
      <c r="F24" s="9">
        <f t="shared" ca="1" si="1"/>
        <v>0.95</v>
      </c>
      <c r="G24" s="9">
        <f>Master!B25</f>
        <v>0.65</v>
      </c>
      <c r="H24" s="19">
        <f t="shared" si="2"/>
        <v>27600.000000000007</v>
      </c>
      <c r="I24" s="8">
        <f>IFERROR(((Master!AD25*3600*24)*((Master!P25/100)/Master!I25)),0)</f>
        <v>484.21052631578959</v>
      </c>
      <c r="J24" s="8">
        <f>Master!P25</f>
        <v>92</v>
      </c>
      <c r="K24" s="8">
        <f ca="1">(D24*Validation!$M$4/1800)/IF(Validation!$N$4="",(IF(OR(NOT(ISNUMBER(J24)),J24=0),1,J24%)),Validation!$N$4)</f>
        <v>14.705882352941178</v>
      </c>
      <c r="L24" s="8">
        <f>Master!W25</f>
        <v>19</v>
      </c>
      <c r="M24" s="8">
        <f t="shared" ca="1" si="0"/>
        <v>4.2941176470588225</v>
      </c>
      <c r="N24" s="19" t="str">
        <f t="shared" ca="1" si="3"/>
        <v>Lost</v>
      </c>
      <c r="O24" s="23">
        <f t="shared" ca="1" si="4"/>
        <v>57</v>
      </c>
      <c r="P24" s="39" t="str">
        <f>T3</f>
        <v>N</v>
      </c>
      <c r="Q24" s="39">
        <f t="shared" si="5"/>
        <v>0.34722222222222232</v>
      </c>
    </row>
    <row r="25" spans="1:17" ht="22.5" thickTop="1" thickBot="1" x14ac:dyDescent="0.4">
      <c r="A25" s="40" t="str">
        <f>R3</f>
        <v>Enterprise</v>
      </c>
      <c r="B25" s="40">
        <f ca="1">Master!$AX$1</f>
        <v>45965</v>
      </c>
      <c r="C25" s="6">
        <v>0.47916666666666702</v>
      </c>
      <c r="D25" s="7">
        <f ca="1">Master!AK26</f>
        <v>67</v>
      </c>
      <c r="E25" s="8">
        <f>Master!I26</f>
        <v>51</v>
      </c>
      <c r="F25" s="9">
        <f t="shared" ca="1" si="1"/>
        <v>0.76119402985074625</v>
      </c>
      <c r="G25" s="9">
        <f>Master!B26</f>
        <v>0.78</v>
      </c>
      <c r="H25" s="19">
        <f t="shared" si="2"/>
        <v>31471.199999999997</v>
      </c>
      <c r="I25" s="8">
        <f>IFERROR(((Master!AD26*3600*24)*((Master!P26/100)/Master!I26)),0)</f>
        <v>617.0823529411764</v>
      </c>
      <c r="J25" s="8">
        <f>Master!P26</f>
        <v>94</v>
      </c>
      <c r="K25" s="8">
        <f ca="1">(D25*Validation!$M$4/1800)/IF(Validation!$N$4="",(IF(OR(NOT(ISNUMBER(J25)),J25=0),1,J25%)),Validation!$N$4)</f>
        <v>16.421568627450981</v>
      </c>
      <c r="L25" s="8">
        <f>Master!W26</f>
        <v>17</v>
      </c>
      <c r="M25" s="8">
        <f t="shared" ca="1" si="0"/>
        <v>0.57843137254901933</v>
      </c>
      <c r="N25" s="19" t="str">
        <f t="shared" ca="1" si="3"/>
        <v>Wait</v>
      </c>
      <c r="O25" s="23">
        <f t="shared" ca="1" si="4"/>
        <v>60.300000000000004</v>
      </c>
      <c r="P25" s="39" t="str">
        <f>T3</f>
        <v>N</v>
      </c>
      <c r="Q25" s="39">
        <f t="shared" si="5"/>
        <v>0.38749999999999996</v>
      </c>
    </row>
    <row r="26" spans="1:17" ht="22.5" thickTop="1" thickBot="1" x14ac:dyDescent="0.4">
      <c r="A26" s="40" t="str">
        <f>R3</f>
        <v>Enterprise</v>
      </c>
      <c r="B26" s="40">
        <f ca="1">Master!$AX$1</f>
        <v>45965</v>
      </c>
      <c r="C26" s="6">
        <v>0.5</v>
      </c>
      <c r="D26" s="7">
        <f ca="1">Master!AK27</f>
        <v>67</v>
      </c>
      <c r="E26" s="8">
        <f>Master!I27</f>
        <v>69</v>
      </c>
      <c r="F26" s="9">
        <f t="shared" ca="1" si="1"/>
        <v>1.0298507462686568</v>
      </c>
      <c r="G26" s="9">
        <f>Master!B27</f>
        <v>0.75</v>
      </c>
      <c r="H26" s="19">
        <f t="shared" si="2"/>
        <v>32260.799999999999</v>
      </c>
      <c r="I26" s="8">
        <f>IFERROR(((Master!AD27*3600*24)*((Master!P27/100)/Master!I27)),0)</f>
        <v>467.54782608695649</v>
      </c>
      <c r="J26" s="8">
        <f>Master!P27</f>
        <v>94</v>
      </c>
      <c r="K26" s="8">
        <f ca="1">(D26*Validation!$M$4/1800)/IF(Validation!$N$4="",(IF(OR(NOT(ISNUMBER(J26)),J26=0),1,J26%)),Validation!$N$4)</f>
        <v>16.421568627450981</v>
      </c>
      <c r="L26" s="8">
        <f>Master!W27</f>
        <v>20</v>
      </c>
      <c r="M26" s="8">
        <f t="shared" ca="1" si="0"/>
        <v>3.5784313725490193</v>
      </c>
      <c r="N26" s="19" t="str">
        <f t="shared" ca="1" si="3"/>
        <v>Achived</v>
      </c>
      <c r="O26" s="23">
        <f t="shared" ca="1" si="4"/>
        <v>69</v>
      </c>
      <c r="P26" s="39" t="str">
        <f>T3</f>
        <v>N</v>
      </c>
      <c r="Q26" s="39">
        <f t="shared" si="5"/>
        <v>0.3972222222222222</v>
      </c>
    </row>
    <row r="27" spans="1:17" ht="22.5" thickTop="1" thickBot="1" x14ac:dyDescent="0.4">
      <c r="A27" s="40" t="str">
        <f>R3</f>
        <v>Enterprise</v>
      </c>
      <c r="B27" s="40">
        <f ca="1">Master!$AX$1</f>
        <v>45965</v>
      </c>
      <c r="C27" s="6">
        <v>0.52083333333333304</v>
      </c>
      <c r="D27" s="7">
        <f ca="1">Master!AK28</f>
        <v>74</v>
      </c>
      <c r="E27" s="8">
        <f>Master!I28</f>
        <v>55</v>
      </c>
      <c r="F27" s="9">
        <f t="shared" ca="1" si="1"/>
        <v>0.7432432432432432</v>
      </c>
      <c r="G27" s="9">
        <f>Master!B28</f>
        <v>0.71</v>
      </c>
      <c r="H27" s="19">
        <f t="shared" si="2"/>
        <v>33703.199999999997</v>
      </c>
      <c r="I27" s="8">
        <f>IFERROR(((Master!AD28*3600*24)*((Master!P28/100)/Master!I28)),0)</f>
        <v>612.78545454545451</v>
      </c>
      <c r="J27" s="8">
        <f>Master!P28</f>
        <v>93</v>
      </c>
      <c r="K27" s="8">
        <f ca="1">(D27*Validation!$M$4/1800)/IF(Validation!$N$4="",(IF(OR(NOT(ISNUMBER(J27)),J27=0),1,J27%)),Validation!$N$4)</f>
        <v>18.137254901960784</v>
      </c>
      <c r="L27" s="8">
        <f>Master!W28</f>
        <v>21</v>
      </c>
      <c r="M27" s="8">
        <f t="shared" ca="1" si="0"/>
        <v>2.8627450980392162</v>
      </c>
      <c r="N27" s="19" t="str">
        <f t="shared" ca="1" si="3"/>
        <v>Lost</v>
      </c>
      <c r="O27" s="23">
        <f t="shared" ca="1" si="4"/>
        <v>55</v>
      </c>
      <c r="P27" s="39" t="str">
        <f>T3</f>
        <v>N</v>
      </c>
      <c r="Q27" s="39">
        <f t="shared" si="5"/>
        <v>0.4194444444444444</v>
      </c>
    </row>
    <row r="28" spans="1:17" ht="22.5" thickTop="1" thickBot="1" x14ac:dyDescent="0.4">
      <c r="A28" s="40" t="str">
        <f>R3</f>
        <v>Enterprise</v>
      </c>
      <c r="B28" s="40">
        <f ca="1">Master!$AX$1</f>
        <v>45965</v>
      </c>
      <c r="C28" s="6">
        <v>0.54166666666666696</v>
      </c>
      <c r="D28" s="7">
        <f ca="1">Master!AK29</f>
        <v>78</v>
      </c>
      <c r="E28" s="8">
        <f>Master!I29</f>
        <v>60</v>
      </c>
      <c r="F28" s="9">
        <f t="shared" ca="1" si="1"/>
        <v>0.76923076923076927</v>
      </c>
      <c r="G28" s="9">
        <f>Master!B29</f>
        <v>0.84</v>
      </c>
      <c r="H28" s="19">
        <f t="shared" si="2"/>
        <v>36691.200000000004</v>
      </c>
      <c r="I28" s="8">
        <f>IFERROR(((Master!AD29*3600*24)*((Master!P29/100)/Master!I29)),0)</f>
        <v>611.5200000000001</v>
      </c>
      <c r="J28" s="8">
        <f>Master!P29</f>
        <v>96</v>
      </c>
      <c r="K28" s="8">
        <f ca="1">(D28*Validation!$M$4/1800)/IF(Validation!$N$4="",(IF(OR(NOT(ISNUMBER(J28)),J28=0),1,J28%)),Validation!$N$4)</f>
        <v>19.117647058823529</v>
      </c>
      <c r="L28" s="8">
        <f>Master!W29</f>
        <v>22</v>
      </c>
      <c r="M28" s="8">
        <f t="shared" ca="1" si="0"/>
        <v>2.882352941176471</v>
      </c>
      <c r="N28" s="19" t="str">
        <f t="shared" ca="1" si="3"/>
        <v>Wait</v>
      </c>
      <c r="O28" s="23">
        <f t="shared" ca="1" si="4"/>
        <v>70.2</v>
      </c>
      <c r="P28" s="39" t="str">
        <f>T3</f>
        <v>N</v>
      </c>
      <c r="Q28" s="39">
        <f t="shared" si="5"/>
        <v>0.44236111111111115</v>
      </c>
    </row>
    <row r="29" spans="1:17" ht="22.5" thickTop="1" thickBot="1" x14ac:dyDescent="0.4">
      <c r="A29" s="40" t="str">
        <f>R3</f>
        <v>Enterprise</v>
      </c>
      <c r="B29" s="40">
        <f ca="1">Master!$AX$1</f>
        <v>45965</v>
      </c>
      <c r="C29" s="6">
        <v>0.5625</v>
      </c>
      <c r="D29" s="7">
        <f ca="1">Master!AK30</f>
        <v>71</v>
      </c>
      <c r="E29" s="8">
        <f>Master!I30</f>
        <v>66</v>
      </c>
      <c r="F29" s="9">
        <f t="shared" ca="1" si="1"/>
        <v>0.92957746478873238</v>
      </c>
      <c r="G29" s="9">
        <f>Master!B30</f>
        <v>0.77</v>
      </c>
      <c r="H29" s="19">
        <f t="shared" si="2"/>
        <v>36772.799999999996</v>
      </c>
      <c r="I29" s="8">
        <f>IFERROR(((Master!AD30*3600*24)*((Master!P30/100)/Master!I30)),0)</f>
        <v>557.16363636363633</v>
      </c>
      <c r="J29" s="8">
        <f>Master!P30</f>
        <v>94</v>
      </c>
      <c r="K29" s="8">
        <f ca="1">(D29*Validation!$M$4/1800)/IF(Validation!$N$4="",(IF(OR(NOT(ISNUMBER(J29)),J29=0),1,J29%)),Validation!$N$4)</f>
        <v>17.401960784313726</v>
      </c>
      <c r="L29" s="8">
        <f>Master!W30</f>
        <v>22</v>
      </c>
      <c r="M29" s="8">
        <f t="shared" ca="1" si="0"/>
        <v>4.5980392156862742</v>
      </c>
      <c r="N29" s="19" t="str">
        <f t="shared" ca="1" si="3"/>
        <v>Wait</v>
      </c>
      <c r="O29" s="23">
        <f t="shared" ca="1" si="4"/>
        <v>63.9</v>
      </c>
      <c r="P29" s="39" t="str">
        <f>T3</f>
        <v>N</v>
      </c>
      <c r="Q29" s="39">
        <f t="shared" si="5"/>
        <v>0.45277777777777772</v>
      </c>
    </row>
    <row r="30" spans="1:17" ht="22.5" thickTop="1" thickBot="1" x14ac:dyDescent="0.4">
      <c r="A30" s="40" t="str">
        <f>R3</f>
        <v>Enterprise</v>
      </c>
      <c r="B30" s="40">
        <f ca="1">Master!$AX$1</f>
        <v>45965</v>
      </c>
      <c r="C30" s="6">
        <v>0.58333333333333304</v>
      </c>
      <c r="D30" s="7">
        <f ca="1">Master!AK31</f>
        <v>70</v>
      </c>
      <c r="E30" s="8">
        <f>Master!I31</f>
        <v>62</v>
      </c>
      <c r="F30" s="9">
        <f t="shared" ca="1" si="1"/>
        <v>0.88571428571428568</v>
      </c>
      <c r="G30" s="9">
        <f>Master!B31</f>
        <v>0.64</v>
      </c>
      <c r="H30" s="19">
        <f t="shared" si="2"/>
        <v>33984</v>
      </c>
      <c r="I30" s="8">
        <f>IFERROR(((Master!AD31*3600*24)*((Master!P31/100)/Master!I31)),0)</f>
        <v>548.12903225806451</v>
      </c>
      <c r="J30" s="8">
        <f>Master!P31</f>
        <v>80</v>
      </c>
      <c r="K30" s="8">
        <f ca="1">(D30*Validation!$M$4/1800)/IF(Validation!$N$4="",(IF(OR(NOT(ISNUMBER(J30)),J30=0),1,J30%)),Validation!$N$4)</f>
        <v>17.156862745098039</v>
      </c>
      <c r="L30" s="8">
        <f>Master!W31</f>
        <v>26</v>
      </c>
      <c r="M30" s="8">
        <f t="shared" ca="1" si="0"/>
        <v>8.8431372549019613</v>
      </c>
      <c r="N30" s="19" t="str">
        <f t="shared" ca="1" si="3"/>
        <v>Lost</v>
      </c>
      <c r="O30" s="23">
        <f t="shared" ca="1" si="4"/>
        <v>62</v>
      </c>
      <c r="P30" s="39" t="str">
        <f>T3</f>
        <v>N</v>
      </c>
      <c r="Q30" s="39">
        <f t="shared" si="5"/>
        <v>0.49166666666666664</v>
      </c>
    </row>
    <row r="31" spans="1:17" ht="22.5" thickTop="1" thickBot="1" x14ac:dyDescent="0.4">
      <c r="A31" s="40" t="str">
        <f>R3</f>
        <v>Enterprise</v>
      </c>
      <c r="B31" s="40">
        <f ca="1">Master!$AX$1</f>
        <v>45965</v>
      </c>
      <c r="C31" s="6">
        <v>0.60416666666666696</v>
      </c>
      <c r="D31" s="7">
        <f ca="1">Master!AK32</f>
        <v>63</v>
      </c>
      <c r="E31" s="8">
        <f>Master!I32</f>
        <v>72</v>
      </c>
      <c r="F31" s="9">
        <f t="shared" ca="1" si="1"/>
        <v>1.1428571428571428</v>
      </c>
      <c r="G31" s="9">
        <f>Master!B32</f>
        <v>0.88</v>
      </c>
      <c r="H31" s="19">
        <f t="shared" si="2"/>
        <v>43315.199999999997</v>
      </c>
      <c r="I31" s="8">
        <f>IFERROR(((Master!AD32*3600*24)*((Master!P32/100)/Master!I32)),0)</f>
        <v>601.59999999999991</v>
      </c>
      <c r="J31" s="8">
        <f>Master!P32</f>
        <v>94</v>
      </c>
      <c r="K31" s="8">
        <f ca="1">(D31*Validation!$M$4/1800)/IF(Validation!$N$4="",(IF(OR(NOT(ISNUMBER(J31)),J31=0),1,J31%)),Validation!$N$4)</f>
        <v>15.441176470588236</v>
      </c>
      <c r="L31" s="8">
        <f>Master!W32</f>
        <v>28</v>
      </c>
      <c r="M31" s="8">
        <f t="shared" ca="1" si="0"/>
        <v>12.558823529411764</v>
      </c>
      <c r="N31" s="19" t="str">
        <f t="shared" ca="1" si="3"/>
        <v>Achived</v>
      </c>
      <c r="O31" s="23">
        <f t="shared" ca="1" si="4"/>
        <v>69.300000000000011</v>
      </c>
      <c r="P31" s="39" t="str">
        <f>T3</f>
        <v>N</v>
      </c>
      <c r="Q31" s="39">
        <f t="shared" si="5"/>
        <v>0.53333333333333333</v>
      </c>
    </row>
    <row r="32" spans="1:17" ht="22.5" thickTop="1" thickBot="1" x14ac:dyDescent="0.4">
      <c r="A32" s="40" t="str">
        <f>R3</f>
        <v>Enterprise</v>
      </c>
      <c r="B32" s="40">
        <f ca="1">Master!$AX$1</f>
        <v>45965</v>
      </c>
      <c r="C32" s="6">
        <v>0.625</v>
      </c>
      <c r="D32" s="7">
        <f ca="1">Master!AK33</f>
        <v>66</v>
      </c>
      <c r="E32" s="8">
        <f>Master!I33</f>
        <v>65</v>
      </c>
      <c r="F32" s="9">
        <f t="shared" ca="1" si="1"/>
        <v>0.98484848484848486</v>
      </c>
      <c r="G32" s="9">
        <f>Master!B33</f>
        <v>0.9</v>
      </c>
      <c r="H32" s="19">
        <f t="shared" si="2"/>
        <v>44608.2</v>
      </c>
      <c r="I32" s="8">
        <f>IFERROR(((Master!AD33*3600*24)*((Master!P33/100)/Master!I33)),0)</f>
        <v>686.28</v>
      </c>
      <c r="J32" s="8">
        <f>Master!P33</f>
        <v>91</v>
      </c>
      <c r="K32" s="8">
        <f ca="1">(D32*Validation!$M$4/1800)/IF(Validation!$N$4="",(IF(OR(NOT(ISNUMBER(J32)),J32=0),1,J32%)),Validation!$N$4)</f>
        <v>16.176470588235293</v>
      </c>
      <c r="L32" s="8">
        <f>Master!W33</f>
        <v>27</v>
      </c>
      <c r="M32" s="8">
        <f t="shared" ca="1" si="0"/>
        <v>10.823529411764707</v>
      </c>
      <c r="N32" s="19" t="str">
        <f t="shared" ca="1" si="3"/>
        <v>Achived</v>
      </c>
      <c r="O32" s="23">
        <f t="shared" ca="1" si="4"/>
        <v>65</v>
      </c>
      <c r="P32" s="39" t="str">
        <f>T3</f>
        <v>N</v>
      </c>
      <c r="Q32" s="39">
        <f t="shared" si="5"/>
        <v>0.56736111111111109</v>
      </c>
    </row>
    <row r="33" spans="1:17" ht="22.5" thickTop="1" thickBot="1" x14ac:dyDescent="0.4">
      <c r="A33" s="40" t="str">
        <f>R3</f>
        <v>Enterprise</v>
      </c>
      <c r="B33" s="40">
        <f ca="1">Master!$AX$1</f>
        <v>45965</v>
      </c>
      <c r="C33" s="6">
        <v>0.64583333333333304</v>
      </c>
      <c r="D33" s="7">
        <f ca="1">Master!AK34</f>
        <v>65</v>
      </c>
      <c r="E33" s="8">
        <f>Master!I34</f>
        <v>58</v>
      </c>
      <c r="F33" s="9">
        <f t="shared" ca="1" si="1"/>
        <v>0.89230769230769236</v>
      </c>
      <c r="G33" s="9">
        <f>Master!B34</f>
        <v>1</v>
      </c>
      <c r="H33" s="19">
        <f t="shared" si="2"/>
        <v>42506.400000000009</v>
      </c>
      <c r="I33" s="8">
        <f>IFERROR(((Master!AD34*3600*24)*((Master!P34/100)/Master!I34)),0)</f>
        <v>732.86896551724158</v>
      </c>
      <c r="J33" s="8">
        <f>Master!P34</f>
        <v>89</v>
      </c>
      <c r="K33" s="8">
        <f ca="1">(D33*Validation!$M$4/1800)/IF(Validation!$N$4="",(IF(OR(NOT(ISNUMBER(J33)),J33=0),1,J33%)),Validation!$N$4)</f>
        <v>15.931372549019608</v>
      </c>
      <c r="L33" s="8">
        <f>Master!W34</f>
        <v>26</v>
      </c>
      <c r="M33" s="8">
        <f t="shared" ca="1" si="0"/>
        <v>10.068627450980392</v>
      </c>
      <c r="N33" s="19" t="str">
        <f t="shared" ca="1" si="3"/>
        <v>Wait</v>
      </c>
      <c r="O33" s="23">
        <f t="shared" ca="1" si="4"/>
        <v>58.5</v>
      </c>
      <c r="P33" s="39" t="str">
        <f>T3</f>
        <v>N</v>
      </c>
      <c r="Q33" s="39">
        <f t="shared" si="5"/>
        <v>0.55277777777777792</v>
      </c>
    </row>
    <row r="34" spans="1:17" ht="22.5" thickTop="1" thickBot="1" x14ac:dyDescent="0.4">
      <c r="A34" s="40" t="str">
        <f>R3</f>
        <v>Enterprise</v>
      </c>
      <c r="B34" s="40">
        <f ca="1">Master!$AX$1</f>
        <v>45965</v>
      </c>
      <c r="C34" s="6">
        <v>0.66666666666666696</v>
      </c>
      <c r="D34" s="7">
        <f ca="1">Master!AK35</f>
        <v>64</v>
      </c>
      <c r="E34" s="8">
        <f>Master!I35</f>
        <v>57</v>
      </c>
      <c r="F34" s="9">
        <f t="shared" ca="1" si="1"/>
        <v>0.890625</v>
      </c>
      <c r="G34" s="9">
        <f>Master!B35</f>
        <v>0.94</v>
      </c>
      <c r="H34" s="19">
        <f t="shared" si="2"/>
        <v>45828</v>
      </c>
      <c r="I34" s="8">
        <f>IFERROR(((Master!AD35*3600*24)*((Master!P35/100)/Master!I35)),0)</f>
        <v>804</v>
      </c>
      <c r="J34" s="8">
        <f>Master!P35</f>
        <v>95</v>
      </c>
      <c r="K34" s="8">
        <f ca="1">(D34*Validation!$M$4/1800)/IF(Validation!$N$4="",(IF(OR(NOT(ISNUMBER(J34)),J34=0),1,J34%)),Validation!$N$4)</f>
        <v>15.686274509803923</v>
      </c>
      <c r="L34" s="8">
        <f>Master!W35</f>
        <v>26</v>
      </c>
      <c r="M34" s="8">
        <f t="shared" ca="1" si="0"/>
        <v>10.313725490196077</v>
      </c>
      <c r="N34" s="19" t="str">
        <f t="shared" ca="1" si="3"/>
        <v>Wait</v>
      </c>
      <c r="O34" s="23">
        <f t="shared" ca="1" si="4"/>
        <v>57.6</v>
      </c>
      <c r="P34" s="39" t="str">
        <f>T3</f>
        <v>N</v>
      </c>
      <c r="Q34" s="39">
        <f t="shared" si="5"/>
        <v>0.55833333333333335</v>
      </c>
    </row>
    <row r="35" spans="1:17" ht="22.5" thickTop="1" thickBot="1" x14ac:dyDescent="0.4">
      <c r="A35" s="40" t="str">
        <f>R3</f>
        <v>Enterprise</v>
      </c>
      <c r="B35" s="40">
        <f ca="1">Master!$AX$1</f>
        <v>45965</v>
      </c>
      <c r="C35" s="6">
        <v>0.6875</v>
      </c>
      <c r="D35" s="7">
        <f ca="1">Master!AK36</f>
        <v>62</v>
      </c>
      <c r="E35" s="8">
        <f>Master!I36</f>
        <v>0</v>
      </c>
      <c r="F35" s="9" t="str">
        <f t="shared" si="1"/>
        <v/>
      </c>
      <c r="G35" s="9">
        <f>Master!B36</f>
        <v>0</v>
      </c>
      <c r="H35" s="19">
        <f t="shared" si="2"/>
        <v>0</v>
      </c>
      <c r="I35" s="8">
        <f>IFERROR(((Master!AD36*3600*24)*((Master!P36/100)/Master!I36)),0)</f>
        <v>0</v>
      </c>
      <c r="J35" s="8">
        <f>Master!P36</f>
        <v>0</v>
      </c>
      <c r="K35" s="8">
        <f ca="1">(D35*Validation!$M$4/1800)/IF(Validation!$N$4="",(IF(OR(NOT(ISNUMBER(J35)),J35=0),1,J35%)),Validation!$N$4)</f>
        <v>15.196078431372548</v>
      </c>
      <c r="L35" s="8">
        <f>Master!W36</f>
        <v>0</v>
      </c>
      <c r="M35" s="8" t="str">
        <f t="shared" si="0"/>
        <v>-</v>
      </c>
      <c r="N35" s="19" t="str">
        <f t="shared" si="3"/>
        <v/>
      </c>
      <c r="O35" s="23">
        <f t="shared" si="4"/>
        <v>0</v>
      </c>
      <c r="P35" s="39" t="str">
        <f>T3</f>
        <v>N</v>
      </c>
      <c r="Q35" s="39">
        <f t="shared" si="5"/>
        <v>0</v>
      </c>
    </row>
    <row r="36" spans="1:17" ht="22.5" thickTop="1" thickBot="1" x14ac:dyDescent="0.4">
      <c r="A36" s="40" t="str">
        <f>R3</f>
        <v>Enterprise</v>
      </c>
      <c r="B36" s="40">
        <f ca="1">Master!$AX$1</f>
        <v>45965</v>
      </c>
      <c r="C36" s="6">
        <v>0.70833333333333304</v>
      </c>
      <c r="D36" s="7">
        <f ca="1">Master!AK37</f>
        <v>61</v>
      </c>
      <c r="E36" s="8">
        <f>Master!I37</f>
        <v>0</v>
      </c>
      <c r="F36" s="9" t="str">
        <f t="shared" si="1"/>
        <v/>
      </c>
      <c r="G36" s="9">
        <f>Master!B37</f>
        <v>0</v>
      </c>
      <c r="H36" s="19">
        <f t="shared" si="2"/>
        <v>0</v>
      </c>
      <c r="I36" s="8">
        <f>IFERROR(((Master!AD37*3600*24)*((Master!P37/100)/Master!I37)),0)</f>
        <v>0</v>
      </c>
      <c r="J36" s="8">
        <f>Master!P37</f>
        <v>0</v>
      </c>
      <c r="K36" s="8">
        <f ca="1">(D36*Validation!$M$4/1800)/IF(Validation!$N$4="",(IF(OR(NOT(ISNUMBER(J36)),J36=0),1,J36%)),Validation!$N$4)</f>
        <v>14.950980392156865</v>
      </c>
      <c r="L36" s="8">
        <f>Master!W37</f>
        <v>0</v>
      </c>
      <c r="M36" s="8" t="str">
        <f t="shared" si="0"/>
        <v>-</v>
      </c>
      <c r="N36" s="19" t="str">
        <f t="shared" si="3"/>
        <v/>
      </c>
      <c r="O36" s="23">
        <f t="shared" si="4"/>
        <v>0</v>
      </c>
      <c r="P36" s="39" t="str">
        <f>T3</f>
        <v>N</v>
      </c>
      <c r="Q36" s="39">
        <f t="shared" si="5"/>
        <v>0</v>
      </c>
    </row>
    <row r="37" spans="1:17" ht="22.5" thickTop="1" thickBot="1" x14ac:dyDescent="0.4">
      <c r="A37" s="40" t="str">
        <f>R3</f>
        <v>Enterprise</v>
      </c>
      <c r="B37" s="40">
        <f ca="1">Master!$AX$1</f>
        <v>45965</v>
      </c>
      <c r="C37" s="6">
        <v>0.72916666666666696</v>
      </c>
      <c r="D37" s="7">
        <f ca="1">Master!AK38</f>
        <v>72</v>
      </c>
      <c r="E37" s="8">
        <f>Master!I38</f>
        <v>0</v>
      </c>
      <c r="F37" s="9" t="str">
        <f t="shared" si="1"/>
        <v/>
      </c>
      <c r="G37" s="9">
        <f>Master!B38</f>
        <v>0</v>
      </c>
      <c r="H37" s="19">
        <f t="shared" si="2"/>
        <v>0</v>
      </c>
      <c r="I37" s="8">
        <f>IFERROR(((Master!AD38*3600*24)*((Master!P38/100)/Master!I38)),0)</f>
        <v>0</v>
      </c>
      <c r="J37" s="8">
        <f>Master!P38</f>
        <v>0</v>
      </c>
      <c r="K37" s="8">
        <f ca="1">(D37*Validation!$M$4/1800)/IF(Validation!$N$4="",(IF(OR(NOT(ISNUMBER(J37)),J37=0),1,J37%)),Validation!$N$4)</f>
        <v>17.647058823529413</v>
      </c>
      <c r="L37" s="8">
        <f>Master!W38</f>
        <v>0</v>
      </c>
      <c r="M37" s="8" t="str">
        <f t="shared" si="0"/>
        <v>-</v>
      </c>
      <c r="N37" s="19" t="str">
        <f t="shared" si="3"/>
        <v/>
      </c>
      <c r="O37" s="23">
        <f t="shared" si="4"/>
        <v>0</v>
      </c>
      <c r="P37" s="39" t="str">
        <f>T3</f>
        <v>N</v>
      </c>
      <c r="Q37" s="39">
        <f t="shared" si="5"/>
        <v>0</v>
      </c>
    </row>
    <row r="38" spans="1:17" ht="22.5" thickTop="1" thickBot="1" x14ac:dyDescent="0.4">
      <c r="A38" s="40" t="str">
        <f>R3</f>
        <v>Enterprise</v>
      </c>
      <c r="B38" s="40">
        <f ca="1">Master!$AX$1</f>
        <v>45965</v>
      </c>
      <c r="C38" s="6">
        <v>0.75</v>
      </c>
      <c r="D38" s="7">
        <f ca="1">Master!AK39</f>
        <v>72</v>
      </c>
      <c r="E38" s="8">
        <f>Master!I39</f>
        <v>0</v>
      </c>
      <c r="F38" s="9" t="str">
        <f t="shared" si="1"/>
        <v/>
      </c>
      <c r="G38" s="9">
        <f>Master!B39</f>
        <v>0</v>
      </c>
      <c r="H38" s="19">
        <f t="shared" si="2"/>
        <v>0</v>
      </c>
      <c r="I38" s="8">
        <f>IFERROR(((Master!AD39*3600*24)*((Master!P39/100)/Master!I39)),0)</f>
        <v>0</v>
      </c>
      <c r="J38" s="8">
        <f>Master!P39</f>
        <v>0</v>
      </c>
      <c r="K38" s="8">
        <f ca="1">(D38*Validation!$M$4/1800)/IF(Validation!$N$4="",(IF(OR(NOT(ISNUMBER(J38)),J38=0),1,J38%)),Validation!$N$4)</f>
        <v>17.647058823529413</v>
      </c>
      <c r="L38" s="8">
        <f>Master!W39</f>
        <v>0</v>
      </c>
      <c r="M38" s="8" t="str">
        <f t="shared" si="0"/>
        <v>-</v>
      </c>
      <c r="N38" s="19" t="str">
        <f t="shared" si="3"/>
        <v/>
      </c>
      <c r="O38" s="23">
        <f t="shared" si="4"/>
        <v>0</v>
      </c>
      <c r="P38" s="39" t="str">
        <f>T3</f>
        <v>N</v>
      </c>
      <c r="Q38" s="39">
        <f t="shared" si="5"/>
        <v>0</v>
      </c>
    </row>
    <row r="39" spans="1:17" ht="22.5" thickTop="1" thickBot="1" x14ac:dyDescent="0.4">
      <c r="A39" s="40" t="str">
        <f>R3</f>
        <v>Enterprise</v>
      </c>
      <c r="B39" s="40">
        <f ca="1">Master!$AX$1</f>
        <v>45965</v>
      </c>
      <c r="C39" s="6">
        <v>0.77083333333333304</v>
      </c>
      <c r="D39" s="7">
        <f ca="1">Master!AK40</f>
        <v>69</v>
      </c>
      <c r="E39" s="8">
        <f>Master!I40</f>
        <v>0</v>
      </c>
      <c r="F39" s="9" t="str">
        <f t="shared" si="1"/>
        <v/>
      </c>
      <c r="G39" s="9">
        <f>Master!B40</f>
        <v>0</v>
      </c>
      <c r="H39" s="19">
        <f t="shared" si="2"/>
        <v>0</v>
      </c>
      <c r="I39" s="8">
        <f>IFERROR(((Master!AD40*3600*24)*((Master!P40/100)/Master!I40)),0)</f>
        <v>0</v>
      </c>
      <c r="J39" s="8">
        <f>Master!P40</f>
        <v>0</v>
      </c>
      <c r="K39" s="8">
        <f ca="1">(D39*Validation!$M$4/1800)/IF(Validation!$N$4="",(IF(OR(NOT(ISNUMBER(J39)),J39=0),1,J39%)),Validation!$N$4)</f>
        <v>16.911764705882355</v>
      </c>
      <c r="L39" s="8">
        <f>Master!W40</f>
        <v>0</v>
      </c>
      <c r="M39" s="8" t="str">
        <f t="shared" si="0"/>
        <v>-</v>
      </c>
      <c r="N39" s="19" t="str">
        <f t="shared" si="3"/>
        <v/>
      </c>
      <c r="O39" s="23">
        <f t="shared" si="4"/>
        <v>0</v>
      </c>
      <c r="P39" s="39" t="str">
        <f>T3</f>
        <v>N</v>
      </c>
      <c r="Q39" s="39">
        <f t="shared" si="5"/>
        <v>0</v>
      </c>
    </row>
    <row r="40" spans="1:17" ht="22.5" thickTop="1" thickBot="1" x14ac:dyDescent="0.4">
      <c r="A40" s="40" t="str">
        <f>R3</f>
        <v>Enterprise</v>
      </c>
      <c r="B40" s="40">
        <f ca="1">Master!$AX$1</f>
        <v>45965</v>
      </c>
      <c r="C40" s="6">
        <v>0.79166666666666696</v>
      </c>
      <c r="D40" s="7">
        <f ca="1">Master!AK41</f>
        <v>90</v>
      </c>
      <c r="E40" s="8">
        <f>Master!I41</f>
        <v>0</v>
      </c>
      <c r="F40" s="9" t="str">
        <f t="shared" si="1"/>
        <v/>
      </c>
      <c r="G40" s="9">
        <f>Master!B41</f>
        <v>0</v>
      </c>
      <c r="H40" s="19">
        <f t="shared" si="2"/>
        <v>0</v>
      </c>
      <c r="I40" s="8">
        <f>IFERROR(((Master!AD41*3600*24)*((Master!P41/100)/Master!I41)),0)</f>
        <v>0</v>
      </c>
      <c r="J40" s="8">
        <f>Master!P41</f>
        <v>0</v>
      </c>
      <c r="K40" s="8">
        <f ca="1">(D40*Validation!$M$4/1800)/IF(Validation!$N$4="",(IF(OR(NOT(ISNUMBER(J40)),J40=0),1,J40%)),Validation!$N$4)</f>
        <v>22.058823529411764</v>
      </c>
      <c r="L40" s="8">
        <f>Master!W41</f>
        <v>0</v>
      </c>
      <c r="M40" s="8" t="str">
        <f t="shared" si="0"/>
        <v>-</v>
      </c>
      <c r="N40" s="19" t="str">
        <f t="shared" si="3"/>
        <v/>
      </c>
      <c r="O40" s="23">
        <f t="shared" si="4"/>
        <v>0</v>
      </c>
      <c r="P40" s="39" t="str">
        <f>T3</f>
        <v>N</v>
      </c>
      <c r="Q40" s="39">
        <f t="shared" si="5"/>
        <v>0</v>
      </c>
    </row>
    <row r="41" spans="1:17" ht="22.5" thickTop="1" thickBot="1" x14ac:dyDescent="0.4">
      <c r="A41" s="40" t="str">
        <f>R3</f>
        <v>Enterprise</v>
      </c>
      <c r="B41" s="40">
        <f ca="1">Master!$AX$1</f>
        <v>45965</v>
      </c>
      <c r="C41" s="6">
        <v>0.8125</v>
      </c>
      <c r="D41" s="7">
        <f ca="1">Master!AK42</f>
        <v>77</v>
      </c>
      <c r="E41" s="8">
        <f>Master!I42</f>
        <v>0</v>
      </c>
      <c r="F41" s="9" t="str">
        <f t="shared" si="1"/>
        <v/>
      </c>
      <c r="G41" s="9">
        <f>Master!B42</f>
        <v>0</v>
      </c>
      <c r="H41" s="19">
        <f t="shared" si="2"/>
        <v>0</v>
      </c>
      <c r="I41" s="8">
        <f>IFERROR(((Master!AD42*3600*24)*((Master!P42/100)/Master!I42)),0)</f>
        <v>0</v>
      </c>
      <c r="J41" s="8">
        <f>Master!P42</f>
        <v>0</v>
      </c>
      <c r="K41" s="8">
        <f ca="1">(D41*Validation!$M$4/1800)/IF(Validation!$N$4="",(IF(OR(NOT(ISNUMBER(J41)),J41=0),1,J41%)),Validation!$N$4)</f>
        <v>18.872549019607845</v>
      </c>
      <c r="L41" s="8">
        <f>Master!W42</f>
        <v>0</v>
      </c>
      <c r="M41" s="8" t="str">
        <f t="shared" si="0"/>
        <v>-</v>
      </c>
      <c r="N41" s="19" t="str">
        <f t="shared" si="3"/>
        <v/>
      </c>
      <c r="O41" s="23">
        <f t="shared" si="4"/>
        <v>0</v>
      </c>
      <c r="P41" s="39" t="str">
        <f>T3</f>
        <v>N</v>
      </c>
      <c r="Q41" s="39">
        <f t="shared" si="5"/>
        <v>0</v>
      </c>
    </row>
    <row r="42" spans="1:17" ht="22.5" thickTop="1" thickBot="1" x14ac:dyDescent="0.4">
      <c r="A42" s="40" t="str">
        <f>R3</f>
        <v>Enterprise</v>
      </c>
      <c r="B42" s="40">
        <f ca="1">Master!$AX$1</f>
        <v>45965</v>
      </c>
      <c r="C42" s="6">
        <v>0.83333333333333304</v>
      </c>
      <c r="D42" s="7">
        <f ca="1">Master!AK43</f>
        <v>83</v>
      </c>
      <c r="E42" s="8">
        <f>Master!I43</f>
        <v>0</v>
      </c>
      <c r="F42" s="9" t="str">
        <f t="shared" si="1"/>
        <v/>
      </c>
      <c r="G42" s="9">
        <f>Master!B43</f>
        <v>0</v>
      </c>
      <c r="H42" s="19">
        <f t="shared" si="2"/>
        <v>0</v>
      </c>
      <c r="I42" s="8">
        <f>IFERROR(((Master!AD43*3600*24)*((Master!P43/100)/Master!I43)),0)</f>
        <v>0</v>
      </c>
      <c r="J42" s="8">
        <f>Master!P43</f>
        <v>0</v>
      </c>
      <c r="K42" s="8">
        <f ca="1">(D42*Validation!$M$4/1800)/IF(Validation!$N$4="",(IF(OR(NOT(ISNUMBER(J42)),J42=0),1,J42%)),Validation!$N$4)</f>
        <v>20.343137254901961</v>
      </c>
      <c r="L42" s="8">
        <f>Master!W43</f>
        <v>0</v>
      </c>
      <c r="M42" s="8" t="str">
        <f t="shared" si="0"/>
        <v>-</v>
      </c>
      <c r="N42" s="19" t="str">
        <f t="shared" si="3"/>
        <v/>
      </c>
      <c r="O42" s="23">
        <f t="shared" si="4"/>
        <v>0</v>
      </c>
      <c r="P42" s="39" t="str">
        <f>T3</f>
        <v>N</v>
      </c>
      <c r="Q42" s="39">
        <f t="shared" si="5"/>
        <v>0</v>
      </c>
    </row>
    <row r="43" spans="1:17" ht="22.5" thickTop="1" thickBot="1" x14ac:dyDescent="0.4">
      <c r="A43" s="40" t="str">
        <f>R3</f>
        <v>Enterprise</v>
      </c>
      <c r="B43" s="40">
        <f ca="1">Master!$AX$1</f>
        <v>45965</v>
      </c>
      <c r="C43" s="6">
        <v>0.85416666666666696</v>
      </c>
      <c r="D43" s="7">
        <f ca="1">Master!AK44</f>
        <v>73</v>
      </c>
      <c r="E43" s="8">
        <f>Master!I44</f>
        <v>0</v>
      </c>
      <c r="F43" s="9" t="str">
        <f t="shared" si="1"/>
        <v/>
      </c>
      <c r="G43" s="9">
        <f>Master!B44</f>
        <v>0</v>
      </c>
      <c r="H43" s="19">
        <f t="shared" si="2"/>
        <v>0</v>
      </c>
      <c r="I43" s="8">
        <f>IFERROR(((Master!AD44*3600*24)*((Master!P44/100)/Master!I44)),0)</f>
        <v>0</v>
      </c>
      <c r="J43" s="8">
        <f>Master!P44</f>
        <v>0</v>
      </c>
      <c r="K43" s="8">
        <f ca="1">(D43*Validation!$M$4/1800)/IF(Validation!$N$4="",(IF(OR(NOT(ISNUMBER(J43)),J43=0),1,J43%)),Validation!$N$4)</f>
        <v>17.8921568627451</v>
      </c>
      <c r="L43" s="8">
        <f>Master!W44</f>
        <v>0</v>
      </c>
      <c r="M43" s="8" t="str">
        <f t="shared" si="0"/>
        <v>-</v>
      </c>
      <c r="N43" s="19" t="str">
        <f t="shared" si="3"/>
        <v/>
      </c>
      <c r="O43" s="23">
        <f t="shared" si="4"/>
        <v>0</v>
      </c>
      <c r="P43" s="39" t="str">
        <f>T3</f>
        <v>N</v>
      </c>
      <c r="Q43" s="39">
        <f t="shared" si="5"/>
        <v>0</v>
      </c>
    </row>
    <row r="44" spans="1:17" ht="22.5" thickTop="1" thickBot="1" x14ac:dyDescent="0.4">
      <c r="A44" s="40" t="str">
        <f>R3</f>
        <v>Enterprise</v>
      </c>
      <c r="B44" s="40">
        <f ca="1">Master!$AX$1</f>
        <v>45965</v>
      </c>
      <c r="C44" s="6">
        <v>0.875</v>
      </c>
      <c r="D44" s="7">
        <f ca="1">Master!AK45</f>
        <v>87</v>
      </c>
      <c r="E44" s="8">
        <f>Master!I45</f>
        <v>0</v>
      </c>
      <c r="F44" s="9" t="str">
        <f t="shared" si="1"/>
        <v/>
      </c>
      <c r="G44" s="9">
        <f>Master!B45</f>
        <v>0</v>
      </c>
      <c r="H44" s="19">
        <f t="shared" si="2"/>
        <v>0</v>
      </c>
      <c r="I44" s="8">
        <f>IFERROR(((Master!AD45*3600*24)*((Master!P45/100)/Master!I45)),0)</f>
        <v>0</v>
      </c>
      <c r="J44" s="8">
        <f>Master!P45</f>
        <v>0</v>
      </c>
      <c r="K44" s="8">
        <f ca="1">(D44*Validation!$M$4/1800)/IF(Validation!$N$4="",(IF(OR(NOT(ISNUMBER(J44)),J44=0),1,J44%)),Validation!$N$4)</f>
        <v>21.323529411764707</v>
      </c>
      <c r="L44" s="8">
        <f>Master!W45</f>
        <v>0</v>
      </c>
      <c r="M44" s="8" t="str">
        <f t="shared" si="0"/>
        <v>-</v>
      </c>
      <c r="N44" s="19" t="str">
        <f t="shared" si="3"/>
        <v/>
      </c>
      <c r="O44" s="23">
        <f t="shared" si="4"/>
        <v>0</v>
      </c>
      <c r="P44" s="39" t="str">
        <f>T3</f>
        <v>N</v>
      </c>
      <c r="Q44" s="39">
        <f t="shared" si="5"/>
        <v>0</v>
      </c>
    </row>
    <row r="45" spans="1:17" ht="22.5" thickTop="1" thickBot="1" x14ac:dyDescent="0.4">
      <c r="A45" s="40" t="str">
        <f>R3</f>
        <v>Enterprise</v>
      </c>
      <c r="B45" s="40">
        <f ca="1">Master!$AX$1</f>
        <v>45965</v>
      </c>
      <c r="C45" s="6">
        <v>0.89583333333333304</v>
      </c>
      <c r="D45" s="7">
        <f ca="1">Master!AK46</f>
        <v>75</v>
      </c>
      <c r="E45" s="8">
        <f>Master!I46</f>
        <v>0</v>
      </c>
      <c r="F45" s="9" t="str">
        <f t="shared" si="1"/>
        <v/>
      </c>
      <c r="G45" s="9">
        <f>Master!B46</f>
        <v>0</v>
      </c>
      <c r="H45" s="19">
        <f t="shared" si="2"/>
        <v>0</v>
      </c>
      <c r="I45" s="8">
        <f>IFERROR(((Master!AD46*3600*24)*((Master!P46/100)/Master!I46)),0)</f>
        <v>0</v>
      </c>
      <c r="J45" s="8">
        <f>Master!P46</f>
        <v>0</v>
      </c>
      <c r="K45" s="8">
        <f ca="1">(D45*Validation!$M$4/1800)/IF(Validation!$N$4="",(IF(OR(NOT(ISNUMBER(J45)),J45=0),1,J45%)),Validation!$N$4)</f>
        <v>18.382352941176471</v>
      </c>
      <c r="L45" s="8">
        <f>Master!W46</f>
        <v>0</v>
      </c>
      <c r="M45" s="8" t="str">
        <f t="shared" si="0"/>
        <v>-</v>
      </c>
      <c r="N45" s="19" t="str">
        <f t="shared" si="3"/>
        <v/>
      </c>
      <c r="O45" s="23">
        <f t="shared" si="4"/>
        <v>0</v>
      </c>
      <c r="P45" s="39" t="str">
        <f>T3</f>
        <v>N</v>
      </c>
      <c r="Q45" s="39">
        <f t="shared" si="5"/>
        <v>0</v>
      </c>
    </row>
    <row r="46" spans="1:17" ht="22.5" thickTop="1" thickBot="1" x14ac:dyDescent="0.4">
      <c r="A46" s="40" t="str">
        <f>R3</f>
        <v>Enterprise</v>
      </c>
      <c r="B46" s="40">
        <f ca="1">Master!$AX$1</f>
        <v>45965</v>
      </c>
      <c r="C46" s="6">
        <v>0.91666666666666696</v>
      </c>
      <c r="D46" s="7">
        <f ca="1">Master!AK47</f>
        <v>59</v>
      </c>
      <c r="E46" s="8">
        <f>Master!I47</f>
        <v>0</v>
      </c>
      <c r="F46" s="9" t="str">
        <f t="shared" si="1"/>
        <v/>
      </c>
      <c r="G46" s="9">
        <f>Master!B47</f>
        <v>0</v>
      </c>
      <c r="H46" s="19">
        <f t="shared" si="2"/>
        <v>0</v>
      </c>
      <c r="I46" s="8">
        <f>IFERROR(((Master!AD47*3600*24)*((Master!P47/100)/Master!I47)),0)</f>
        <v>0</v>
      </c>
      <c r="J46" s="8">
        <f>Master!P47</f>
        <v>0</v>
      </c>
      <c r="K46" s="8">
        <f ca="1">(D46*Validation!$M$4/1800)/IF(Validation!$N$4="",(IF(OR(NOT(ISNUMBER(J46)),J46=0),1,J46%)),Validation!$N$4)</f>
        <v>14.46078431372549</v>
      </c>
      <c r="L46" s="8">
        <f>Master!W47</f>
        <v>0</v>
      </c>
      <c r="M46" s="8" t="str">
        <f t="shared" si="0"/>
        <v>-</v>
      </c>
      <c r="N46" s="19" t="str">
        <f t="shared" si="3"/>
        <v/>
      </c>
      <c r="O46" s="23">
        <f t="shared" si="4"/>
        <v>0</v>
      </c>
      <c r="P46" s="39" t="str">
        <f>T3</f>
        <v>N</v>
      </c>
      <c r="Q46" s="39">
        <f t="shared" si="5"/>
        <v>0</v>
      </c>
    </row>
    <row r="47" spans="1:17" ht="22.5" thickTop="1" thickBot="1" x14ac:dyDescent="0.4">
      <c r="A47" s="40" t="str">
        <f>R3</f>
        <v>Enterprise</v>
      </c>
      <c r="B47" s="40">
        <f ca="1">Master!$AX$1</f>
        <v>45965</v>
      </c>
      <c r="C47" s="6">
        <v>0.9375</v>
      </c>
      <c r="D47" s="7">
        <f ca="1">Master!AK48</f>
        <v>53</v>
      </c>
      <c r="E47" s="8">
        <f>Master!I48</f>
        <v>0</v>
      </c>
      <c r="F47" s="9" t="str">
        <f t="shared" si="1"/>
        <v/>
      </c>
      <c r="G47" s="9">
        <f>Master!B48</f>
        <v>0</v>
      </c>
      <c r="H47" s="19">
        <f t="shared" si="2"/>
        <v>0</v>
      </c>
      <c r="I47" s="8">
        <f>IFERROR(((Master!AD48*3600*24)*((Master!P48/100)/Master!I48)),0)</f>
        <v>0</v>
      </c>
      <c r="J47" s="8">
        <f>Master!P48</f>
        <v>0</v>
      </c>
      <c r="K47" s="8">
        <f ca="1">(D47*Validation!$M$4/1800)/IF(Validation!$N$4="",(IF(OR(NOT(ISNUMBER(J47)),J47=0),1,J47%)),Validation!$N$4)</f>
        <v>12.990196078431373</v>
      </c>
      <c r="L47" s="8">
        <f>Master!W48</f>
        <v>0</v>
      </c>
      <c r="M47" s="8" t="str">
        <f t="shared" si="0"/>
        <v>-</v>
      </c>
      <c r="N47" s="19" t="str">
        <f t="shared" si="3"/>
        <v/>
      </c>
      <c r="O47" s="23">
        <f t="shared" si="4"/>
        <v>0</v>
      </c>
      <c r="P47" s="39" t="str">
        <f>T3</f>
        <v>N</v>
      </c>
      <c r="Q47" s="39">
        <f t="shared" si="5"/>
        <v>0</v>
      </c>
    </row>
    <row r="48" spans="1:17" ht="22.5" thickTop="1" thickBot="1" x14ac:dyDescent="0.4">
      <c r="A48" s="40" t="str">
        <f>R3</f>
        <v>Enterprise</v>
      </c>
      <c r="B48" s="40">
        <f ca="1">Master!$AX$1</f>
        <v>45965</v>
      </c>
      <c r="C48" s="6">
        <v>0.95833333333333304</v>
      </c>
      <c r="D48" s="7">
        <f ca="1">Master!AK49</f>
        <v>41</v>
      </c>
      <c r="E48" s="8">
        <f>Master!I49</f>
        <v>0</v>
      </c>
      <c r="F48" s="9" t="str">
        <f t="shared" si="1"/>
        <v/>
      </c>
      <c r="G48" s="9">
        <f>Master!B49</f>
        <v>0</v>
      </c>
      <c r="H48" s="19">
        <f t="shared" si="2"/>
        <v>0</v>
      </c>
      <c r="I48" s="8">
        <f>IFERROR(((Master!AD49*3600*24)*((Master!P49/100)/Master!I49)),0)</f>
        <v>0</v>
      </c>
      <c r="J48" s="8">
        <f>Master!P49</f>
        <v>0</v>
      </c>
      <c r="K48" s="8">
        <f ca="1">(D48*Validation!$M$4/1800)/IF(Validation!$N$4="",(IF(OR(NOT(ISNUMBER(J48)),J48=0),1,J48%)),Validation!$N$4)</f>
        <v>10.049019607843137</v>
      </c>
      <c r="L48" s="8">
        <f>Master!W49</f>
        <v>0</v>
      </c>
      <c r="M48" s="8" t="str">
        <f t="shared" si="0"/>
        <v>-</v>
      </c>
      <c r="N48" s="19" t="str">
        <f t="shared" si="3"/>
        <v/>
      </c>
      <c r="O48" s="23">
        <f t="shared" si="4"/>
        <v>0</v>
      </c>
      <c r="P48" s="39" t="str">
        <f>T3</f>
        <v>N</v>
      </c>
      <c r="Q48" s="39">
        <f t="shared" si="5"/>
        <v>0</v>
      </c>
    </row>
    <row r="49" spans="1:17" ht="22.5" thickTop="1" thickBot="1" x14ac:dyDescent="0.4">
      <c r="A49" s="40" t="str">
        <f>R3</f>
        <v>Enterprise</v>
      </c>
      <c r="B49" s="40">
        <f ca="1">Master!$AX$1</f>
        <v>45965</v>
      </c>
      <c r="C49" s="6">
        <v>0.97916666666666696</v>
      </c>
      <c r="D49" s="7">
        <f ca="1">Master!AK50</f>
        <v>32</v>
      </c>
      <c r="E49" s="8">
        <f>Master!I50</f>
        <v>0</v>
      </c>
      <c r="F49" s="9" t="str">
        <f t="shared" si="1"/>
        <v/>
      </c>
      <c r="G49" s="9">
        <f>Master!B50</f>
        <v>0</v>
      </c>
      <c r="H49" s="19">
        <f t="shared" si="2"/>
        <v>0</v>
      </c>
      <c r="I49" s="8">
        <f>IFERROR(((Master!AD50*3600*24)*((Master!P50/100)/Master!I50)),0)</f>
        <v>0</v>
      </c>
      <c r="J49" s="8">
        <f>Master!P50</f>
        <v>0</v>
      </c>
      <c r="K49" s="8">
        <f ca="1">(D49*Validation!$M$4/1800)/IF(Validation!$N$4="",(IF(OR(NOT(ISNUMBER(J49)),J49=0),1,J49%)),Validation!$N$4)</f>
        <v>7.8431372549019613</v>
      </c>
      <c r="L49" s="8">
        <f>Master!W50</f>
        <v>0</v>
      </c>
      <c r="M49" s="8" t="str">
        <f t="shared" si="0"/>
        <v>-</v>
      </c>
      <c r="N49" s="19" t="str">
        <f t="shared" si="3"/>
        <v/>
      </c>
      <c r="O49" s="23">
        <f t="shared" si="4"/>
        <v>0</v>
      </c>
      <c r="P49" s="39" t="str">
        <f>T3</f>
        <v>N</v>
      </c>
      <c r="Q49" s="39">
        <f t="shared" si="5"/>
        <v>0</v>
      </c>
    </row>
    <row r="50" spans="1:17" ht="22.5" thickTop="1" thickBot="1" x14ac:dyDescent="0.4">
      <c r="A50" s="40" t="str">
        <f>R3</f>
        <v>Enterprise</v>
      </c>
      <c r="B50" s="40">
        <f ca="1">Master!$AX$1</f>
        <v>45965</v>
      </c>
      <c r="C50" s="6" t="s">
        <v>15</v>
      </c>
      <c r="D50" s="7">
        <f ca="1">SUMIF(E2:E49,"&gt;0",D2:D49)</f>
        <v>1265</v>
      </c>
      <c r="E50" s="8">
        <f>SUM(E2:E49)</f>
        <v>1077</v>
      </c>
      <c r="F50" s="9">
        <f ca="1">IF(T3="n",E50/D50,O50/D50)</f>
        <v>0.85138339920948614</v>
      </c>
      <c r="G50" s="8"/>
      <c r="H50" s="19">
        <f>SUM(H2:H49)</f>
        <v>695050.9</v>
      </c>
      <c r="I50" s="8">
        <f>H50/E50</f>
        <v>645.35831012070571</v>
      </c>
      <c r="J50" s="8"/>
      <c r="K50" s="8"/>
      <c r="L50" s="8"/>
      <c r="M50" s="8"/>
      <c r="N50" s="19">
        <f ca="1">COUNTIF(N2:N49,"LOST")</f>
        <v>3</v>
      </c>
      <c r="O50" s="23">
        <f ca="1">SUM(O2:O49)</f>
        <v>1172.6999999999998</v>
      </c>
      <c r="P50" s="39" t="str">
        <f>T3</f>
        <v>N</v>
      </c>
      <c r="Q50" s="39">
        <f t="shared" si="5"/>
        <v>0</v>
      </c>
    </row>
    <row r="51" spans="1:17" ht="21.75" thickTop="1" x14ac:dyDescent="0.35"/>
  </sheetData>
  <mergeCells count="4">
    <mergeCell ref="R3:S4"/>
    <mergeCell ref="R2:S2"/>
    <mergeCell ref="T2:U2"/>
    <mergeCell ref="T3:U4"/>
  </mergeCells>
  <conditionalFormatting sqref="A1:B50">
    <cfRule type="cellIs" dxfId="234" priority="7" operator="equal">
      <formula>"Lost"</formula>
    </cfRule>
  </conditionalFormatting>
  <conditionalFormatting sqref="C2:F49">
    <cfRule type="cellIs" dxfId="233" priority="21" operator="equal">
      <formula>"Lost"</formula>
    </cfRule>
  </conditionalFormatting>
  <conditionalFormatting sqref="C1:G1">
    <cfRule type="cellIs" dxfId="232" priority="72" operator="equal">
      <formula>"Lost"</formula>
    </cfRule>
  </conditionalFormatting>
  <conditionalFormatting sqref="C50:G50">
    <cfRule type="cellIs" dxfId="231" priority="45" operator="equal">
      <formula>"Lost"</formula>
    </cfRule>
  </conditionalFormatting>
  <conditionalFormatting sqref="F2:F49">
    <cfRule type="cellIs" dxfId="230" priority="19" operator="greaterThan">
      <formula>0.9801</formula>
    </cfRule>
  </conditionalFormatting>
  <conditionalFormatting sqref="F2:F50">
    <cfRule type="cellIs" dxfId="229" priority="17" operator="greaterThan">
      <formula>0.981</formula>
    </cfRule>
    <cfRule type="cellIs" dxfId="228" priority="18" operator="lessThan">
      <formula>0.98</formula>
    </cfRule>
  </conditionalFormatting>
  <conditionalFormatting sqref="G1">
    <cfRule type="cellIs" dxfId="227" priority="70" operator="lessThan">
      <formula>0.75</formula>
    </cfRule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9">
    <cfRule type="cellIs" dxfId="226" priority="68" operator="greaterThan">
      <formula>0.75</formula>
    </cfRule>
    <cfRule type="cellIs" dxfId="225" priority="69" operator="lessThan">
      <formula>0.75</formula>
    </cfRule>
  </conditionalFormatting>
  <conditionalFormatting sqref="H1:H50">
    <cfRule type="cellIs" dxfId="224" priority="27" operator="equal">
      <formula>"Lost"</formula>
    </cfRule>
  </conditionalFormatting>
  <conditionalFormatting sqref="H2:H50">
    <cfRule type="cellIs" dxfId="223" priority="26" operator="equal">
      <formula>"Achived"</formula>
    </cfRule>
  </conditionalFormatting>
  <conditionalFormatting sqref="I1:M50">
    <cfRule type="cellIs" dxfId="222" priority="33" operator="equal">
      <formula>"Lost"</formula>
    </cfRule>
  </conditionalFormatting>
  <conditionalFormatting sqref="I1:O1">
    <cfRule type="cellIs" dxfId="221" priority="16" operator="equal">
      <formula>"Lost"</formula>
    </cfRule>
  </conditionalFormatting>
  <conditionalFormatting sqref="M2:M49">
    <cfRule type="cellIs" dxfId="220" priority="30" operator="lessThan">
      <formula>0</formula>
    </cfRule>
    <cfRule type="cellIs" dxfId="219" priority="31" operator="equal">
      <formula>0</formula>
    </cfRule>
    <cfRule type="cellIs" dxfId="218" priority="32" operator="greaterThan">
      <formula>0</formula>
    </cfRule>
  </conditionalFormatting>
  <conditionalFormatting sqref="N2:N50">
    <cfRule type="cellIs" dxfId="217" priority="29" operator="equal">
      <formula>"Wait"</formula>
    </cfRule>
  </conditionalFormatting>
  <conditionalFormatting sqref="N2:O50">
    <cfRule type="cellIs" dxfId="216" priority="23" operator="equal">
      <formula>"Lost"</formula>
    </cfRule>
  </conditionalFormatting>
  <conditionalFormatting sqref="N2:Q50">
    <cfRule type="cellIs" dxfId="215" priority="2" operator="equal">
      <formula>"Achived"</formula>
    </cfRule>
  </conditionalFormatting>
  <conditionalFormatting sqref="P1:Q50">
    <cfRule type="cellIs" dxfId="214" priority="1" operator="equal">
      <formula>"Lost"</formula>
    </cfRule>
  </conditionalFormatting>
  <conditionalFormatting sqref="R2:R3">
    <cfRule type="cellIs" dxfId="213" priority="56" operator="equal">
      <formula>"-"</formula>
    </cfRule>
  </conditionalFormatting>
  <conditionalFormatting sqref="T2:T3">
    <cfRule type="cellIs" dxfId="212" priority="50" operator="equal">
      <formula>"-"</formula>
    </cfRule>
  </conditionalFormatting>
  <pageMargins left="0.7" right="0.7" top="0.75" bottom="0.75" header="0.3" footer="0.3"/>
  <pageSetup orientation="portrait" r:id="rId1"/>
  <headerFooter>
    <oddFooter>&amp;L_x000D_&amp;1#&amp;"Calibri"&amp;7&amp;K000000 C2 General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51"/>
  <sheetViews>
    <sheetView tabSelected="1" topLeftCell="C1" zoomScale="56" zoomScaleNormal="56" zoomScaleSheetLayoutView="50" workbookViewId="0">
      <selection activeCell="Y20" sqref="Y20"/>
    </sheetView>
  </sheetViews>
  <sheetFormatPr defaultColWidth="9.140625" defaultRowHeight="21" x14ac:dyDescent="0.35"/>
  <cols>
    <col min="1" max="1" width="7.140625" style="3" hidden="1" customWidth="1"/>
    <col min="2" max="2" width="15.7109375" style="3" hidden="1" customWidth="1"/>
    <col min="3" max="3" width="10.85546875" style="3" bestFit="1" customWidth="1"/>
    <col min="4" max="4" width="5.85546875" style="3" bestFit="1" customWidth="1"/>
    <col min="5" max="5" width="12.28515625" style="3" bestFit="1" customWidth="1"/>
    <col min="6" max="6" width="11.7109375" style="3" bestFit="1" customWidth="1"/>
    <col min="7" max="7" width="8.140625" style="3" bestFit="1" customWidth="1"/>
    <col min="8" max="8" width="10.5703125" style="3" bestFit="1" customWidth="1"/>
    <col min="9" max="9" width="7.42578125" style="3" bestFit="1" customWidth="1"/>
    <col min="10" max="10" width="6.42578125" style="3" bestFit="1" customWidth="1"/>
    <col min="11" max="11" width="12.7109375" style="3" bestFit="1" customWidth="1"/>
    <col min="12" max="12" width="14.7109375" style="3" bestFit="1" customWidth="1"/>
    <col min="13" max="13" width="5.140625" style="3" bestFit="1" customWidth="1"/>
    <col min="14" max="14" width="11.28515625" style="3" bestFit="1" customWidth="1"/>
    <col min="15" max="15" width="13" style="3" bestFit="1" customWidth="1"/>
    <col min="16" max="16" width="12.28515625" style="3" hidden="1" customWidth="1"/>
    <col min="17" max="17" width="15" style="3" hidden="1" customWidth="1"/>
    <col min="18" max="18" width="9.140625" style="3"/>
    <col min="19" max="19" width="11.7109375" style="3" customWidth="1"/>
    <col min="20" max="22" width="9.140625" style="3"/>
    <col min="23" max="25" width="9.140625" style="3" customWidth="1"/>
    <col min="26" max="26" width="8.85546875" customWidth="1"/>
    <col min="27" max="16384" width="9.140625" style="3"/>
  </cols>
  <sheetData>
    <row r="1" spans="1:21" ht="22.5" thickTop="1" thickBot="1" x14ac:dyDescent="0.4">
      <c r="A1" s="4" t="s">
        <v>16</v>
      </c>
      <c r="B1" s="4" t="s">
        <v>39</v>
      </c>
      <c r="C1" s="4" t="s">
        <v>0</v>
      </c>
      <c r="D1" s="5">
        <f ca="1">SUM(D2:D49)</f>
        <v>811</v>
      </c>
      <c r="E1" s="5" t="s">
        <v>1</v>
      </c>
      <c r="F1" s="5" t="s">
        <v>2</v>
      </c>
      <c r="G1" s="5" t="s">
        <v>3</v>
      </c>
      <c r="H1" s="5" t="s">
        <v>30</v>
      </c>
      <c r="I1" s="5" t="s">
        <v>21</v>
      </c>
      <c r="J1" s="5" t="s">
        <v>19</v>
      </c>
      <c r="K1" s="5" t="s">
        <v>26</v>
      </c>
      <c r="L1" s="5" t="s">
        <v>4</v>
      </c>
      <c r="M1" s="5" t="s">
        <v>27</v>
      </c>
      <c r="N1" s="5" t="s">
        <v>5</v>
      </c>
      <c r="O1" s="5" t="s">
        <v>22</v>
      </c>
      <c r="P1" s="5" t="s">
        <v>24</v>
      </c>
      <c r="Q1" s="38" t="s">
        <v>20</v>
      </c>
    </row>
    <row r="2" spans="1:21" ht="22.5" thickTop="1" thickBot="1" x14ac:dyDescent="0.4">
      <c r="A2" s="40" t="str">
        <f>R3</f>
        <v>R.EU</v>
      </c>
      <c r="B2" s="40">
        <f ca="1">Master!$AX$1</f>
        <v>45965</v>
      </c>
      <c r="C2" s="6">
        <v>0</v>
      </c>
      <c r="D2" s="7">
        <f ca="1">Master!AL3</f>
        <v>11</v>
      </c>
      <c r="E2" s="8">
        <f>Master!J3</f>
        <v>8</v>
      </c>
      <c r="F2" s="9">
        <f ca="1">IFERROR(IF(OR(E2="-",E2=0),"",E2/D2),0)</f>
        <v>0.72727272727272729</v>
      </c>
      <c r="G2" s="9">
        <f>Master!C3</f>
        <v>1</v>
      </c>
      <c r="H2" s="19">
        <f>IFERROR(E2*I2,0)</f>
        <v>5703.5999999999995</v>
      </c>
      <c r="I2" s="8">
        <f>IFERROR(((Master!AE3*3600*24)*((Master!Q3/100)/Master!J3)),0)</f>
        <v>712.94999999999993</v>
      </c>
      <c r="J2" s="8">
        <f>Master!Q3</f>
        <v>49</v>
      </c>
      <c r="K2" s="8">
        <f ca="1">(D2*Validation!$M$5/1800)/IF(Validation!$N$5="",(IF(OR(NOT(ISNUMBER(J2)),J2=0),1,J2%)),Validation!$N$5)</f>
        <v>2.6960784313725488</v>
      </c>
      <c r="L2" s="8">
        <f>Master!X3</f>
        <v>7</v>
      </c>
      <c r="M2" s="8">
        <f t="shared" ref="M2:M49" ca="1" si="0">IF(AND(ISNUMBER(L2),L2&gt;0),L2-K2,"-")</f>
        <v>4.3039215686274517</v>
      </c>
      <c r="N2" s="19" t="str">
        <f ca="1">IF(OR(E2=0,E2="-"),"",IF(F2&gt;=98%,"Achived",IF(G2&gt;=75%,"Wait","Lost")))</f>
        <v>Wait</v>
      </c>
      <c r="O2" s="23">
        <f ca="1">IF(E2=0,0,IF(N2="Wait",D2*0.9,IF($T$3="Y",E2,IF(AND(N2="achived",F2&lt;=1.1),E2,IF(F2&gt;=1.1,D2*1.1,IF(N2="Lost",E2,"ER"))))))</f>
        <v>9.9</v>
      </c>
      <c r="P2" s="39" t="str">
        <f>T3</f>
        <v>N</v>
      </c>
      <c r="Q2" s="39">
        <f>IFERROR((I2*E2)/((J2/100)*86400),0)</f>
        <v>0.13472222222222222</v>
      </c>
      <c r="R2" s="60" t="s">
        <v>16</v>
      </c>
      <c r="S2" s="61"/>
      <c r="T2" s="60" t="s">
        <v>24</v>
      </c>
      <c r="U2" s="61"/>
    </row>
    <row r="3" spans="1:21" ht="22.5" thickTop="1" thickBot="1" x14ac:dyDescent="0.4">
      <c r="A3" s="40" t="str">
        <f>R3</f>
        <v>R.EU</v>
      </c>
      <c r="B3" s="40">
        <f ca="1">Master!$AX$1</f>
        <v>45965</v>
      </c>
      <c r="C3" s="6">
        <v>2.0833333333333332E-2</v>
      </c>
      <c r="D3" s="7">
        <f ca="1">Master!AL4</f>
        <v>10</v>
      </c>
      <c r="E3" s="8">
        <f>Master!J4</f>
        <v>11</v>
      </c>
      <c r="F3" s="9">
        <f t="shared" ref="F3:F49" ca="1" si="1">IFERROR(IF(OR(E3="-",E3=0),"",E3/D3),0)</f>
        <v>1.1000000000000001</v>
      </c>
      <c r="G3" s="9">
        <f>Master!C4</f>
        <v>1</v>
      </c>
      <c r="H3" s="19">
        <f t="shared" ref="H3:H49" si="2">IFERROR(E3*I3,0)</f>
        <v>7760.9999999999982</v>
      </c>
      <c r="I3" s="8">
        <f>IFERROR(((Master!AE4*3600*24)*((Master!Q4/100)/Master!J4)),0)</f>
        <v>705.54545454545439</v>
      </c>
      <c r="J3" s="8">
        <f>Master!Q4</f>
        <v>65</v>
      </c>
      <c r="K3" s="8">
        <f ca="1">(D3*Validation!$M$5/1800)/IF(Validation!$N$5="",(IF(OR(NOT(ISNUMBER(J3)),J3=0),1,J3%)),Validation!$N$5)</f>
        <v>2.4509803921568629</v>
      </c>
      <c r="L3" s="8">
        <f>Master!X4</f>
        <v>6</v>
      </c>
      <c r="M3" s="8">
        <f t="shared" ca="1" si="0"/>
        <v>3.5490196078431371</v>
      </c>
      <c r="N3" s="19" t="str">
        <f t="shared" ref="N3:N49" ca="1" si="3">IF(OR(E3=0,E3="-"),"",IF(F3&gt;=98%,"Achived",IF(G3&gt;=75%,"Wait","Lost")))</f>
        <v>Achived</v>
      </c>
      <c r="O3" s="23">
        <f t="shared" ref="O3:O49" ca="1" si="4">IF(E3=0,0,IF(N3="Wait",D3*0.9,IF($T$3="Y",E3,IF(AND(N3="achived",F3&lt;=1.1),E3,IF(F3&gt;=1.1,D3*1.1,IF(N3="Lost",E3,"ER"))))))</f>
        <v>11</v>
      </c>
      <c r="P3" s="39" t="str">
        <f>T3</f>
        <v>N</v>
      </c>
      <c r="Q3" s="39">
        <f t="shared" ref="Q3:Q50" si="5">IFERROR((I3*E3)/((J3/100)*86400),0)</f>
        <v>0.13819444444444443</v>
      </c>
      <c r="R3" s="62" t="s">
        <v>37</v>
      </c>
      <c r="S3" s="63"/>
      <c r="T3" s="62" t="str">
        <f>Validation!L6</f>
        <v>N</v>
      </c>
      <c r="U3" s="63"/>
    </row>
    <row r="4" spans="1:21" ht="22.5" thickTop="1" thickBot="1" x14ac:dyDescent="0.4">
      <c r="A4" s="40" t="str">
        <f>R3</f>
        <v>R.EU</v>
      </c>
      <c r="B4" s="40">
        <f ca="1">Master!$AX$1</f>
        <v>45965</v>
      </c>
      <c r="C4" s="6">
        <v>4.1666666666666664E-2</v>
      </c>
      <c r="D4" s="7">
        <f ca="1">Master!AL5</f>
        <v>8</v>
      </c>
      <c r="E4" s="8">
        <f>Master!J5</f>
        <v>4</v>
      </c>
      <c r="F4" s="9">
        <f t="shared" ca="1" si="1"/>
        <v>0.5</v>
      </c>
      <c r="G4" s="9">
        <f>Master!C5</f>
        <v>1</v>
      </c>
      <c r="H4" s="19">
        <f t="shared" si="2"/>
        <v>5596.8000000000011</v>
      </c>
      <c r="I4" s="8">
        <f>IFERROR(((Master!AE5*3600*24)*((Master!Q5/100)/Master!J5)),0)</f>
        <v>1399.2000000000003</v>
      </c>
      <c r="J4" s="8">
        <f>Master!Q5</f>
        <v>53</v>
      </c>
      <c r="K4" s="8">
        <f ca="1">(D4*Validation!$M$5/1800)/IF(Validation!$N$5="",(IF(OR(NOT(ISNUMBER(J4)),J4=0),1,J4%)),Validation!$N$5)</f>
        <v>1.9607843137254903</v>
      </c>
      <c r="L4" s="8">
        <f>Master!X5</f>
        <v>6</v>
      </c>
      <c r="M4" s="8">
        <f t="shared" ca="1" si="0"/>
        <v>4.0392156862745097</v>
      </c>
      <c r="N4" s="19" t="str">
        <f t="shared" ca="1" si="3"/>
        <v>Wait</v>
      </c>
      <c r="O4" s="23">
        <f t="shared" ca="1" si="4"/>
        <v>7.2</v>
      </c>
      <c r="P4" s="39" t="str">
        <f>T3</f>
        <v>N</v>
      </c>
      <c r="Q4" s="39">
        <f t="shared" si="5"/>
        <v>0.12222222222222225</v>
      </c>
      <c r="R4" s="64"/>
      <c r="S4" s="65"/>
      <c r="T4" s="64"/>
      <c r="U4" s="65"/>
    </row>
    <row r="5" spans="1:21" ht="22.5" thickTop="1" thickBot="1" x14ac:dyDescent="0.4">
      <c r="A5" s="40" t="str">
        <f>R3</f>
        <v>R.EU</v>
      </c>
      <c r="B5" s="40">
        <f ca="1">Master!$AX$1</f>
        <v>45965</v>
      </c>
      <c r="C5" s="6">
        <v>6.25E-2</v>
      </c>
      <c r="D5" s="7">
        <f ca="1">Master!AL6</f>
        <v>9</v>
      </c>
      <c r="E5" s="8">
        <f>Master!J6</f>
        <v>9</v>
      </c>
      <c r="F5" s="9">
        <f t="shared" ca="1" si="1"/>
        <v>1</v>
      </c>
      <c r="G5" s="9">
        <f>Master!C6</f>
        <v>0.9</v>
      </c>
      <c r="H5" s="19">
        <f t="shared" si="2"/>
        <v>3801.5999999999995</v>
      </c>
      <c r="I5" s="8">
        <f>IFERROR(((Master!AE6*3600*24)*((Master!Q6/100)/Master!J6)),0)</f>
        <v>422.39999999999992</v>
      </c>
      <c r="J5" s="8">
        <f>Master!Q6</f>
        <v>44</v>
      </c>
      <c r="K5" s="8">
        <f ca="1">(D5*Validation!$M$5/1800)/IF(Validation!$N$5="",(IF(OR(NOT(ISNUMBER(J5)),J5=0),1,J5%)),Validation!$N$5)</f>
        <v>2.2058823529411766</v>
      </c>
      <c r="L5" s="8">
        <f>Master!X6</f>
        <v>4</v>
      </c>
      <c r="M5" s="8">
        <f t="shared" ca="1" si="0"/>
        <v>1.7941176470588234</v>
      </c>
      <c r="N5" s="19" t="str">
        <f t="shared" ca="1" si="3"/>
        <v>Achived</v>
      </c>
      <c r="O5" s="23">
        <f t="shared" ca="1" si="4"/>
        <v>9</v>
      </c>
      <c r="P5" s="39" t="str">
        <f>T3</f>
        <v>N</v>
      </c>
      <c r="Q5" s="39">
        <f t="shared" si="5"/>
        <v>9.9999999999999992E-2</v>
      </c>
    </row>
    <row r="6" spans="1:21" ht="22.5" thickTop="1" thickBot="1" x14ac:dyDescent="0.4">
      <c r="A6" s="40" t="str">
        <f>R3</f>
        <v>R.EU</v>
      </c>
      <c r="B6" s="40">
        <f ca="1">Master!$AX$1</f>
        <v>45965</v>
      </c>
      <c r="C6" s="6">
        <v>8.3333333333333301E-2</v>
      </c>
      <c r="D6" s="7">
        <f ca="1">Master!AL7</f>
        <v>5</v>
      </c>
      <c r="E6" s="8">
        <f>Master!J7</f>
        <v>5</v>
      </c>
      <c r="F6" s="9">
        <f t="shared" ca="1" si="1"/>
        <v>1</v>
      </c>
      <c r="G6" s="9">
        <f>Master!C7</f>
        <v>1</v>
      </c>
      <c r="H6" s="19">
        <f t="shared" si="2"/>
        <v>2427.6000000000004</v>
      </c>
      <c r="I6" s="8">
        <f>IFERROR(((Master!AE7*3600*24)*((Master!Q7/100)/Master!J7)),0)</f>
        <v>485.52000000000004</v>
      </c>
      <c r="J6" s="8">
        <f>Master!Q7</f>
        <v>34</v>
      </c>
      <c r="K6" s="8">
        <f ca="1">(D6*Validation!$M$5/1800)/IF(Validation!$N$5="",(IF(OR(NOT(ISNUMBER(J6)),J6=0),1,J6%)),Validation!$N$5)</f>
        <v>1.2254901960784315</v>
      </c>
      <c r="L6" s="8">
        <f>Master!X7</f>
        <v>4</v>
      </c>
      <c r="M6" s="8">
        <f t="shared" ca="1" si="0"/>
        <v>2.7745098039215685</v>
      </c>
      <c r="N6" s="19" t="str">
        <f t="shared" ca="1" si="3"/>
        <v>Achived</v>
      </c>
      <c r="O6" s="23">
        <f t="shared" ca="1" si="4"/>
        <v>5</v>
      </c>
      <c r="P6" s="39" t="str">
        <f>T3</f>
        <v>N</v>
      </c>
      <c r="Q6" s="39">
        <f t="shared" si="5"/>
        <v>8.2638888888888887E-2</v>
      </c>
    </row>
    <row r="7" spans="1:21" ht="22.5" thickTop="1" thickBot="1" x14ac:dyDescent="0.4">
      <c r="A7" s="40" t="str">
        <f>R3</f>
        <v>R.EU</v>
      </c>
      <c r="B7" s="40">
        <f ca="1">Master!$AX$1</f>
        <v>45965</v>
      </c>
      <c r="C7" s="6">
        <v>0.104166666666667</v>
      </c>
      <c r="D7" s="7">
        <f ca="1">Master!AL8</f>
        <v>2</v>
      </c>
      <c r="E7" s="8">
        <f>Master!J8</f>
        <v>1</v>
      </c>
      <c r="F7" s="9">
        <f t="shared" ca="1" si="1"/>
        <v>0.5</v>
      </c>
      <c r="G7" s="9">
        <f>Master!C8</f>
        <v>1</v>
      </c>
      <c r="H7" s="19">
        <f t="shared" si="2"/>
        <v>1142.4000000000001</v>
      </c>
      <c r="I7" s="8">
        <f>IFERROR(((Master!AE8*3600*24)*((Master!Q8/100)/Master!J8)),0)</f>
        <v>1142.4000000000001</v>
      </c>
      <c r="J7" s="8">
        <f>Master!Q8</f>
        <v>16</v>
      </c>
      <c r="K7" s="8">
        <f ca="1">(D7*Validation!$M$5/1800)/IF(Validation!$N$5="",(IF(OR(NOT(ISNUMBER(J7)),J7=0),1,J7%)),Validation!$N$5)</f>
        <v>0.49019607843137258</v>
      </c>
      <c r="L7" s="8">
        <f>Master!X8</f>
        <v>3</v>
      </c>
      <c r="M7" s="8">
        <f t="shared" ca="1" si="0"/>
        <v>2.5098039215686274</v>
      </c>
      <c r="N7" s="19" t="str">
        <f t="shared" ca="1" si="3"/>
        <v>Wait</v>
      </c>
      <c r="O7" s="23">
        <f t="shared" ca="1" si="4"/>
        <v>1.8</v>
      </c>
      <c r="P7" s="39" t="str">
        <f>T3</f>
        <v>N</v>
      </c>
      <c r="Q7" s="39">
        <f t="shared" si="5"/>
        <v>8.2638888888888901E-2</v>
      </c>
    </row>
    <row r="8" spans="1:21" ht="22.5" thickTop="1" thickBot="1" x14ac:dyDescent="0.4">
      <c r="A8" s="40" t="str">
        <f>R3</f>
        <v>R.EU</v>
      </c>
      <c r="B8" s="40">
        <f ca="1">Master!$AX$1</f>
        <v>45965</v>
      </c>
      <c r="C8" s="6">
        <v>0.125</v>
      </c>
      <c r="D8" s="7">
        <f ca="1">Master!AL9</f>
        <v>4</v>
      </c>
      <c r="E8" s="8">
        <f>Master!J9</f>
        <v>0</v>
      </c>
      <c r="F8" s="9" t="str">
        <f t="shared" si="1"/>
        <v/>
      </c>
      <c r="G8" s="9">
        <f>Master!C9</f>
        <v>0</v>
      </c>
      <c r="H8" s="19">
        <f t="shared" si="2"/>
        <v>0</v>
      </c>
      <c r="I8" s="8">
        <f>IFERROR(((Master!AE9*3600*24)*((Master!Q9/100)/Master!J9)),0)</f>
        <v>0</v>
      </c>
      <c r="J8" s="8">
        <f>Master!Q9</f>
        <v>25</v>
      </c>
      <c r="K8" s="8">
        <f ca="1">(D8*Validation!$M$5/1800)/IF(Validation!$N$5="",(IF(OR(NOT(ISNUMBER(J8)),J8=0),1,J8%)),Validation!$N$5)</f>
        <v>0.98039215686274517</v>
      </c>
      <c r="L8" s="8">
        <f>Master!X9</f>
        <v>3</v>
      </c>
      <c r="M8" s="8">
        <f t="shared" ca="1" si="0"/>
        <v>2.0196078431372548</v>
      </c>
      <c r="N8" s="19" t="s">
        <v>34</v>
      </c>
      <c r="O8" s="23">
        <f t="shared" si="4"/>
        <v>0</v>
      </c>
      <c r="P8" s="39" t="str">
        <f>T3</f>
        <v>N</v>
      </c>
      <c r="Q8" s="39">
        <f t="shared" si="5"/>
        <v>0</v>
      </c>
    </row>
    <row r="9" spans="1:21" ht="22.5" thickTop="1" thickBot="1" x14ac:dyDescent="0.4">
      <c r="A9" s="40" t="str">
        <f>R3</f>
        <v>R.EU</v>
      </c>
      <c r="B9" s="40">
        <f ca="1">Master!$AX$1</f>
        <v>45965</v>
      </c>
      <c r="C9" s="6">
        <v>0.14583333333333301</v>
      </c>
      <c r="D9" s="7">
        <f ca="1">Master!AL10</f>
        <v>2</v>
      </c>
      <c r="E9" s="8">
        <f>Master!J10</f>
        <v>0</v>
      </c>
      <c r="F9" s="9" t="str">
        <f t="shared" si="1"/>
        <v/>
      </c>
      <c r="G9" s="9">
        <f>Master!C10</f>
        <v>0</v>
      </c>
      <c r="H9" s="19">
        <f t="shared" si="2"/>
        <v>0</v>
      </c>
      <c r="I9" s="8">
        <f>IFERROR(((Master!AE10*3600*24)*((Master!Q10/100)/Master!J10)),0)</f>
        <v>0</v>
      </c>
      <c r="J9" s="8">
        <f>Master!Q10</f>
        <v>27</v>
      </c>
      <c r="K9" s="8">
        <f ca="1">(D9*Validation!$M$5/1800)/IF(Validation!$N$5="",(IF(OR(NOT(ISNUMBER(J9)),J9=0),1,J9%)),Validation!$N$5)</f>
        <v>0.49019607843137258</v>
      </c>
      <c r="L9" s="8">
        <f>Master!X10</f>
        <v>3</v>
      </c>
      <c r="M9" s="8">
        <f t="shared" ca="1" si="0"/>
        <v>2.5098039215686274</v>
      </c>
      <c r="N9" s="19" t="s">
        <v>34</v>
      </c>
      <c r="O9" s="23">
        <f t="shared" si="4"/>
        <v>0</v>
      </c>
      <c r="P9" s="39" t="str">
        <f>T3</f>
        <v>N</v>
      </c>
      <c r="Q9" s="39">
        <f t="shared" si="5"/>
        <v>0</v>
      </c>
    </row>
    <row r="10" spans="1:21" ht="22.5" thickTop="1" thickBot="1" x14ac:dyDescent="0.4">
      <c r="A10" s="40" t="str">
        <f>R3</f>
        <v>R.EU</v>
      </c>
      <c r="B10" s="40">
        <f ca="1">Master!$AX$1</f>
        <v>45965</v>
      </c>
      <c r="C10" s="6">
        <v>0.16666666666666699</v>
      </c>
      <c r="D10" s="7">
        <f ca="1">Master!AL11</f>
        <v>3</v>
      </c>
      <c r="E10" s="8">
        <f>Master!J11</f>
        <v>0</v>
      </c>
      <c r="F10" s="9" t="str">
        <f t="shared" si="1"/>
        <v/>
      </c>
      <c r="G10" s="9">
        <f>Master!C11</f>
        <v>0</v>
      </c>
      <c r="H10" s="19">
        <f t="shared" si="2"/>
        <v>0</v>
      </c>
      <c r="I10" s="8">
        <f>IFERROR(((Master!AE11*3600*24)*((Master!Q11/100)/Master!J11)),0)</f>
        <v>0</v>
      </c>
      <c r="J10" s="8">
        <f>Master!Q11</f>
        <v>35</v>
      </c>
      <c r="K10" s="8">
        <f ca="1">(D10*Validation!$M$5/1800)/IF(Validation!$N$5="",(IF(OR(NOT(ISNUMBER(J10)),J10=0),1,J10%)),Validation!$N$5)</f>
        <v>0.73529411764705888</v>
      </c>
      <c r="L10" s="8">
        <f>Master!X11</f>
        <v>3</v>
      </c>
      <c r="M10" s="8">
        <f t="shared" ca="1" si="0"/>
        <v>2.2647058823529411</v>
      </c>
      <c r="N10" s="19" t="str">
        <f t="shared" si="3"/>
        <v/>
      </c>
      <c r="O10" s="23">
        <f t="shared" si="4"/>
        <v>0</v>
      </c>
      <c r="P10" s="39" t="str">
        <f>T3</f>
        <v>N</v>
      </c>
      <c r="Q10" s="39">
        <f t="shared" si="5"/>
        <v>0</v>
      </c>
    </row>
    <row r="11" spans="1:21" ht="22.5" thickTop="1" thickBot="1" x14ac:dyDescent="0.4">
      <c r="A11" s="40" t="str">
        <f>R3</f>
        <v>R.EU</v>
      </c>
      <c r="B11" s="40">
        <f ca="1">Master!$AX$1</f>
        <v>45965</v>
      </c>
      <c r="C11" s="6">
        <v>0.1875</v>
      </c>
      <c r="D11" s="7">
        <f ca="1">Master!AL12</f>
        <v>3</v>
      </c>
      <c r="E11" s="8">
        <f>Master!J12</f>
        <v>2</v>
      </c>
      <c r="F11" s="9">
        <f t="shared" ca="1" si="1"/>
        <v>0.66666666666666663</v>
      </c>
      <c r="G11" s="9">
        <f>Master!C12</f>
        <v>1</v>
      </c>
      <c r="H11" s="19">
        <f t="shared" si="2"/>
        <v>369.60000000000008</v>
      </c>
      <c r="I11" s="8">
        <f>IFERROR(((Master!AE12*3600*24)*((Master!Q12/100)/Master!J12)),0)</f>
        <v>184.80000000000004</v>
      </c>
      <c r="J11" s="8">
        <f>Master!Q12</f>
        <v>7</v>
      </c>
      <c r="K11" s="8">
        <f ca="1">(D11*Validation!$M$5/1800)/IF(Validation!$N$5="",(IF(OR(NOT(ISNUMBER(J11)),J11=0),1,J11%)),Validation!$N$5)</f>
        <v>0.73529411764705888</v>
      </c>
      <c r="L11" s="8">
        <f>Master!X12</f>
        <v>3</v>
      </c>
      <c r="M11" s="8">
        <f t="shared" ca="1" si="0"/>
        <v>2.2647058823529411</v>
      </c>
      <c r="N11" s="19" t="str">
        <f t="shared" ca="1" si="3"/>
        <v>Wait</v>
      </c>
      <c r="O11" s="23">
        <f t="shared" ca="1" si="4"/>
        <v>2.7</v>
      </c>
      <c r="P11" s="39" t="str">
        <f>T3</f>
        <v>N</v>
      </c>
      <c r="Q11" s="39">
        <f t="shared" si="5"/>
        <v>6.1111111111111116E-2</v>
      </c>
    </row>
    <row r="12" spans="1:21" ht="22.5" thickTop="1" thickBot="1" x14ac:dyDescent="0.4">
      <c r="A12" s="40" t="str">
        <f>R3</f>
        <v>R.EU</v>
      </c>
      <c r="B12" s="40">
        <f ca="1">Master!$AX$1</f>
        <v>45965</v>
      </c>
      <c r="C12" s="6">
        <v>0.20833333333333301</v>
      </c>
      <c r="D12" s="7">
        <f ca="1">Master!AL13</f>
        <v>2</v>
      </c>
      <c r="E12" s="8">
        <f>Master!J13</f>
        <v>1</v>
      </c>
      <c r="F12" s="9">
        <f t="shared" ca="1" si="1"/>
        <v>0.5</v>
      </c>
      <c r="G12" s="9">
        <f>Master!C13</f>
        <v>1</v>
      </c>
      <c r="H12" s="19">
        <f t="shared" si="2"/>
        <v>53.4</v>
      </c>
      <c r="I12" s="8">
        <f>IFERROR(((Master!AE13*3600*24)*((Master!Q13/100)/Master!J13)),0)</f>
        <v>53.4</v>
      </c>
      <c r="J12" s="8">
        <f>Master!Q13</f>
        <v>1</v>
      </c>
      <c r="K12" s="8">
        <f ca="1">(D12*Validation!$M$5/1800)/IF(Validation!$N$5="",(IF(OR(NOT(ISNUMBER(J12)),J12=0),1,J12%)),Validation!$N$5)</f>
        <v>0.49019607843137258</v>
      </c>
      <c r="L12" s="8">
        <f>Master!X13</f>
        <v>3</v>
      </c>
      <c r="M12" s="8">
        <f t="shared" ca="1" si="0"/>
        <v>2.5098039215686274</v>
      </c>
      <c r="N12" s="19" t="str">
        <f t="shared" ca="1" si="3"/>
        <v>Wait</v>
      </c>
      <c r="O12" s="23">
        <f t="shared" ca="1" si="4"/>
        <v>1.8</v>
      </c>
      <c r="P12" s="39" t="str">
        <f>T3</f>
        <v>N</v>
      </c>
      <c r="Q12" s="39">
        <f t="shared" si="5"/>
        <v>6.1805555555555551E-2</v>
      </c>
    </row>
    <row r="13" spans="1:21" ht="22.5" thickTop="1" thickBot="1" x14ac:dyDescent="0.4">
      <c r="A13" s="40" t="str">
        <f>R3</f>
        <v>R.EU</v>
      </c>
      <c r="B13" s="40">
        <f ca="1">Master!$AX$1</f>
        <v>45965</v>
      </c>
      <c r="C13" s="6">
        <v>0.22916666666666699</v>
      </c>
      <c r="D13" s="7">
        <f ca="1">Master!AL14</f>
        <v>3</v>
      </c>
      <c r="E13" s="8">
        <f>Master!J14</f>
        <v>3</v>
      </c>
      <c r="F13" s="9">
        <f t="shared" ca="1" si="1"/>
        <v>1</v>
      </c>
      <c r="G13" s="9">
        <f>Master!C14</f>
        <v>1</v>
      </c>
      <c r="H13" s="19">
        <f t="shared" si="2"/>
        <v>1076.4000000000001</v>
      </c>
      <c r="I13" s="8">
        <f>IFERROR(((Master!AE14*3600*24)*((Master!Q14/100)/Master!J14)),0)</f>
        <v>358.8</v>
      </c>
      <c r="J13" s="8">
        <f>Master!Q14</f>
        <v>26</v>
      </c>
      <c r="K13" s="8">
        <f ca="1">(D13*Validation!$M$5/1800)/IF(Validation!$N$5="",(IF(OR(NOT(ISNUMBER(J13)),J13=0),1,J13%)),Validation!$N$5)</f>
        <v>0.73529411764705888</v>
      </c>
      <c r="L13" s="8">
        <f>Master!X14</f>
        <v>3</v>
      </c>
      <c r="M13" s="8">
        <f t="shared" ca="1" si="0"/>
        <v>2.2647058823529411</v>
      </c>
      <c r="N13" s="19" t="str">
        <f t="shared" ca="1" si="3"/>
        <v>Achived</v>
      </c>
      <c r="O13" s="23">
        <f t="shared" ca="1" si="4"/>
        <v>3</v>
      </c>
      <c r="P13" s="39" t="str">
        <f>T3</f>
        <v>N</v>
      </c>
      <c r="Q13" s="39">
        <f t="shared" si="5"/>
        <v>4.791666666666667E-2</v>
      </c>
    </row>
    <row r="14" spans="1:21" ht="22.5" thickTop="1" thickBot="1" x14ac:dyDescent="0.4">
      <c r="A14" s="40" t="str">
        <f>R3</f>
        <v>R.EU</v>
      </c>
      <c r="B14" s="40">
        <f ca="1">Master!$AX$1</f>
        <v>45965</v>
      </c>
      <c r="C14" s="6">
        <v>0.25</v>
      </c>
      <c r="D14" s="7">
        <f ca="1">Master!AL15</f>
        <v>4</v>
      </c>
      <c r="E14" s="8">
        <f>Master!J15</f>
        <v>3</v>
      </c>
      <c r="F14" s="9">
        <f t="shared" ca="1" si="1"/>
        <v>0.75</v>
      </c>
      <c r="G14" s="9">
        <f>Master!C15</f>
        <v>1</v>
      </c>
      <c r="H14" s="19">
        <f t="shared" si="2"/>
        <v>825.60000000000014</v>
      </c>
      <c r="I14" s="8">
        <f>IFERROR(((Master!AE15*3600*24)*((Master!Q15/100)/Master!J15)),0)</f>
        <v>275.20000000000005</v>
      </c>
      <c r="J14" s="8">
        <f>Master!Q15</f>
        <v>16</v>
      </c>
      <c r="K14" s="8">
        <f ca="1">(D14*Validation!$M$5/1800)/IF(Validation!$N$5="",(IF(OR(NOT(ISNUMBER(J14)),J14=0),1,J14%)),Validation!$N$5)</f>
        <v>0.98039215686274517</v>
      </c>
      <c r="L14" s="8">
        <f>Master!X15</f>
        <v>3</v>
      </c>
      <c r="M14" s="8">
        <f t="shared" ca="1" si="0"/>
        <v>2.0196078431372548</v>
      </c>
      <c r="N14" s="19" t="str">
        <f t="shared" ca="1" si="3"/>
        <v>Wait</v>
      </c>
      <c r="O14" s="23">
        <f t="shared" ca="1" si="4"/>
        <v>3.6</v>
      </c>
      <c r="P14" s="39" t="str">
        <f>T3</f>
        <v>N</v>
      </c>
      <c r="Q14" s="39">
        <f t="shared" si="5"/>
        <v>5.9722222222222232E-2</v>
      </c>
    </row>
    <row r="15" spans="1:21" ht="22.5" thickTop="1" thickBot="1" x14ac:dyDescent="0.4">
      <c r="A15" s="40" t="str">
        <f>R3</f>
        <v>R.EU</v>
      </c>
      <c r="B15" s="40">
        <f ca="1">Master!$AX$1</f>
        <v>45965</v>
      </c>
      <c r="C15" s="6">
        <v>0.27083333333333298</v>
      </c>
      <c r="D15" s="7">
        <f ca="1">Master!AL16</f>
        <v>5</v>
      </c>
      <c r="E15" s="8">
        <f>Master!J16</f>
        <v>1</v>
      </c>
      <c r="F15" s="9">
        <f t="shared" ca="1" si="1"/>
        <v>0.2</v>
      </c>
      <c r="G15" s="9">
        <f>Master!C16</f>
        <v>1</v>
      </c>
      <c r="H15" s="19">
        <f t="shared" si="2"/>
        <v>373.8</v>
      </c>
      <c r="I15" s="8">
        <f>IFERROR(((Master!AE16*3600*24)*((Master!Q16/100)/Master!J16)),0)</f>
        <v>373.8</v>
      </c>
      <c r="J15" s="8">
        <f>Master!Q16</f>
        <v>7</v>
      </c>
      <c r="K15" s="8">
        <f ca="1">(D15*Validation!$M$5/1800)/IF(Validation!$N$5="",(IF(OR(NOT(ISNUMBER(J15)),J15=0),1,J15%)),Validation!$N$5)</f>
        <v>1.2254901960784315</v>
      </c>
      <c r="L15" s="8">
        <f>Master!X16</f>
        <v>3</v>
      </c>
      <c r="M15" s="8">
        <f t="shared" ca="1" si="0"/>
        <v>1.7745098039215685</v>
      </c>
      <c r="N15" s="19" t="str">
        <f t="shared" ca="1" si="3"/>
        <v>Wait</v>
      </c>
      <c r="O15" s="23">
        <f t="shared" ca="1" si="4"/>
        <v>4.5</v>
      </c>
      <c r="P15" s="39" t="str">
        <f>T3</f>
        <v>N</v>
      </c>
      <c r="Q15" s="39">
        <f t="shared" si="5"/>
        <v>6.1805555555555551E-2</v>
      </c>
    </row>
    <row r="16" spans="1:21" ht="22.5" thickTop="1" thickBot="1" x14ac:dyDescent="0.4">
      <c r="A16" s="40" t="str">
        <f>R3</f>
        <v>R.EU</v>
      </c>
      <c r="B16" s="40">
        <f ca="1">Master!$AX$1</f>
        <v>45965</v>
      </c>
      <c r="C16" s="6">
        <v>0.29166666666666702</v>
      </c>
      <c r="D16" s="7">
        <f ca="1">Master!AL17</f>
        <v>8</v>
      </c>
      <c r="E16" s="8">
        <f>Master!J17</f>
        <v>5</v>
      </c>
      <c r="F16" s="9">
        <f t="shared" ca="1" si="1"/>
        <v>0.625</v>
      </c>
      <c r="G16" s="9">
        <f>Master!C17</f>
        <v>1</v>
      </c>
      <c r="H16" s="19">
        <f t="shared" si="2"/>
        <v>1388.4</v>
      </c>
      <c r="I16" s="8">
        <f>IFERROR(((Master!AE17*3600*24)*((Master!Q17/100)/Master!J17)),0)</f>
        <v>277.68</v>
      </c>
      <c r="J16" s="8">
        <f>Master!Q17</f>
        <v>26</v>
      </c>
      <c r="K16" s="8">
        <f ca="1">(D16*Validation!$M$5/1800)/IF(Validation!$N$5="",(IF(OR(NOT(ISNUMBER(J16)),J16=0),1,J16%)),Validation!$N$5)</f>
        <v>1.9607843137254903</v>
      </c>
      <c r="L16" s="8">
        <f>Master!X17</f>
        <v>3</v>
      </c>
      <c r="M16" s="8">
        <f t="shared" ca="1" si="0"/>
        <v>1.0392156862745097</v>
      </c>
      <c r="N16" s="19" t="str">
        <f t="shared" ca="1" si="3"/>
        <v>Wait</v>
      </c>
      <c r="O16" s="23">
        <f t="shared" ca="1" si="4"/>
        <v>7.2</v>
      </c>
      <c r="P16" s="39" t="str">
        <f>T3</f>
        <v>N</v>
      </c>
      <c r="Q16" s="39">
        <f t="shared" si="5"/>
        <v>6.1805555555555558E-2</v>
      </c>
    </row>
    <row r="17" spans="1:17" ht="22.5" thickTop="1" thickBot="1" x14ac:dyDescent="0.4">
      <c r="A17" s="40" t="str">
        <f>R3</f>
        <v>R.EU</v>
      </c>
      <c r="B17" s="40">
        <f ca="1">Master!$AX$1</f>
        <v>45965</v>
      </c>
      <c r="C17" s="6">
        <v>0.3125</v>
      </c>
      <c r="D17" s="7">
        <f ca="1">Master!AL18</f>
        <v>9</v>
      </c>
      <c r="E17" s="8">
        <f>Master!J18</f>
        <v>3</v>
      </c>
      <c r="F17" s="9">
        <f t="shared" ca="1" si="1"/>
        <v>0.33333333333333331</v>
      </c>
      <c r="G17" s="9">
        <f>Master!C18</f>
        <v>1</v>
      </c>
      <c r="H17" s="19">
        <f t="shared" si="2"/>
        <v>2112.0000000000005</v>
      </c>
      <c r="I17" s="8">
        <f>IFERROR(((Master!AE18*3600*24)*((Master!Q18/100)/Master!J18)),0)</f>
        <v>704.00000000000011</v>
      </c>
      <c r="J17" s="8">
        <f>Master!Q18</f>
        <v>40</v>
      </c>
      <c r="K17" s="8">
        <f ca="1">(D17*Validation!$M$5/1800)/IF(Validation!$N$5="",(IF(OR(NOT(ISNUMBER(J17)),J17=0),1,J17%)),Validation!$N$5)</f>
        <v>2.2058823529411766</v>
      </c>
      <c r="L17" s="8">
        <f>Master!X18</f>
        <v>3</v>
      </c>
      <c r="M17" s="8">
        <f t="shared" ca="1" si="0"/>
        <v>0.79411764705882337</v>
      </c>
      <c r="N17" s="19" t="str">
        <f t="shared" ca="1" si="3"/>
        <v>Wait</v>
      </c>
      <c r="O17" s="23">
        <f t="shared" ca="1" si="4"/>
        <v>8.1</v>
      </c>
      <c r="P17" s="39" t="str">
        <f>T3</f>
        <v>N</v>
      </c>
      <c r="Q17" s="39">
        <f t="shared" si="5"/>
        <v>6.1111111111111123E-2</v>
      </c>
    </row>
    <row r="18" spans="1:17" ht="22.5" thickTop="1" thickBot="1" x14ac:dyDescent="0.4">
      <c r="A18" s="40" t="str">
        <f>R3</f>
        <v>R.EU</v>
      </c>
      <c r="B18" s="40">
        <f ca="1">Master!$AX$1</f>
        <v>45965</v>
      </c>
      <c r="C18" s="6">
        <v>0.33333333333333298</v>
      </c>
      <c r="D18" s="7">
        <f ca="1">Master!AL19</f>
        <v>14</v>
      </c>
      <c r="E18" s="8">
        <f>Master!J19</f>
        <v>6</v>
      </c>
      <c r="F18" s="9">
        <f t="shared" ca="1" si="1"/>
        <v>0.42857142857142855</v>
      </c>
      <c r="G18" s="9">
        <f>Master!C19</f>
        <v>1</v>
      </c>
      <c r="H18" s="19">
        <f t="shared" si="2"/>
        <v>1742.4</v>
      </c>
      <c r="I18" s="8">
        <f>IFERROR(((Master!AE19*3600*24)*((Master!Q19/100)/Master!J19)),0)</f>
        <v>290.40000000000003</v>
      </c>
      <c r="J18" s="8">
        <f>Master!Q19</f>
        <v>33</v>
      </c>
      <c r="K18" s="8">
        <f ca="1">(D18*Validation!$M$5/1800)/IF(Validation!$N$5="",(IF(OR(NOT(ISNUMBER(J18)),J18=0),1,J18%)),Validation!$N$5)</f>
        <v>3.4313725490196076</v>
      </c>
      <c r="L18" s="8">
        <f>Master!X19</f>
        <v>3</v>
      </c>
      <c r="M18" s="8">
        <f t="shared" ca="1" si="0"/>
        <v>-0.43137254901960764</v>
      </c>
      <c r="N18" s="19" t="str">
        <f t="shared" ca="1" si="3"/>
        <v>Wait</v>
      </c>
      <c r="O18" s="23">
        <f t="shared" ca="1" si="4"/>
        <v>12.6</v>
      </c>
      <c r="P18" s="39" t="str">
        <f>T3</f>
        <v>N</v>
      </c>
      <c r="Q18" s="39">
        <f t="shared" si="5"/>
        <v>6.1111111111111116E-2</v>
      </c>
    </row>
    <row r="19" spans="1:17" ht="22.5" thickTop="1" thickBot="1" x14ac:dyDescent="0.4">
      <c r="A19" s="40" t="str">
        <f>R3</f>
        <v>R.EU</v>
      </c>
      <c r="B19" s="40">
        <f ca="1">Master!$AX$1</f>
        <v>45965</v>
      </c>
      <c r="C19" s="6">
        <v>0.35416666666666702</v>
      </c>
      <c r="D19" s="7">
        <f ca="1">Master!AL20</f>
        <v>14</v>
      </c>
      <c r="E19" s="8">
        <f>Master!J20</f>
        <v>10</v>
      </c>
      <c r="F19" s="9">
        <f t="shared" ca="1" si="1"/>
        <v>0.7142857142857143</v>
      </c>
      <c r="G19" s="9">
        <f>Master!C20</f>
        <v>0.9</v>
      </c>
      <c r="H19" s="19">
        <f t="shared" si="2"/>
        <v>2494.8000000000002</v>
      </c>
      <c r="I19" s="8">
        <f>IFERROR(((Master!AE20*3600*24)*((Master!Q20/100)/Master!J20)),0)</f>
        <v>249.48000000000002</v>
      </c>
      <c r="J19" s="8">
        <f>Master!Q20</f>
        <v>54</v>
      </c>
      <c r="K19" s="8">
        <f ca="1">(D19*Validation!$M$5/1800)/IF(Validation!$N$5="",(IF(OR(NOT(ISNUMBER(J19)),J19=0),1,J19%)),Validation!$N$5)</f>
        <v>3.4313725490196076</v>
      </c>
      <c r="L19" s="8">
        <f>Master!X20</f>
        <v>3</v>
      </c>
      <c r="M19" s="8">
        <f t="shared" ca="1" si="0"/>
        <v>-0.43137254901960764</v>
      </c>
      <c r="N19" s="19" t="str">
        <f t="shared" ca="1" si="3"/>
        <v>Wait</v>
      </c>
      <c r="O19" s="23">
        <f t="shared" ca="1" si="4"/>
        <v>12.6</v>
      </c>
      <c r="P19" s="39" t="str">
        <f>T3</f>
        <v>N</v>
      </c>
      <c r="Q19" s="39">
        <f t="shared" si="5"/>
        <v>5.3472222222222227E-2</v>
      </c>
    </row>
    <row r="20" spans="1:17" ht="22.5" customHeight="1" thickTop="1" thickBot="1" x14ac:dyDescent="0.4">
      <c r="A20" s="40" t="str">
        <f>R3</f>
        <v>R.EU</v>
      </c>
      <c r="B20" s="40">
        <f ca="1">Master!$AX$1</f>
        <v>45965</v>
      </c>
      <c r="C20" s="6">
        <v>0.375</v>
      </c>
      <c r="D20" s="7">
        <f ca="1">Master!AL21</f>
        <v>21</v>
      </c>
      <c r="E20" s="8">
        <f>Master!J21</f>
        <v>12</v>
      </c>
      <c r="F20" s="9">
        <f t="shared" ca="1" si="1"/>
        <v>0.5714285714285714</v>
      </c>
      <c r="G20" s="9">
        <f>Master!C21</f>
        <v>0.76</v>
      </c>
      <c r="H20" s="19">
        <f t="shared" si="2"/>
        <v>4106.3999999999996</v>
      </c>
      <c r="I20" s="8">
        <f>IFERROR(((Master!AE21*3600*24)*((Master!Q21/100)/Master!J21)),0)</f>
        <v>342.2</v>
      </c>
      <c r="J20" s="8">
        <f>Master!Q21</f>
        <v>59</v>
      </c>
      <c r="K20" s="8">
        <f ca="1">(D20*Validation!$M$5/1800)/IF(Validation!$N$5="",(IF(OR(NOT(ISNUMBER(J20)),J20=0),1,J20%)),Validation!$N$5)</f>
        <v>5.1470588235294121</v>
      </c>
      <c r="L20" s="8">
        <f>Master!X21</f>
        <v>5</v>
      </c>
      <c r="M20" s="8">
        <f t="shared" ca="1" si="0"/>
        <v>-0.14705882352941213</v>
      </c>
      <c r="N20" s="19" t="str">
        <f t="shared" ca="1" si="3"/>
        <v>Wait</v>
      </c>
      <c r="O20" s="23">
        <f t="shared" ca="1" si="4"/>
        <v>18.900000000000002</v>
      </c>
      <c r="P20" s="39" t="str">
        <f>T3</f>
        <v>N</v>
      </c>
      <c r="Q20" s="39">
        <f t="shared" si="5"/>
        <v>8.0555555555555547E-2</v>
      </c>
    </row>
    <row r="21" spans="1:17" ht="22.5" customHeight="1" thickTop="1" thickBot="1" x14ac:dyDescent="0.4">
      <c r="A21" s="40" t="str">
        <f>R3</f>
        <v>R.EU</v>
      </c>
      <c r="B21" s="40">
        <f ca="1">Master!$AX$1</f>
        <v>45965</v>
      </c>
      <c r="C21" s="6">
        <v>0.39583333333333298</v>
      </c>
      <c r="D21" s="7">
        <f ca="1">Master!AL22</f>
        <v>19</v>
      </c>
      <c r="E21" s="8">
        <f>Master!J22</f>
        <v>9</v>
      </c>
      <c r="F21" s="9">
        <f t="shared" ca="1" si="1"/>
        <v>0.47368421052631576</v>
      </c>
      <c r="G21" s="9">
        <f>Master!C22</f>
        <v>1</v>
      </c>
      <c r="H21" s="19">
        <f t="shared" si="2"/>
        <v>3236.3999999999996</v>
      </c>
      <c r="I21" s="8">
        <f>IFERROR(((Master!AE22*3600*24)*((Master!Q22/100)/Master!J23)),0)</f>
        <v>359.59999999999997</v>
      </c>
      <c r="J21" s="8">
        <f>Master!Q22</f>
        <v>58</v>
      </c>
      <c r="K21" s="8">
        <f ca="1">(D21*Validation!$M$5/1800)/IF(Validation!$N$5="",(IF(OR(NOT(ISNUMBER(J21)),J21=0),1,J21%)),Validation!$N$5)</f>
        <v>4.6568627450980395</v>
      </c>
      <c r="L21" s="8">
        <f>Master!X22</f>
        <v>6</v>
      </c>
      <c r="M21" s="8">
        <f t="shared" ca="1" si="0"/>
        <v>1.3431372549019605</v>
      </c>
      <c r="N21" s="19" t="str">
        <f t="shared" ca="1" si="3"/>
        <v>Wait</v>
      </c>
      <c r="O21" s="23">
        <f t="shared" ca="1" si="4"/>
        <v>17.100000000000001</v>
      </c>
      <c r="P21" s="39" t="str">
        <f>T3</f>
        <v>N</v>
      </c>
      <c r="Q21" s="39">
        <f t="shared" si="5"/>
        <v>6.4583333333333326E-2</v>
      </c>
    </row>
    <row r="22" spans="1:17" ht="22.5" thickTop="1" thickBot="1" x14ac:dyDescent="0.4">
      <c r="A22" s="40" t="str">
        <f>R3</f>
        <v>R.EU</v>
      </c>
      <c r="B22" s="40">
        <f ca="1">Master!$AX$1</f>
        <v>45965</v>
      </c>
      <c r="C22" s="6">
        <v>0.41666666666666702</v>
      </c>
      <c r="D22" s="7">
        <f ca="1">Master!AL23</f>
        <v>19</v>
      </c>
      <c r="E22" s="8">
        <f>Master!J23</f>
        <v>15</v>
      </c>
      <c r="F22" s="9">
        <f t="shared" ca="1" si="1"/>
        <v>0.78947368421052633</v>
      </c>
      <c r="G22" s="9">
        <f>Master!C23</f>
        <v>0.86</v>
      </c>
      <c r="H22" s="19">
        <f t="shared" si="2"/>
        <v>0</v>
      </c>
      <c r="I22" s="8">
        <f>IFERROR(((Master!AE23*3600*24)*((Master!Q23/100)/Master!#REF!)),0)</f>
        <v>0</v>
      </c>
      <c r="J22" s="8">
        <f>Master!Q23</f>
        <v>68</v>
      </c>
      <c r="K22" s="8">
        <f ca="1">(D22*Validation!$M$5/1800)/IF(Validation!$N$5="",(IF(OR(NOT(ISNUMBER(J22)),J22=0),1,J22%)),Validation!$N$5)</f>
        <v>4.6568627450980395</v>
      </c>
      <c r="L22" s="8">
        <f>Master!X23</f>
        <v>6</v>
      </c>
      <c r="M22" s="8">
        <f t="shared" ca="1" si="0"/>
        <v>1.3431372549019605</v>
      </c>
      <c r="N22" s="19" t="str">
        <f t="shared" ca="1" si="3"/>
        <v>Wait</v>
      </c>
      <c r="O22" s="23">
        <f t="shared" ca="1" si="4"/>
        <v>17.100000000000001</v>
      </c>
      <c r="P22" s="39" t="str">
        <f>T3</f>
        <v>N</v>
      </c>
      <c r="Q22" s="39">
        <f t="shared" si="5"/>
        <v>0</v>
      </c>
    </row>
    <row r="23" spans="1:17" ht="22.5" thickTop="1" thickBot="1" x14ac:dyDescent="0.4">
      <c r="A23" s="40" t="str">
        <f>R3</f>
        <v>R.EU</v>
      </c>
      <c r="B23" s="40">
        <f ca="1">Master!$AX$1</f>
        <v>45965</v>
      </c>
      <c r="C23" s="6">
        <v>0.4375</v>
      </c>
      <c r="D23" s="7">
        <f ca="1">Master!AL24</f>
        <v>20</v>
      </c>
      <c r="E23" s="8">
        <f>Master!J24</f>
        <v>16</v>
      </c>
      <c r="F23" s="9">
        <f t="shared" ca="1" si="1"/>
        <v>0.8</v>
      </c>
      <c r="G23" s="9">
        <f>Master!C24</f>
        <v>1</v>
      </c>
      <c r="H23" s="19">
        <f t="shared" si="2"/>
        <v>8486.4</v>
      </c>
      <c r="I23" s="8">
        <f>IFERROR(((Master!AE24*3600*24)*((Master!Q24/100)/Master!J24)),0)</f>
        <v>530.4</v>
      </c>
      <c r="J23" s="8">
        <f>Master!Q24</f>
        <v>64</v>
      </c>
      <c r="K23" s="8">
        <f ca="1">(D23*Validation!$M$5/1800)/IF(Validation!$N$5="",(IF(OR(NOT(ISNUMBER(J23)),J23=0),1,J23%)),Validation!$N$5)</f>
        <v>4.9019607843137258</v>
      </c>
      <c r="L23" s="8">
        <f>Master!X24</f>
        <v>8</v>
      </c>
      <c r="M23" s="8">
        <f t="shared" ca="1" si="0"/>
        <v>3.0980392156862742</v>
      </c>
      <c r="N23" s="19" t="str">
        <f t="shared" ca="1" si="3"/>
        <v>Wait</v>
      </c>
      <c r="O23" s="23">
        <f t="shared" ca="1" si="4"/>
        <v>18</v>
      </c>
      <c r="P23" s="39" t="str">
        <f>T3</f>
        <v>N</v>
      </c>
      <c r="Q23" s="39">
        <f t="shared" si="5"/>
        <v>0.1534722222222222</v>
      </c>
    </row>
    <row r="24" spans="1:17" ht="22.5" thickTop="1" thickBot="1" x14ac:dyDescent="0.4">
      <c r="A24" s="40" t="str">
        <f>R3</f>
        <v>R.EU</v>
      </c>
      <c r="B24" s="40">
        <f ca="1">Master!$AX$1</f>
        <v>45965</v>
      </c>
      <c r="C24" s="6">
        <v>0.45833333333333298</v>
      </c>
      <c r="D24" s="7">
        <f ca="1">Master!AL25</f>
        <v>22</v>
      </c>
      <c r="E24" s="8">
        <f>Master!J25</f>
        <v>22</v>
      </c>
      <c r="F24" s="9">
        <f t="shared" ca="1" si="1"/>
        <v>1</v>
      </c>
      <c r="G24" s="9">
        <f>Master!C25</f>
        <v>0.81</v>
      </c>
      <c r="H24" s="19">
        <f t="shared" si="2"/>
        <v>12101.399999999996</v>
      </c>
      <c r="I24" s="8">
        <f>IFERROR(((Master!AE25*3600*24)*((Master!Q25/100)/Master!J25)),0)</f>
        <v>550.06363636363619</v>
      </c>
      <c r="J24" s="8">
        <f>Master!Q25</f>
        <v>83</v>
      </c>
      <c r="K24" s="8">
        <f ca="1">(D24*Validation!$M$5/1800)/IF(Validation!$N$5="",(IF(OR(NOT(ISNUMBER(J24)),J24=0),1,J24%)),Validation!$N$5)</f>
        <v>5.3921568627450975</v>
      </c>
      <c r="L24" s="8">
        <f>Master!X25</f>
        <v>9</v>
      </c>
      <c r="M24" s="8">
        <f t="shared" ca="1" si="0"/>
        <v>3.6078431372549025</v>
      </c>
      <c r="N24" s="19" t="str">
        <f t="shared" ca="1" si="3"/>
        <v>Achived</v>
      </c>
      <c r="O24" s="23">
        <f t="shared" ca="1" si="4"/>
        <v>22</v>
      </c>
      <c r="P24" s="39" t="str">
        <f>T3</f>
        <v>N</v>
      </c>
      <c r="Q24" s="39">
        <f t="shared" si="5"/>
        <v>0.16874999999999996</v>
      </c>
    </row>
    <row r="25" spans="1:17" ht="22.5" thickTop="1" thickBot="1" x14ac:dyDescent="0.4">
      <c r="A25" s="40" t="str">
        <f>R3</f>
        <v>R.EU</v>
      </c>
      <c r="B25" s="40">
        <f ca="1">Master!$AX$1</f>
        <v>45965</v>
      </c>
      <c r="C25" s="6">
        <v>0.47916666666666702</v>
      </c>
      <c r="D25" s="7">
        <f ca="1">Master!AL26</f>
        <v>22</v>
      </c>
      <c r="E25" s="8">
        <f>Master!J26</f>
        <v>17</v>
      </c>
      <c r="F25" s="9">
        <f t="shared" ca="1" si="1"/>
        <v>0.77272727272727271</v>
      </c>
      <c r="G25" s="9">
        <f>Master!C26</f>
        <v>0.94</v>
      </c>
      <c r="H25" s="19">
        <f t="shared" si="2"/>
        <v>11944.800000000003</v>
      </c>
      <c r="I25" s="8">
        <f>IFERROR(((Master!AE26*3600*24)*((Master!Q26/100)/Master!J26)),0)</f>
        <v>702.63529411764728</v>
      </c>
      <c r="J25" s="8">
        <f>Master!Q26</f>
        <v>79</v>
      </c>
      <c r="K25" s="8">
        <f ca="1">(D25*Validation!$M$5/1800)/IF(Validation!$N$5="",(IF(OR(NOT(ISNUMBER(J25)),J25=0),1,J25%)),Validation!$N$5)</f>
        <v>5.3921568627450975</v>
      </c>
      <c r="L25" s="8">
        <f>Master!X26</f>
        <v>8</v>
      </c>
      <c r="M25" s="8">
        <f t="shared" ca="1" si="0"/>
        <v>2.6078431372549025</v>
      </c>
      <c r="N25" s="19" t="str">
        <f t="shared" ca="1" si="3"/>
        <v>Wait</v>
      </c>
      <c r="O25" s="23">
        <f t="shared" ca="1" si="4"/>
        <v>19.8</v>
      </c>
      <c r="P25" s="39" t="str">
        <f>T3</f>
        <v>N</v>
      </c>
      <c r="Q25" s="39">
        <f t="shared" si="5"/>
        <v>0.17500000000000004</v>
      </c>
    </row>
    <row r="26" spans="1:17" ht="22.5" thickTop="1" thickBot="1" x14ac:dyDescent="0.4">
      <c r="A26" s="40" t="str">
        <f>R3</f>
        <v>R.EU</v>
      </c>
      <c r="B26" s="40">
        <f ca="1">Master!$AX$1</f>
        <v>45965</v>
      </c>
      <c r="C26" s="6">
        <v>0.5</v>
      </c>
      <c r="D26" s="7">
        <f ca="1">Master!AL27</f>
        <v>22</v>
      </c>
      <c r="E26" s="8">
        <f>Master!J27</f>
        <v>16</v>
      </c>
      <c r="F26" s="9">
        <f t="shared" ca="1" si="1"/>
        <v>0.72727272727272729</v>
      </c>
      <c r="G26" s="9">
        <f>Master!C27</f>
        <v>0.82</v>
      </c>
      <c r="H26" s="19">
        <f t="shared" si="2"/>
        <v>11005.8</v>
      </c>
      <c r="I26" s="8">
        <f>IFERROR(((Master!AE27*3600*24)*((Master!Q27/100)/Master!J27)),0)</f>
        <v>687.86249999999995</v>
      </c>
      <c r="J26" s="8">
        <f>Master!Q27</f>
        <v>83</v>
      </c>
      <c r="K26" s="8">
        <f ca="1">(D26*Validation!$M$5/1800)/IF(Validation!$N$5="",(IF(OR(NOT(ISNUMBER(J26)),J26=0),1,J26%)),Validation!$N$5)</f>
        <v>5.3921568627450975</v>
      </c>
      <c r="L26" s="8">
        <f>Master!X27</f>
        <v>7</v>
      </c>
      <c r="M26" s="8">
        <f t="shared" ca="1" si="0"/>
        <v>1.6078431372549025</v>
      </c>
      <c r="N26" s="19" t="str">
        <f t="shared" ca="1" si="3"/>
        <v>Wait</v>
      </c>
      <c r="O26" s="23">
        <f t="shared" ca="1" si="4"/>
        <v>19.8</v>
      </c>
      <c r="P26" s="39" t="str">
        <f>T3</f>
        <v>N</v>
      </c>
      <c r="Q26" s="39">
        <f t="shared" si="5"/>
        <v>0.1534722222222222</v>
      </c>
    </row>
    <row r="27" spans="1:17" ht="22.5" thickTop="1" thickBot="1" x14ac:dyDescent="0.4">
      <c r="A27" s="40" t="str">
        <f>R3</f>
        <v>R.EU</v>
      </c>
      <c r="B27" s="40">
        <f ca="1">Master!$AX$1</f>
        <v>45965</v>
      </c>
      <c r="C27" s="6">
        <v>0.52083333333333304</v>
      </c>
      <c r="D27" s="7">
        <f ca="1">Master!AL28</f>
        <v>28</v>
      </c>
      <c r="E27" s="8">
        <f>Master!J28</f>
        <v>18</v>
      </c>
      <c r="F27" s="9">
        <f t="shared" ca="1" si="1"/>
        <v>0.6428571428571429</v>
      </c>
      <c r="G27" s="9">
        <f>Master!C28</f>
        <v>0.75</v>
      </c>
      <c r="H27" s="19">
        <f t="shared" si="2"/>
        <v>9302.4000000000015</v>
      </c>
      <c r="I27" s="8">
        <f>IFERROR(((Master!AE28*3600*24)*((Master!Q28/100)/Master!J28)),0)</f>
        <v>516.80000000000007</v>
      </c>
      <c r="J27" s="8">
        <f>Master!Q28</f>
        <v>76</v>
      </c>
      <c r="K27" s="8">
        <f ca="1">(D27*Validation!$M$5/1800)/IF(Validation!$N$5="",(IF(OR(NOT(ISNUMBER(J27)),J27=0),1,J27%)),Validation!$N$5)</f>
        <v>6.8627450980392153</v>
      </c>
      <c r="L27" s="8">
        <f>Master!X28</f>
        <v>6</v>
      </c>
      <c r="M27" s="8">
        <f t="shared" ca="1" si="0"/>
        <v>-0.86274509803921529</v>
      </c>
      <c r="N27" s="19" t="str">
        <f t="shared" ca="1" si="3"/>
        <v>Wait</v>
      </c>
      <c r="O27" s="23">
        <f t="shared" ca="1" si="4"/>
        <v>25.2</v>
      </c>
      <c r="P27" s="39" t="str">
        <f>T3</f>
        <v>N</v>
      </c>
      <c r="Q27" s="39">
        <f t="shared" si="5"/>
        <v>0.14166666666666669</v>
      </c>
    </row>
    <row r="28" spans="1:17" ht="22.5" thickTop="1" thickBot="1" x14ac:dyDescent="0.4">
      <c r="A28" s="40" t="str">
        <f>R3</f>
        <v>R.EU</v>
      </c>
      <c r="B28" s="40">
        <f ca="1">Master!$AX$1</f>
        <v>45965</v>
      </c>
      <c r="C28" s="6">
        <v>0.54166666666666696</v>
      </c>
      <c r="D28" s="7">
        <f ca="1">Master!AL29</f>
        <v>21</v>
      </c>
      <c r="E28" s="8">
        <f>Master!J29</f>
        <v>15</v>
      </c>
      <c r="F28" s="9">
        <f t="shared" ca="1" si="1"/>
        <v>0.7142857142857143</v>
      </c>
      <c r="G28" s="9">
        <f>Master!C29</f>
        <v>0.62</v>
      </c>
      <c r="H28" s="19">
        <f t="shared" si="2"/>
        <v>7632</v>
      </c>
      <c r="I28" s="8">
        <f>IFERROR(((Master!AE29*3600*24)*((Master!Q29/100)/Master!J29)),0)</f>
        <v>508.8</v>
      </c>
      <c r="J28" s="8">
        <f>Master!Q29</f>
        <v>60</v>
      </c>
      <c r="K28" s="8">
        <f ca="1">(D28*Validation!$M$5/1800)/IF(Validation!$N$5="",(IF(OR(NOT(ISNUMBER(J28)),J28=0),1,J28%)),Validation!$N$5)</f>
        <v>5.1470588235294121</v>
      </c>
      <c r="L28" s="8">
        <f>Master!X29</f>
        <v>8</v>
      </c>
      <c r="M28" s="8">
        <f t="shared" ca="1" si="0"/>
        <v>2.8529411764705879</v>
      </c>
      <c r="N28" s="19" t="str">
        <f t="shared" ca="1" si="3"/>
        <v>Lost</v>
      </c>
      <c r="O28" s="23">
        <f t="shared" ca="1" si="4"/>
        <v>15</v>
      </c>
      <c r="P28" s="39" t="str">
        <f>T3</f>
        <v>N</v>
      </c>
      <c r="Q28" s="39">
        <f t="shared" si="5"/>
        <v>0.14722222222222223</v>
      </c>
    </row>
    <row r="29" spans="1:17" ht="22.5" thickTop="1" thickBot="1" x14ac:dyDescent="0.4">
      <c r="A29" s="40" t="str">
        <f>R3</f>
        <v>R.EU</v>
      </c>
      <c r="B29" s="40">
        <f ca="1">Master!$AX$1</f>
        <v>45965</v>
      </c>
      <c r="C29" s="6">
        <v>0.5625</v>
      </c>
      <c r="D29" s="7">
        <f ca="1">Master!AL30</f>
        <v>27</v>
      </c>
      <c r="E29" s="8">
        <f>Master!J30</f>
        <v>21</v>
      </c>
      <c r="F29" s="9">
        <f t="shared" ca="1" si="1"/>
        <v>0.77777777777777779</v>
      </c>
      <c r="G29" s="9">
        <f>Master!C30</f>
        <v>0.95</v>
      </c>
      <c r="H29" s="19">
        <f t="shared" si="2"/>
        <v>10611.599999999999</v>
      </c>
      <c r="I29" s="8">
        <f>IFERROR(((Master!AE30*3600*24)*((Master!Q30/100)/Master!J30)),0)</f>
        <v>505.31428571428569</v>
      </c>
      <c r="J29" s="8">
        <f>Master!Q30</f>
        <v>74</v>
      </c>
      <c r="K29" s="8">
        <f ca="1">(D29*Validation!$M$5/1800)/IF(Validation!$N$5="",(IF(OR(NOT(ISNUMBER(J29)),J29=0),1,J29%)),Validation!$N$5)</f>
        <v>6.6176470588235299</v>
      </c>
      <c r="L29" s="8">
        <f>Master!X30</f>
        <v>8</v>
      </c>
      <c r="M29" s="8">
        <f t="shared" ca="1" si="0"/>
        <v>1.3823529411764701</v>
      </c>
      <c r="N29" s="19" t="str">
        <f t="shared" ca="1" si="3"/>
        <v>Wait</v>
      </c>
      <c r="O29" s="23">
        <f t="shared" ca="1" si="4"/>
        <v>24.3</v>
      </c>
      <c r="P29" s="39" t="str">
        <f>T3</f>
        <v>N</v>
      </c>
      <c r="Q29" s="39">
        <f t="shared" si="5"/>
        <v>0.16597222222222219</v>
      </c>
    </row>
    <row r="30" spans="1:17" ht="22.5" thickTop="1" thickBot="1" x14ac:dyDescent="0.4">
      <c r="A30" s="40" t="str">
        <f>R3</f>
        <v>R.EU</v>
      </c>
      <c r="B30" s="40">
        <f ca="1">Master!$AX$1</f>
        <v>45965</v>
      </c>
      <c r="C30" s="6">
        <v>0.58333333333333304</v>
      </c>
      <c r="D30" s="7">
        <f ca="1">Master!AL31</f>
        <v>28</v>
      </c>
      <c r="E30" s="8">
        <f>Master!J31</f>
        <v>22</v>
      </c>
      <c r="F30" s="9">
        <f t="shared" ca="1" si="1"/>
        <v>0.7857142857142857</v>
      </c>
      <c r="G30" s="9">
        <f>Master!C31</f>
        <v>0.6</v>
      </c>
      <c r="H30" s="19">
        <f t="shared" si="2"/>
        <v>11615.400000000001</v>
      </c>
      <c r="I30" s="8">
        <f>IFERROR(((Master!AE31*3600*24)*((Master!Q31/100)/Master!J31)),0)</f>
        <v>527.9727272727273</v>
      </c>
      <c r="J30" s="8">
        <f>Master!Q31</f>
        <v>81</v>
      </c>
      <c r="K30" s="8">
        <f ca="1">(D30*Validation!$M$5/1800)/IF(Validation!$N$5="",(IF(OR(NOT(ISNUMBER(J30)),J30=0),1,J30%)),Validation!$N$5)</f>
        <v>6.8627450980392153</v>
      </c>
      <c r="L30" s="8">
        <f>Master!X31</f>
        <v>8</v>
      </c>
      <c r="M30" s="8">
        <f t="shared" ca="1" si="0"/>
        <v>1.1372549019607847</v>
      </c>
      <c r="N30" s="19" t="str">
        <f t="shared" ca="1" si="3"/>
        <v>Lost</v>
      </c>
      <c r="O30" s="23">
        <f t="shared" ca="1" si="4"/>
        <v>22</v>
      </c>
      <c r="P30" s="39" t="str">
        <f>T3</f>
        <v>N</v>
      </c>
      <c r="Q30" s="39">
        <f t="shared" si="5"/>
        <v>0.16597222222222224</v>
      </c>
    </row>
    <row r="31" spans="1:17" ht="22.5" thickTop="1" thickBot="1" x14ac:dyDescent="0.4">
      <c r="A31" s="40" t="str">
        <f>R3</f>
        <v>R.EU</v>
      </c>
      <c r="B31" s="40">
        <f ca="1">Master!$AX$1</f>
        <v>45965</v>
      </c>
      <c r="C31" s="6">
        <v>0.60416666666666696</v>
      </c>
      <c r="D31" s="7">
        <f ca="1">Master!AL32</f>
        <v>25</v>
      </c>
      <c r="E31" s="8">
        <f>Master!J32</f>
        <v>15</v>
      </c>
      <c r="F31" s="9">
        <f t="shared" ca="1" si="1"/>
        <v>0.6</v>
      </c>
      <c r="G31" s="9">
        <f>Master!C32</f>
        <v>0.87</v>
      </c>
      <c r="H31" s="19">
        <f t="shared" si="2"/>
        <v>12648.000000000002</v>
      </c>
      <c r="I31" s="8">
        <f>IFERROR(((Master!AE32*3600*24)*((Master!Q32/100)/Master!J32)),0)</f>
        <v>843.20000000000016</v>
      </c>
      <c r="J31" s="8">
        <f>Master!Q32</f>
        <v>85</v>
      </c>
      <c r="K31" s="8">
        <f ca="1">(D31*Validation!$M$5/1800)/IF(Validation!$N$5="",(IF(OR(NOT(ISNUMBER(J31)),J31=0),1,J31%)),Validation!$N$5)</f>
        <v>6.1274509803921564</v>
      </c>
      <c r="L31" s="8">
        <f>Master!X32</f>
        <v>9</v>
      </c>
      <c r="M31" s="8">
        <f t="shared" ca="1" si="0"/>
        <v>2.8725490196078436</v>
      </c>
      <c r="N31" s="19" t="str">
        <f t="shared" ca="1" si="3"/>
        <v>Wait</v>
      </c>
      <c r="O31" s="23">
        <f t="shared" ca="1" si="4"/>
        <v>22.5</v>
      </c>
      <c r="P31" s="39" t="str">
        <f>T3</f>
        <v>N</v>
      </c>
      <c r="Q31" s="39">
        <f t="shared" si="5"/>
        <v>0.17222222222222225</v>
      </c>
    </row>
    <row r="32" spans="1:17" ht="22.5" thickTop="1" thickBot="1" x14ac:dyDescent="0.4">
      <c r="A32" s="40" t="str">
        <f>R3</f>
        <v>R.EU</v>
      </c>
      <c r="B32" s="40">
        <f ca="1">Master!$AX$1</f>
        <v>45965</v>
      </c>
      <c r="C32" s="6">
        <v>0.625</v>
      </c>
      <c r="D32" s="7">
        <f ca="1">Master!AL33</f>
        <v>23</v>
      </c>
      <c r="E32" s="8">
        <f>Master!J33</f>
        <v>18</v>
      </c>
      <c r="F32" s="9">
        <f t="shared" ca="1" si="1"/>
        <v>0.78260869565217395</v>
      </c>
      <c r="G32" s="9">
        <f>Master!C33</f>
        <v>0.38</v>
      </c>
      <c r="H32" s="19">
        <f t="shared" si="2"/>
        <v>11668.8</v>
      </c>
      <c r="I32" s="8">
        <f>IFERROR(((Master!AE33*3600*24)*((Master!Q33/100)/Master!J33)),0)</f>
        <v>648.26666666666665</v>
      </c>
      <c r="J32" s="8">
        <f>Master!Q33</f>
        <v>88</v>
      </c>
      <c r="K32" s="8">
        <f ca="1">(D32*Validation!$M$5/1800)/IF(Validation!$N$5="",(IF(OR(NOT(ISNUMBER(J32)),J32=0),1,J32%)),Validation!$N$5)</f>
        <v>5.6372549019607847</v>
      </c>
      <c r="L32" s="8">
        <f>Master!X33</f>
        <v>8</v>
      </c>
      <c r="M32" s="8">
        <f t="shared" ca="1" si="0"/>
        <v>2.3627450980392153</v>
      </c>
      <c r="N32" s="19" t="str">
        <f t="shared" ca="1" si="3"/>
        <v>Lost</v>
      </c>
      <c r="O32" s="23">
        <f t="shared" ca="1" si="4"/>
        <v>18</v>
      </c>
      <c r="P32" s="39" t="str">
        <f>T3</f>
        <v>N</v>
      </c>
      <c r="Q32" s="39">
        <f t="shared" si="5"/>
        <v>0.1534722222222222</v>
      </c>
    </row>
    <row r="33" spans="1:17" ht="22.5" thickTop="1" thickBot="1" x14ac:dyDescent="0.4">
      <c r="A33" s="40" t="str">
        <f>R3</f>
        <v>R.EU</v>
      </c>
      <c r="B33" s="40">
        <f ca="1">Master!$AX$1</f>
        <v>45965</v>
      </c>
      <c r="C33" s="6">
        <v>0.64583333333333304</v>
      </c>
      <c r="D33" s="7">
        <f ca="1">Master!AL34</f>
        <v>23</v>
      </c>
      <c r="E33" s="8">
        <f>Master!J34</f>
        <v>18</v>
      </c>
      <c r="F33" s="9">
        <f t="shared" ca="1" si="1"/>
        <v>0.78260869565217395</v>
      </c>
      <c r="G33" s="9">
        <f>Master!C34</f>
        <v>1</v>
      </c>
      <c r="H33" s="19">
        <f t="shared" si="2"/>
        <v>11544.6</v>
      </c>
      <c r="I33" s="8">
        <f>IFERROR(((Master!AE34*3600*24)*((Master!Q34/100)/Master!J34)),0)</f>
        <v>641.36666666666667</v>
      </c>
      <c r="J33" s="8">
        <f>Master!Q34</f>
        <v>71</v>
      </c>
      <c r="K33" s="8">
        <f ca="1">(D33*Validation!$M$5/1800)/IF(Validation!$N$5="",(IF(OR(NOT(ISNUMBER(J33)),J33=0),1,J33%)),Validation!$N$5)</f>
        <v>5.6372549019607847</v>
      </c>
      <c r="L33" s="8">
        <f>Master!X34</f>
        <v>8</v>
      </c>
      <c r="M33" s="8">
        <f t="shared" ca="1" si="0"/>
        <v>2.3627450980392153</v>
      </c>
      <c r="N33" s="19" t="str">
        <f t="shared" ca="1" si="3"/>
        <v>Wait</v>
      </c>
      <c r="O33" s="23">
        <f t="shared" ca="1" si="4"/>
        <v>20.7</v>
      </c>
      <c r="P33" s="39" t="str">
        <f>T3</f>
        <v>N</v>
      </c>
      <c r="Q33" s="39">
        <f t="shared" si="5"/>
        <v>0.18819444444444444</v>
      </c>
    </row>
    <row r="34" spans="1:17" ht="22.5" thickTop="1" thickBot="1" x14ac:dyDescent="0.4">
      <c r="A34" s="40" t="str">
        <f>R3</f>
        <v>R.EU</v>
      </c>
      <c r="B34" s="40">
        <f ca="1">Master!$AX$1</f>
        <v>45965</v>
      </c>
      <c r="C34" s="6">
        <v>0.66666666666666696</v>
      </c>
      <c r="D34" s="7">
        <f ca="1">Master!AL35</f>
        <v>26</v>
      </c>
      <c r="E34" s="8">
        <f>Master!J35</f>
        <v>19</v>
      </c>
      <c r="F34" s="9">
        <f t="shared" ca="1" si="1"/>
        <v>0.73076923076923073</v>
      </c>
      <c r="G34" s="9">
        <f>Master!C35</f>
        <v>0.73</v>
      </c>
      <c r="H34" s="19">
        <f t="shared" si="2"/>
        <v>11376.000000000002</v>
      </c>
      <c r="I34" s="8">
        <f>IFERROR(((Master!AE35*3600*24)*((Master!Q35/100)/Master!J35)),0)</f>
        <v>598.73684210526324</v>
      </c>
      <c r="J34" s="8">
        <f>Master!Q35</f>
        <v>79</v>
      </c>
      <c r="K34" s="8">
        <f ca="1">(D34*Validation!$M$5/1800)/IF(Validation!$N$5="",(IF(OR(NOT(ISNUMBER(J34)),J34=0),1,J34%)),Validation!$N$5)</f>
        <v>6.3725490196078436</v>
      </c>
      <c r="L34" s="8">
        <f>Master!X35</f>
        <v>9</v>
      </c>
      <c r="M34" s="8">
        <f t="shared" ca="1" si="0"/>
        <v>2.6274509803921564</v>
      </c>
      <c r="N34" s="19" t="str">
        <f t="shared" ca="1" si="3"/>
        <v>Lost</v>
      </c>
      <c r="O34" s="23">
        <f t="shared" ca="1" si="4"/>
        <v>19</v>
      </c>
      <c r="P34" s="39" t="str">
        <f>T3</f>
        <v>N</v>
      </c>
      <c r="Q34" s="39">
        <f t="shared" si="5"/>
        <v>0.16666666666666669</v>
      </c>
    </row>
    <row r="35" spans="1:17" ht="22.5" thickTop="1" thickBot="1" x14ac:dyDescent="0.4">
      <c r="A35" s="40" t="str">
        <f>R3</f>
        <v>R.EU</v>
      </c>
      <c r="B35" s="40">
        <f ca="1">Master!$AX$1</f>
        <v>45965</v>
      </c>
      <c r="C35" s="6">
        <v>0.6875</v>
      </c>
      <c r="D35" s="7">
        <f ca="1">Master!AL36</f>
        <v>22</v>
      </c>
      <c r="E35" s="8">
        <f>Master!J36</f>
        <v>0</v>
      </c>
      <c r="F35" s="9" t="str">
        <f t="shared" si="1"/>
        <v/>
      </c>
      <c r="G35" s="9">
        <f>Master!C36</f>
        <v>0</v>
      </c>
      <c r="H35" s="19">
        <f t="shared" si="2"/>
        <v>0</v>
      </c>
      <c r="I35" s="8">
        <f>IFERROR(((Master!AE36*3600*24)*((Master!Q36/100)/Master!J36)),0)</f>
        <v>0</v>
      </c>
      <c r="J35" s="8">
        <f>Master!Q36</f>
        <v>0</v>
      </c>
      <c r="K35" s="8">
        <f ca="1">(D35*Validation!$M$5/1800)/IF(Validation!$N$5="",(IF(OR(NOT(ISNUMBER(J35)),J35=0),1,J35%)),Validation!$N$5)</f>
        <v>5.3921568627450975</v>
      </c>
      <c r="L35" s="8">
        <f>Master!X36</f>
        <v>0</v>
      </c>
      <c r="M35" s="8" t="str">
        <f t="shared" si="0"/>
        <v>-</v>
      </c>
      <c r="N35" s="19" t="str">
        <f t="shared" si="3"/>
        <v/>
      </c>
      <c r="O35" s="23">
        <f t="shared" si="4"/>
        <v>0</v>
      </c>
      <c r="P35" s="39" t="str">
        <f>T3</f>
        <v>N</v>
      </c>
      <c r="Q35" s="39">
        <f t="shared" si="5"/>
        <v>0</v>
      </c>
    </row>
    <row r="36" spans="1:17" ht="22.5" thickTop="1" thickBot="1" x14ac:dyDescent="0.4">
      <c r="A36" s="40" t="str">
        <f>R3</f>
        <v>R.EU</v>
      </c>
      <c r="B36" s="40">
        <f ca="1">Master!$AX$1</f>
        <v>45965</v>
      </c>
      <c r="C36" s="6">
        <v>0.70833333333333304</v>
      </c>
      <c r="D36" s="7">
        <f ca="1">Master!AL37</f>
        <v>21</v>
      </c>
      <c r="E36" s="8">
        <f>Master!J37</f>
        <v>0</v>
      </c>
      <c r="F36" s="9" t="str">
        <f t="shared" si="1"/>
        <v/>
      </c>
      <c r="G36" s="9">
        <f>Master!C37</f>
        <v>0</v>
      </c>
      <c r="H36" s="19">
        <f t="shared" si="2"/>
        <v>0</v>
      </c>
      <c r="I36" s="8">
        <f>IFERROR(((Master!AE37*3600*24)*((Master!Q37/100)/Master!J37)),0)</f>
        <v>0</v>
      </c>
      <c r="J36" s="8">
        <f>Master!Q37</f>
        <v>0</v>
      </c>
      <c r="K36" s="8">
        <f ca="1">(D36*Validation!$M$5/1800)/IF(Validation!$N$5="",(IF(OR(NOT(ISNUMBER(J36)),J36=0),1,J36%)),Validation!$N$5)</f>
        <v>5.1470588235294121</v>
      </c>
      <c r="L36" s="8">
        <f>Master!X37</f>
        <v>0</v>
      </c>
      <c r="M36" s="8" t="str">
        <f t="shared" si="0"/>
        <v>-</v>
      </c>
      <c r="N36" s="19" t="str">
        <f t="shared" si="3"/>
        <v/>
      </c>
      <c r="O36" s="23">
        <f t="shared" si="4"/>
        <v>0</v>
      </c>
      <c r="P36" s="39" t="str">
        <f>T3</f>
        <v>N</v>
      </c>
      <c r="Q36" s="39">
        <f t="shared" si="5"/>
        <v>0</v>
      </c>
    </row>
    <row r="37" spans="1:17" ht="22.5" thickTop="1" thickBot="1" x14ac:dyDescent="0.4">
      <c r="A37" s="40" t="str">
        <f>R3</f>
        <v>R.EU</v>
      </c>
      <c r="B37" s="40">
        <f ca="1">Master!$AX$1</f>
        <v>45965</v>
      </c>
      <c r="C37" s="6">
        <v>0.72916666666666696</v>
      </c>
      <c r="D37" s="7">
        <f ca="1">Master!AL38</f>
        <v>24</v>
      </c>
      <c r="E37" s="8">
        <f>Master!J38</f>
        <v>0</v>
      </c>
      <c r="F37" s="9" t="str">
        <f t="shared" si="1"/>
        <v/>
      </c>
      <c r="G37" s="9">
        <f>Master!C38</f>
        <v>0</v>
      </c>
      <c r="H37" s="19">
        <f t="shared" si="2"/>
        <v>0</v>
      </c>
      <c r="I37" s="8">
        <f>IFERROR(((Master!AE38*3600*24)*((Master!Q38/100)/Master!J38)),0)</f>
        <v>0</v>
      </c>
      <c r="J37" s="8">
        <f>Master!Q38</f>
        <v>0</v>
      </c>
      <c r="K37" s="8">
        <f ca="1">(D37*Validation!$M$5/1800)/IF(Validation!$N$5="",(IF(OR(NOT(ISNUMBER(J37)),J37=0),1,J37%)),Validation!$N$5)</f>
        <v>5.882352941176471</v>
      </c>
      <c r="L37" s="8">
        <f>Master!X38</f>
        <v>0</v>
      </c>
      <c r="M37" s="8" t="str">
        <f t="shared" si="0"/>
        <v>-</v>
      </c>
      <c r="N37" s="19" t="str">
        <f t="shared" si="3"/>
        <v/>
      </c>
      <c r="O37" s="23">
        <f t="shared" si="4"/>
        <v>0</v>
      </c>
      <c r="P37" s="39" t="str">
        <f>T3</f>
        <v>N</v>
      </c>
      <c r="Q37" s="39">
        <f t="shared" si="5"/>
        <v>0</v>
      </c>
    </row>
    <row r="38" spans="1:17" ht="22.5" thickTop="1" thickBot="1" x14ac:dyDescent="0.4">
      <c r="A38" s="40" t="str">
        <f>R3</f>
        <v>R.EU</v>
      </c>
      <c r="B38" s="40">
        <f ca="1">Master!$AX$1</f>
        <v>45965</v>
      </c>
      <c r="C38" s="6">
        <v>0.75</v>
      </c>
      <c r="D38" s="7">
        <f ca="1">Master!AL39</f>
        <v>23</v>
      </c>
      <c r="E38" s="8">
        <f>Master!J39</f>
        <v>0</v>
      </c>
      <c r="F38" s="9" t="str">
        <f t="shared" si="1"/>
        <v/>
      </c>
      <c r="G38" s="9">
        <f>Master!C39</f>
        <v>0</v>
      </c>
      <c r="H38" s="19">
        <f t="shared" si="2"/>
        <v>0</v>
      </c>
      <c r="I38" s="8">
        <f>IFERROR(((Master!AE39*3600*24)*((Master!Q39/100)/Master!J39)),0)</f>
        <v>0</v>
      </c>
      <c r="J38" s="8">
        <f>Master!Q39</f>
        <v>0</v>
      </c>
      <c r="K38" s="8">
        <f ca="1">(D38*Validation!$M$5/1800)/IF(Validation!$N$5="",(IF(OR(NOT(ISNUMBER(J38)),J38=0),1,J38%)),Validation!$N$5)</f>
        <v>5.6372549019607847</v>
      </c>
      <c r="L38" s="8">
        <f>Master!X39</f>
        <v>0</v>
      </c>
      <c r="M38" s="8" t="str">
        <f t="shared" si="0"/>
        <v>-</v>
      </c>
      <c r="N38" s="19" t="str">
        <f t="shared" si="3"/>
        <v/>
      </c>
      <c r="O38" s="23">
        <f t="shared" si="4"/>
        <v>0</v>
      </c>
      <c r="P38" s="39" t="str">
        <f>T3</f>
        <v>N</v>
      </c>
      <c r="Q38" s="39">
        <f t="shared" si="5"/>
        <v>0</v>
      </c>
    </row>
    <row r="39" spans="1:17" ht="22.5" thickTop="1" thickBot="1" x14ac:dyDescent="0.4">
      <c r="A39" s="40" t="str">
        <f>R3</f>
        <v>R.EU</v>
      </c>
      <c r="B39" s="40">
        <f ca="1">Master!$AX$1</f>
        <v>45965</v>
      </c>
      <c r="C39" s="6">
        <v>0.77083333333333304</v>
      </c>
      <c r="D39" s="7">
        <f ca="1">Master!AL40</f>
        <v>27</v>
      </c>
      <c r="E39" s="8">
        <f>Master!J40</f>
        <v>0</v>
      </c>
      <c r="F39" s="9" t="str">
        <f t="shared" si="1"/>
        <v/>
      </c>
      <c r="G39" s="9">
        <f>Master!C40</f>
        <v>0</v>
      </c>
      <c r="H39" s="19">
        <f t="shared" si="2"/>
        <v>0</v>
      </c>
      <c r="I39" s="8">
        <f>IFERROR(((Master!AE40*3600*24)*((Master!Q40/100)/Master!J40)),0)</f>
        <v>0</v>
      </c>
      <c r="J39" s="8">
        <f>Master!Q40</f>
        <v>0</v>
      </c>
      <c r="K39" s="8">
        <f ca="1">(D39*Validation!$M$5/1800)/IF(Validation!$N$5="",(IF(OR(NOT(ISNUMBER(J39)),J39=0),1,J39%)),Validation!$N$5)</f>
        <v>6.6176470588235299</v>
      </c>
      <c r="L39" s="8">
        <f>Master!X40</f>
        <v>0</v>
      </c>
      <c r="M39" s="8" t="str">
        <f t="shared" si="0"/>
        <v>-</v>
      </c>
      <c r="N39" s="19" t="str">
        <f t="shared" si="3"/>
        <v/>
      </c>
      <c r="O39" s="23">
        <f t="shared" si="4"/>
        <v>0</v>
      </c>
      <c r="P39" s="39" t="str">
        <f>T3</f>
        <v>N</v>
      </c>
      <c r="Q39" s="39">
        <f t="shared" si="5"/>
        <v>0</v>
      </c>
    </row>
    <row r="40" spans="1:17" ht="22.5" thickTop="1" thickBot="1" x14ac:dyDescent="0.4">
      <c r="A40" s="40" t="str">
        <f>R3</f>
        <v>R.EU</v>
      </c>
      <c r="B40" s="40">
        <f ca="1">Master!$AX$1</f>
        <v>45965</v>
      </c>
      <c r="C40" s="6">
        <v>0.79166666666666696</v>
      </c>
      <c r="D40" s="7">
        <f ca="1">Master!AL41</f>
        <v>23</v>
      </c>
      <c r="E40" s="8">
        <f>Master!J41</f>
        <v>0</v>
      </c>
      <c r="F40" s="9" t="str">
        <f t="shared" si="1"/>
        <v/>
      </c>
      <c r="G40" s="9">
        <f>Master!C41</f>
        <v>0</v>
      </c>
      <c r="H40" s="19">
        <f t="shared" si="2"/>
        <v>0</v>
      </c>
      <c r="I40" s="8">
        <f>IFERROR(((Master!AE41*3600*24)*((Master!Q41/100)/Master!J41)),0)</f>
        <v>0</v>
      </c>
      <c r="J40" s="8">
        <f>Master!Q41</f>
        <v>0</v>
      </c>
      <c r="K40" s="8">
        <f ca="1">(D40*Validation!$M$5/1800)/IF(Validation!$N$5="",(IF(OR(NOT(ISNUMBER(J40)),J40=0),1,J40%)),Validation!$N$5)</f>
        <v>5.6372549019607847</v>
      </c>
      <c r="L40" s="8">
        <f>Master!X41</f>
        <v>0</v>
      </c>
      <c r="M40" s="8" t="str">
        <f t="shared" si="0"/>
        <v>-</v>
      </c>
      <c r="N40" s="19" t="str">
        <f t="shared" si="3"/>
        <v/>
      </c>
      <c r="O40" s="23">
        <f t="shared" si="4"/>
        <v>0</v>
      </c>
      <c r="P40" s="39" t="str">
        <f>T3</f>
        <v>N</v>
      </c>
      <c r="Q40" s="39">
        <f t="shared" si="5"/>
        <v>0</v>
      </c>
    </row>
    <row r="41" spans="1:17" ht="22.5" thickTop="1" thickBot="1" x14ac:dyDescent="0.4">
      <c r="A41" s="40" t="str">
        <f>R3</f>
        <v>R.EU</v>
      </c>
      <c r="B41" s="40">
        <f ca="1">Master!$AX$1</f>
        <v>45965</v>
      </c>
      <c r="C41" s="6">
        <v>0.8125</v>
      </c>
      <c r="D41" s="7">
        <f ca="1">Master!AL42</f>
        <v>27</v>
      </c>
      <c r="E41" s="8">
        <f>Master!J42</f>
        <v>0</v>
      </c>
      <c r="F41" s="9" t="str">
        <f t="shared" si="1"/>
        <v/>
      </c>
      <c r="G41" s="9">
        <f>Master!C42</f>
        <v>0</v>
      </c>
      <c r="H41" s="19">
        <f t="shared" si="2"/>
        <v>0</v>
      </c>
      <c r="I41" s="8">
        <f>IFERROR(((Master!AE42*3600*24)*((Master!Q42/100)/Master!J42)),0)</f>
        <v>0</v>
      </c>
      <c r="J41" s="8">
        <f>Master!Q42</f>
        <v>0</v>
      </c>
      <c r="K41" s="8">
        <f ca="1">(D41*Validation!$M$5/1800)/IF(Validation!$N$5="",(IF(OR(NOT(ISNUMBER(J41)),J41=0),1,J41%)),Validation!$N$5)</f>
        <v>6.6176470588235299</v>
      </c>
      <c r="L41" s="8">
        <f>Master!X42</f>
        <v>0</v>
      </c>
      <c r="M41" s="8" t="str">
        <f t="shared" si="0"/>
        <v>-</v>
      </c>
      <c r="N41" s="19" t="str">
        <f t="shared" si="3"/>
        <v/>
      </c>
      <c r="O41" s="23">
        <f t="shared" si="4"/>
        <v>0</v>
      </c>
      <c r="P41" s="39" t="str">
        <f>T3</f>
        <v>N</v>
      </c>
      <c r="Q41" s="39">
        <f t="shared" si="5"/>
        <v>0</v>
      </c>
    </row>
    <row r="42" spans="1:17" ht="22.5" thickTop="1" thickBot="1" x14ac:dyDescent="0.4">
      <c r="A42" s="40" t="str">
        <f>R3</f>
        <v>R.EU</v>
      </c>
      <c r="B42" s="40">
        <f ca="1">Master!$AX$1</f>
        <v>45965</v>
      </c>
      <c r="C42" s="6">
        <v>0.83333333333333304</v>
      </c>
      <c r="D42" s="7">
        <f ca="1">Master!AL43</f>
        <v>24</v>
      </c>
      <c r="E42" s="8">
        <f>Master!J43</f>
        <v>0</v>
      </c>
      <c r="F42" s="9" t="str">
        <f t="shared" si="1"/>
        <v/>
      </c>
      <c r="G42" s="9">
        <f>Master!C43</f>
        <v>0</v>
      </c>
      <c r="H42" s="19">
        <f t="shared" si="2"/>
        <v>0</v>
      </c>
      <c r="I42" s="8">
        <f>IFERROR(((Master!AE43*3600*24)*((Master!Q43/100)/Master!J43)),0)</f>
        <v>0</v>
      </c>
      <c r="J42" s="8">
        <f>Master!Q43</f>
        <v>0</v>
      </c>
      <c r="K42" s="8">
        <f ca="1">(D42*Validation!$M$5/1800)/IF(Validation!$N$5="",(IF(OR(NOT(ISNUMBER(J42)),J42=0),1,J42%)),Validation!$N$5)</f>
        <v>5.882352941176471</v>
      </c>
      <c r="L42" s="8">
        <f>Master!X43</f>
        <v>0</v>
      </c>
      <c r="M42" s="8" t="str">
        <f t="shared" si="0"/>
        <v>-</v>
      </c>
      <c r="N42" s="19" t="str">
        <f t="shared" si="3"/>
        <v/>
      </c>
      <c r="O42" s="23">
        <f t="shared" si="4"/>
        <v>0</v>
      </c>
      <c r="P42" s="39" t="str">
        <f>T3</f>
        <v>N</v>
      </c>
      <c r="Q42" s="39">
        <f t="shared" si="5"/>
        <v>0</v>
      </c>
    </row>
    <row r="43" spans="1:17" ht="22.5" thickTop="1" thickBot="1" x14ac:dyDescent="0.4">
      <c r="A43" s="40" t="str">
        <f>R3</f>
        <v>R.EU</v>
      </c>
      <c r="B43" s="40">
        <f ca="1">Master!$AX$1</f>
        <v>45965</v>
      </c>
      <c r="C43" s="6">
        <v>0.85416666666666696</v>
      </c>
      <c r="D43" s="7">
        <f ca="1">Master!AL44</f>
        <v>22</v>
      </c>
      <c r="E43" s="8">
        <f>Master!J44</f>
        <v>0</v>
      </c>
      <c r="F43" s="9" t="str">
        <f t="shared" si="1"/>
        <v/>
      </c>
      <c r="G43" s="9">
        <f>Master!C44</f>
        <v>0</v>
      </c>
      <c r="H43" s="19">
        <f t="shared" si="2"/>
        <v>0</v>
      </c>
      <c r="I43" s="8">
        <f>IFERROR(((Master!AE44*3600*24)*((Master!Q44/100)/Master!J44)),0)</f>
        <v>0</v>
      </c>
      <c r="J43" s="8">
        <f>Master!Q44</f>
        <v>0</v>
      </c>
      <c r="K43" s="8">
        <f ca="1">(D43*Validation!$M$5/1800)/IF(Validation!$N$5="",(IF(OR(NOT(ISNUMBER(J43)),J43=0),1,J43%)),Validation!$N$5)</f>
        <v>5.3921568627450975</v>
      </c>
      <c r="L43" s="8">
        <f>Master!X44</f>
        <v>0</v>
      </c>
      <c r="M43" s="8" t="str">
        <f t="shared" si="0"/>
        <v>-</v>
      </c>
      <c r="N43" s="19" t="str">
        <f t="shared" si="3"/>
        <v/>
      </c>
      <c r="O43" s="23">
        <f t="shared" si="4"/>
        <v>0</v>
      </c>
      <c r="P43" s="39" t="str">
        <f>T3</f>
        <v>N</v>
      </c>
      <c r="Q43" s="39">
        <f t="shared" si="5"/>
        <v>0</v>
      </c>
    </row>
    <row r="44" spans="1:17" ht="22.5" thickTop="1" thickBot="1" x14ac:dyDescent="0.4">
      <c r="A44" s="40" t="str">
        <f>R3</f>
        <v>R.EU</v>
      </c>
      <c r="B44" s="40">
        <f ca="1">Master!$AX$1</f>
        <v>45965</v>
      </c>
      <c r="C44" s="6">
        <v>0.875</v>
      </c>
      <c r="D44" s="7">
        <f ca="1">Master!AL45</f>
        <v>23</v>
      </c>
      <c r="E44" s="8">
        <f>Master!J45</f>
        <v>0</v>
      </c>
      <c r="F44" s="9" t="str">
        <f t="shared" si="1"/>
        <v/>
      </c>
      <c r="G44" s="9">
        <f>Master!C45</f>
        <v>0</v>
      </c>
      <c r="H44" s="19">
        <f t="shared" si="2"/>
        <v>0</v>
      </c>
      <c r="I44" s="8">
        <f>IFERROR(((Master!AE45*3600*24)*((Master!Q45/100)/Master!J45)),0)</f>
        <v>0</v>
      </c>
      <c r="J44" s="8">
        <f>Master!Q45</f>
        <v>0</v>
      </c>
      <c r="K44" s="8">
        <f ca="1">(D44*Validation!$M$5/1800)/IF(Validation!$N$5="",(IF(OR(NOT(ISNUMBER(J44)),J44=0),1,J44%)),Validation!$N$5)</f>
        <v>5.6372549019607847</v>
      </c>
      <c r="L44" s="8">
        <f>Master!X45</f>
        <v>0</v>
      </c>
      <c r="M44" s="8" t="str">
        <f t="shared" si="0"/>
        <v>-</v>
      </c>
      <c r="N44" s="19" t="str">
        <f t="shared" si="3"/>
        <v/>
      </c>
      <c r="O44" s="23">
        <f t="shared" si="4"/>
        <v>0</v>
      </c>
      <c r="P44" s="39" t="str">
        <f>T3</f>
        <v>N</v>
      </c>
      <c r="Q44" s="39">
        <f t="shared" si="5"/>
        <v>0</v>
      </c>
    </row>
    <row r="45" spans="1:17" ht="22.5" thickTop="1" thickBot="1" x14ac:dyDescent="0.4">
      <c r="A45" s="40" t="str">
        <f>R3</f>
        <v>R.EU</v>
      </c>
      <c r="B45" s="40">
        <f ca="1">Master!$AX$1</f>
        <v>45965</v>
      </c>
      <c r="C45" s="6">
        <v>0.89583333333333304</v>
      </c>
      <c r="D45" s="7">
        <f ca="1">Master!AL46</f>
        <v>21</v>
      </c>
      <c r="E45" s="8">
        <f>Master!J46</f>
        <v>0</v>
      </c>
      <c r="F45" s="9" t="str">
        <f t="shared" si="1"/>
        <v/>
      </c>
      <c r="G45" s="9">
        <f>Master!C46</f>
        <v>0</v>
      </c>
      <c r="H45" s="19">
        <f t="shared" si="2"/>
        <v>0</v>
      </c>
      <c r="I45" s="8">
        <f>IFERROR(((Master!AE46*3600*24)*((Master!Q46/100)/Master!J46)),0)</f>
        <v>0</v>
      </c>
      <c r="J45" s="8">
        <f>Master!Q46</f>
        <v>0</v>
      </c>
      <c r="K45" s="8">
        <f ca="1">(D45*Validation!$M$5/1800)/IF(Validation!$N$5="",(IF(OR(NOT(ISNUMBER(J45)),J45=0),1,J45%)),Validation!$N$5)</f>
        <v>5.1470588235294121</v>
      </c>
      <c r="L45" s="8">
        <f>Master!X46</f>
        <v>0</v>
      </c>
      <c r="M45" s="8" t="str">
        <f t="shared" si="0"/>
        <v>-</v>
      </c>
      <c r="N45" s="19" t="str">
        <f t="shared" si="3"/>
        <v/>
      </c>
      <c r="O45" s="23">
        <f t="shared" si="4"/>
        <v>0</v>
      </c>
      <c r="P45" s="39" t="str">
        <f>T3</f>
        <v>N</v>
      </c>
      <c r="Q45" s="39">
        <f t="shared" si="5"/>
        <v>0</v>
      </c>
    </row>
    <row r="46" spans="1:17" ht="22.5" thickTop="1" thickBot="1" x14ac:dyDescent="0.4">
      <c r="A46" s="40" t="str">
        <f>R3</f>
        <v>R.EU</v>
      </c>
      <c r="B46" s="40">
        <f ca="1">Master!$AX$1</f>
        <v>45965</v>
      </c>
      <c r="C46" s="6">
        <v>0.91666666666666696</v>
      </c>
      <c r="D46" s="7">
        <f ca="1">Master!AL47</f>
        <v>27</v>
      </c>
      <c r="E46" s="8">
        <f>Master!J47</f>
        <v>0</v>
      </c>
      <c r="F46" s="9" t="str">
        <f t="shared" si="1"/>
        <v/>
      </c>
      <c r="G46" s="9">
        <f>Master!C47</f>
        <v>0</v>
      </c>
      <c r="H46" s="19">
        <f t="shared" si="2"/>
        <v>0</v>
      </c>
      <c r="I46" s="8">
        <f>IFERROR(((Master!AE47*3600*24)*((Master!Q47/100)/Master!J47)),0)</f>
        <v>0</v>
      </c>
      <c r="J46" s="8">
        <f>Master!Q47</f>
        <v>0</v>
      </c>
      <c r="K46" s="8">
        <f ca="1">(D46*Validation!$M$5/1800)/IF(Validation!$N$5="",(IF(OR(NOT(ISNUMBER(J46)),J46=0),1,J46%)),Validation!$N$5)</f>
        <v>6.6176470588235299</v>
      </c>
      <c r="L46" s="8">
        <f>Master!X47</f>
        <v>0</v>
      </c>
      <c r="M46" s="8" t="str">
        <f t="shared" si="0"/>
        <v>-</v>
      </c>
      <c r="N46" s="19" t="str">
        <f t="shared" si="3"/>
        <v/>
      </c>
      <c r="O46" s="23">
        <f t="shared" si="4"/>
        <v>0</v>
      </c>
      <c r="P46" s="39" t="str">
        <f>T3</f>
        <v>N</v>
      </c>
      <c r="Q46" s="39">
        <f t="shared" si="5"/>
        <v>0</v>
      </c>
    </row>
    <row r="47" spans="1:17" ht="22.5" thickTop="1" thickBot="1" x14ac:dyDescent="0.4">
      <c r="A47" s="40" t="str">
        <f>R3</f>
        <v>R.EU</v>
      </c>
      <c r="B47" s="40">
        <f ca="1">Master!$AX$1</f>
        <v>45965</v>
      </c>
      <c r="C47" s="6">
        <v>0.9375</v>
      </c>
      <c r="D47" s="7">
        <f ca="1">Master!AL48</f>
        <v>22</v>
      </c>
      <c r="E47" s="8">
        <f>Master!J48</f>
        <v>0</v>
      </c>
      <c r="F47" s="9" t="str">
        <f t="shared" si="1"/>
        <v/>
      </c>
      <c r="G47" s="9">
        <f>Master!C48</f>
        <v>0</v>
      </c>
      <c r="H47" s="19">
        <f t="shared" si="2"/>
        <v>0</v>
      </c>
      <c r="I47" s="8">
        <f>IFERROR(((Master!AE48*3600*24)*((Master!Q48/100)/Master!J48)),0)</f>
        <v>0</v>
      </c>
      <c r="J47" s="8">
        <f>Master!Q48</f>
        <v>0</v>
      </c>
      <c r="K47" s="8">
        <f ca="1">(D47*Validation!$M$5/1800)/IF(Validation!$N$5="",(IF(OR(NOT(ISNUMBER(J47)),J47=0),1,J47%)),Validation!$N$5)</f>
        <v>5.3921568627450975</v>
      </c>
      <c r="L47" s="8">
        <f>Master!X48</f>
        <v>0</v>
      </c>
      <c r="M47" s="8" t="str">
        <f t="shared" si="0"/>
        <v>-</v>
      </c>
      <c r="N47" s="19" t="str">
        <f t="shared" si="3"/>
        <v/>
      </c>
      <c r="O47" s="23">
        <f t="shared" si="4"/>
        <v>0</v>
      </c>
      <c r="P47" s="39" t="str">
        <f>T3</f>
        <v>N</v>
      </c>
      <c r="Q47" s="39">
        <f t="shared" si="5"/>
        <v>0</v>
      </c>
    </row>
    <row r="48" spans="1:17" ht="22.5" thickTop="1" thickBot="1" x14ac:dyDescent="0.4">
      <c r="A48" s="40" t="str">
        <f>R3</f>
        <v>R.EU</v>
      </c>
      <c r="B48" s="40">
        <f ca="1">Master!$AX$1</f>
        <v>45965</v>
      </c>
      <c r="C48" s="6">
        <v>0.95833333333333304</v>
      </c>
      <c r="D48" s="7">
        <f ca="1">Master!AL49</f>
        <v>25</v>
      </c>
      <c r="E48" s="8">
        <f>Master!J49</f>
        <v>0</v>
      </c>
      <c r="F48" s="9" t="str">
        <f t="shared" si="1"/>
        <v/>
      </c>
      <c r="G48" s="9">
        <f>Master!C49</f>
        <v>0</v>
      </c>
      <c r="H48" s="19">
        <f t="shared" si="2"/>
        <v>0</v>
      </c>
      <c r="I48" s="8">
        <f>IFERROR(((Master!AE49*3600*24)*((Master!Q49/100)/Master!J49)),0)</f>
        <v>0</v>
      </c>
      <c r="J48" s="8">
        <f>Master!Q49</f>
        <v>0</v>
      </c>
      <c r="K48" s="8">
        <f ca="1">(D48*Validation!$M$5/1800)/IF(Validation!$N$5="",(IF(OR(NOT(ISNUMBER(J48)),J48=0),1,J48%)),Validation!$N$5)</f>
        <v>6.1274509803921564</v>
      </c>
      <c r="L48" s="8">
        <f>Master!X49</f>
        <v>0</v>
      </c>
      <c r="M48" s="8" t="str">
        <f t="shared" si="0"/>
        <v>-</v>
      </c>
      <c r="N48" s="19" t="str">
        <f t="shared" si="3"/>
        <v/>
      </c>
      <c r="O48" s="23">
        <f t="shared" si="4"/>
        <v>0</v>
      </c>
      <c r="P48" s="39" t="str">
        <f>T3</f>
        <v>N</v>
      </c>
      <c r="Q48" s="39">
        <f t="shared" si="5"/>
        <v>0</v>
      </c>
    </row>
    <row r="49" spans="1:17" ht="22.5" thickTop="1" thickBot="1" x14ac:dyDescent="0.4">
      <c r="A49" s="40" t="str">
        <f>R3</f>
        <v>R.EU</v>
      </c>
      <c r="B49" s="40">
        <f ca="1">Master!$AX$1</f>
        <v>45965</v>
      </c>
      <c r="C49" s="6">
        <v>0.97916666666666696</v>
      </c>
      <c r="D49" s="7">
        <f ca="1">Master!AL50</f>
        <v>18</v>
      </c>
      <c r="E49" s="8">
        <f>Master!J50</f>
        <v>0</v>
      </c>
      <c r="F49" s="9" t="str">
        <f t="shared" si="1"/>
        <v/>
      </c>
      <c r="G49" s="9">
        <f>Master!C50</f>
        <v>0</v>
      </c>
      <c r="H49" s="19">
        <f t="shared" si="2"/>
        <v>0</v>
      </c>
      <c r="I49" s="8">
        <f>IFERROR(((Master!AE50*3600*24)*((Master!Q50/100)/Master!J50)),0)</f>
        <v>0</v>
      </c>
      <c r="J49" s="8">
        <f>Master!Q50</f>
        <v>0</v>
      </c>
      <c r="K49" s="8">
        <f ca="1">(D49*Validation!$M$5/1800)/IF(Validation!$N$5="",(IF(OR(NOT(ISNUMBER(J49)),J49=0),1,J49%)),Validation!$N$5)</f>
        <v>4.4117647058823533</v>
      </c>
      <c r="L49" s="8">
        <f>Master!X50</f>
        <v>0</v>
      </c>
      <c r="M49" s="8" t="str">
        <f t="shared" si="0"/>
        <v>-</v>
      </c>
      <c r="N49" s="19" t="str">
        <f t="shared" si="3"/>
        <v/>
      </c>
      <c r="O49" s="23">
        <f t="shared" si="4"/>
        <v>0</v>
      </c>
      <c r="P49" s="39" t="str">
        <f>T3</f>
        <v>N</v>
      </c>
      <c r="Q49" s="39">
        <f t="shared" si="5"/>
        <v>0</v>
      </c>
    </row>
    <row r="50" spans="1:17" ht="22.5" thickTop="1" thickBot="1" x14ac:dyDescent="0.4">
      <c r="A50" s="40" t="str">
        <f>R3</f>
        <v>R.EU</v>
      </c>
      <c r="B50" s="40">
        <f ca="1">Master!$AX$1</f>
        <v>45965</v>
      </c>
      <c r="C50" s="6" t="s">
        <v>15</v>
      </c>
      <c r="D50" s="7">
        <f ca="1">SUMIF(E2:E49,"&gt;0",D2:D49)</f>
        <v>453</v>
      </c>
      <c r="E50" s="8">
        <f>SUM(E2:E49)</f>
        <v>325</v>
      </c>
      <c r="F50" s="9">
        <f ca="1">IF(T3="n",E50/D50,O50/D50)</f>
        <v>0.717439293598234</v>
      </c>
      <c r="G50" s="8"/>
      <c r="H50" s="19">
        <f>SUM(H2:H49)</f>
        <v>174149.4</v>
      </c>
      <c r="I50" s="8">
        <f>H50/E50</f>
        <v>535.84430769230767</v>
      </c>
      <c r="J50" s="8"/>
      <c r="K50" s="8"/>
      <c r="L50" s="8"/>
      <c r="M50" s="8"/>
      <c r="N50" s="19">
        <f ca="1">COUNTIF(N2:N49,"LOST")</f>
        <v>4</v>
      </c>
      <c r="O50" s="23">
        <f ca="1">SUM(O2:O49)</f>
        <v>399.4</v>
      </c>
      <c r="P50" s="39" t="str">
        <f>T3</f>
        <v>N</v>
      </c>
      <c r="Q50" s="39">
        <f t="shared" si="5"/>
        <v>0</v>
      </c>
    </row>
    <row r="51" spans="1:17" ht="21.75" thickTop="1" x14ac:dyDescent="0.35"/>
  </sheetData>
  <mergeCells count="4">
    <mergeCell ref="R2:S2"/>
    <mergeCell ref="R3:S4"/>
    <mergeCell ref="T2:U2"/>
    <mergeCell ref="T3:U4"/>
  </mergeCells>
  <conditionalFormatting sqref="A1:B1">
    <cfRule type="cellIs" dxfId="211" priority="11" operator="equal">
      <formula>"Lost"</formula>
    </cfRule>
  </conditionalFormatting>
  <conditionalFormatting sqref="A2:F50">
    <cfRule type="cellIs" dxfId="210" priority="9" operator="equal">
      <formula>"Lost"</formula>
    </cfRule>
  </conditionalFormatting>
  <conditionalFormatting sqref="C50">
    <cfRule type="cellIs" dxfId="209" priority="72" operator="equal">
      <formula>"Lost"</formula>
    </cfRule>
  </conditionalFormatting>
  <conditionalFormatting sqref="C1:G1">
    <cfRule type="cellIs" dxfId="208" priority="82" operator="equal">
      <formula>"Lost"</formula>
    </cfRule>
  </conditionalFormatting>
  <conditionalFormatting sqref="F2:F49">
    <cfRule type="cellIs" dxfId="207" priority="21" operator="greaterThan">
      <formula>0.9801</formula>
    </cfRule>
  </conditionalFormatting>
  <conditionalFormatting sqref="F2:F50">
    <cfRule type="cellIs" dxfId="206" priority="19" operator="greaterThan">
      <formula>0.981</formula>
    </cfRule>
    <cfRule type="cellIs" dxfId="205" priority="20" operator="lessThan">
      <formula>0.98</formula>
    </cfRule>
  </conditionalFormatting>
  <conditionalFormatting sqref="G1">
    <cfRule type="cellIs" dxfId="204" priority="80" operator="lessThan">
      <formula>0.75</formula>
    </cfRule>
    <cfRule type="colorScale" priority="8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9">
    <cfRule type="cellIs" dxfId="203" priority="7" operator="greaterThan">
      <formula>0.8</formula>
    </cfRule>
    <cfRule type="cellIs" dxfId="202" priority="8" operator="lessThan">
      <formula>0.8</formula>
    </cfRule>
  </conditionalFormatting>
  <conditionalFormatting sqref="G50">
    <cfRule type="cellIs" dxfId="201" priority="59" operator="equal">
      <formula>"Lost"</formula>
    </cfRule>
  </conditionalFormatting>
  <conditionalFormatting sqref="H1:H50">
    <cfRule type="cellIs" dxfId="200" priority="36" operator="equal">
      <formula>"Lost"</formula>
    </cfRule>
  </conditionalFormatting>
  <conditionalFormatting sqref="H2:H50">
    <cfRule type="cellIs" dxfId="199" priority="35" operator="equal">
      <formula>"Achived"</formula>
    </cfRule>
  </conditionalFormatting>
  <conditionalFormatting sqref="I1:M50">
    <cfRule type="cellIs" dxfId="198" priority="52" operator="equal">
      <formula>"Lost"</formula>
    </cfRule>
  </conditionalFormatting>
  <conditionalFormatting sqref="I1:O1">
    <cfRule type="cellIs" dxfId="197" priority="18" operator="equal">
      <formula>"Lost"</formula>
    </cfRule>
  </conditionalFormatting>
  <conditionalFormatting sqref="M2:M49">
    <cfRule type="cellIs" dxfId="196" priority="49" operator="lessThan">
      <formula>0</formula>
    </cfRule>
    <cfRule type="cellIs" dxfId="195" priority="50" operator="equal">
      <formula>0</formula>
    </cfRule>
    <cfRule type="cellIs" dxfId="194" priority="51" operator="greaterThan">
      <formula>0</formula>
    </cfRule>
  </conditionalFormatting>
  <conditionalFormatting sqref="N2:N50">
    <cfRule type="cellIs" dxfId="193" priority="42" operator="equal">
      <formula>"Wait"</formula>
    </cfRule>
  </conditionalFormatting>
  <conditionalFormatting sqref="N2:O50">
    <cfRule type="cellIs" dxfId="192" priority="25" operator="equal">
      <formula>"Lost"</formula>
    </cfRule>
  </conditionalFormatting>
  <conditionalFormatting sqref="N2:Q50">
    <cfRule type="cellIs" dxfId="191" priority="2" operator="equal">
      <formula>"Achived"</formula>
    </cfRule>
  </conditionalFormatting>
  <conditionalFormatting sqref="P1:Q50">
    <cfRule type="cellIs" dxfId="190" priority="1" operator="equal">
      <formula>"Lost"</formula>
    </cfRule>
  </conditionalFormatting>
  <conditionalFormatting sqref="R2:R3">
    <cfRule type="cellIs" dxfId="189" priority="70" operator="equal">
      <formula>"-"</formula>
    </cfRule>
  </conditionalFormatting>
  <conditionalFormatting sqref="T2:T3">
    <cfRule type="cellIs" dxfId="188" priority="64" operator="equal">
      <formula>"-"</formula>
    </cfRule>
  </conditionalFormatting>
  <pageMargins left="0.7" right="0.7" top="0.75" bottom="0.75" header="0.3" footer="0.3"/>
  <pageSetup orientation="portrait" r:id="rId1"/>
  <headerFooter>
    <oddFooter>&amp;L_x000D_&amp;1#&amp;"Calibri"&amp;7&amp;K000000 C2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51"/>
  <sheetViews>
    <sheetView topLeftCell="C1" zoomScale="55" zoomScaleNormal="55" workbookViewId="0">
      <selection activeCell="AA30" sqref="AA30"/>
    </sheetView>
  </sheetViews>
  <sheetFormatPr defaultColWidth="9.140625" defaultRowHeight="21" x14ac:dyDescent="0.35"/>
  <cols>
    <col min="1" max="1" width="9" style="3" hidden="1" customWidth="1"/>
    <col min="2" max="2" width="19.28515625" style="3" hidden="1" customWidth="1"/>
    <col min="3" max="3" width="15.140625" style="3" bestFit="1" customWidth="1"/>
    <col min="4" max="4" width="10.140625" style="3" bestFit="1" customWidth="1"/>
    <col min="5" max="5" width="17.28515625" style="3" bestFit="1" customWidth="1"/>
    <col min="6" max="6" width="16.5703125" style="3" bestFit="1" customWidth="1"/>
    <col min="7" max="7" width="13.28515625" style="3" bestFit="1" customWidth="1"/>
    <col min="8" max="8" width="24.28515625" style="3" bestFit="1" customWidth="1"/>
    <col min="9" max="9" width="9.85546875" style="3" bestFit="1" customWidth="1"/>
    <col min="10" max="10" width="10.140625" style="3" bestFit="1" customWidth="1"/>
    <col min="11" max="11" width="19" style="3" bestFit="1" customWidth="1"/>
    <col min="12" max="12" width="22.28515625" style="3" bestFit="1" customWidth="1"/>
    <col min="13" max="13" width="7.7109375" style="3" bestFit="1" customWidth="1"/>
    <col min="14" max="14" width="16.5703125" style="3" bestFit="1" customWidth="1"/>
    <col min="15" max="15" width="20.42578125" style="3" bestFit="1" customWidth="1"/>
    <col min="16" max="16" width="16.5703125" style="3" hidden="1" customWidth="1"/>
    <col min="17" max="17" width="20.42578125" style="3" hidden="1" customWidth="1"/>
    <col min="18" max="22" width="9.140625" style="3"/>
    <col min="23" max="23" width="12.42578125" style="3" customWidth="1"/>
    <col min="24" max="25" width="9.140625" style="3"/>
    <col min="26" max="26" width="8.85546875" customWidth="1"/>
    <col min="27" max="16384" width="9.140625" style="3"/>
  </cols>
  <sheetData>
    <row r="1" spans="1:21" ht="22.5" thickTop="1" thickBot="1" x14ac:dyDescent="0.4">
      <c r="A1" s="4" t="s">
        <v>16</v>
      </c>
      <c r="B1" s="4" t="s">
        <v>39</v>
      </c>
      <c r="C1" s="4" t="s">
        <v>0</v>
      </c>
      <c r="D1" s="5">
        <f ca="1">SUM(D2:D49)</f>
        <v>1658</v>
      </c>
      <c r="E1" s="5" t="s">
        <v>1</v>
      </c>
      <c r="F1" s="5" t="s">
        <v>2</v>
      </c>
      <c r="G1" s="5" t="s">
        <v>3</v>
      </c>
      <c r="H1" s="5" t="s">
        <v>30</v>
      </c>
      <c r="I1" s="5" t="s">
        <v>21</v>
      </c>
      <c r="J1" s="5" t="s">
        <v>19</v>
      </c>
      <c r="K1" s="5" t="s">
        <v>26</v>
      </c>
      <c r="L1" s="5" t="s">
        <v>4</v>
      </c>
      <c r="M1" s="5" t="s">
        <v>27</v>
      </c>
      <c r="N1" s="5" t="s">
        <v>5</v>
      </c>
      <c r="O1" s="5" t="s">
        <v>22</v>
      </c>
      <c r="P1" s="5" t="s">
        <v>24</v>
      </c>
      <c r="Q1" s="38" t="s">
        <v>20</v>
      </c>
    </row>
    <row r="2" spans="1:21" ht="22.5" thickTop="1" thickBot="1" x14ac:dyDescent="0.4">
      <c r="A2" s="40" t="str">
        <f>R3</f>
        <v>Red</v>
      </c>
      <c r="B2" s="40">
        <f ca="1">Master!$AX$1</f>
        <v>45965</v>
      </c>
      <c r="C2" s="6">
        <v>0</v>
      </c>
      <c r="D2" s="7">
        <f ca="1">Master!AM3</f>
        <v>36</v>
      </c>
      <c r="E2" s="8">
        <f>Master!K3</f>
        <v>23</v>
      </c>
      <c r="F2" s="9">
        <f ca="1">IFERROR(IF(OR(E2="-",E2=0),"",E2/D2),0)</f>
        <v>0.63888888888888884</v>
      </c>
      <c r="G2" s="9">
        <f>Master!D3</f>
        <v>1</v>
      </c>
      <c r="H2" s="23">
        <f>IFERROR(E2*I2,0)</f>
        <v>13780.800000000001</v>
      </c>
      <c r="I2" s="8">
        <f>IFERROR(((Master!AF3*3600*24)*((Master!R3/100)/Master!K3)),0)</f>
        <v>599.1652173913044</v>
      </c>
      <c r="J2" s="8">
        <f>Master!R3</f>
        <v>99</v>
      </c>
      <c r="K2" s="8">
        <f ca="1">(D2*Validation!$M$6/1800)/IF(Validation!$N$6="",(IF(OR(NOT(ISNUMBER(J2)),J2=0),1,J2%)),Validation!$N$6)</f>
        <v>8.2352941176470598</v>
      </c>
      <c r="L2" s="8">
        <f>Master!Y3</f>
        <v>8</v>
      </c>
      <c r="M2" s="8">
        <f t="shared" ref="M2:M49" ca="1" si="0">IF(AND(ISNUMBER(L2),L2&gt;0),L2-K2,"-")</f>
        <v>-0.23529411764705976</v>
      </c>
      <c r="N2" s="19" t="str">
        <f ca="1">IF(OR(E2=0,E2="-"),"",IF(F2&gt;=98%,"Achived",IF(G2&gt;=80%,"Wait","Lost")))</f>
        <v>Wait</v>
      </c>
      <c r="O2" s="23">
        <f ca="1">IF(E2=0,0,IF(N2="Wait",D2*0.9,IF($T$3="Y",E2,IF(AND(N2="achived",F2&lt;=1.1),E2,IF(F2&gt;=1.1,D2*1.1,IF(N2="Lost",E2,"ER"))))))</f>
        <v>32.4</v>
      </c>
      <c r="P2" s="39" t="str">
        <f>T3</f>
        <v>N</v>
      </c>
      <c r="Q2" s="39">
        <f>IFERROR((I2*E2)/((J2/100)*86400),0)</f>
        <v>0.16111111111111112</v>
      </c>
      <c r="R2" s="60" t="s">
        <v>16</v>
      </c>
      <c r="S2" s="61"/>
      <c r="T2" s="60" t="s">
        <v>24</v>
      </c>
      <c r="U2" s="61"/>
    </row>
    <row r="3" spans="1:21" ht="22.5" thickTop="1" thickBot="1" x14ac:dyDescent="0.4">
      <c r="A3" s="40" t="str">
        <f>R3</f>
        <v>Red</v>
      </c>
      <c r="B3" s="40">
        <f ca="1">Master!$AX$1</f>
        <v>45965</v>
      </c>
      <c r="C3" s="6">
        <v>2.0833333333333332E-2</v>
      </c>
      <c r="D3" s="7">
        <f ca="1">Master!AM4</f>
        <v>30</v>
      </c>
      <c r="E3" s="8">
        <f>Master!K4</f>
        <v>17</v>
      </c>
      <c r="F3" s="9">
        <f t="shared" ref="F3:F49" ca="1" si="1">IFERROR(IF(OR(E3="-",E3=0),"",E3/D3),0)</f>
        <v>0.56666666666666665</v>
      </c>
      <c r="G3" s="9">
        <f>Master!D4</f>
        <v>1</v>
      </c>
      <c r="H3" s="23">
        <f t="shared" ref="H3:H49" si="2">IFERROR(E3*I3,0)</f>
        <v>9612</v>
      </c>
      <c r="I3" s="8">
        <f>IFERROR(((Master!AF4*3600*24)*((Master!R4/100)/Master!K4)),0)</f>
        <v>565.41176470588232</v>
      </c>
      <c r="J3" s="8">
        <f>Master!R4</f>
        <v>60</v>
      </c>
      <c r="K3" s="8">
        <f ca="1">(D3*Validation!$M$6/1800)/IF(Validation!$N$6="",(IF(OR(NOT(ISNUMBER(J3)),J3=0),1,J3%)),Validation!$N$6)</f>
        <v>6.8627450980392153</v>
      </c>
      <c r="L3" s="8">
        <f>Master!Y4</f>
        <v>9</v>
      </c>
      <c r="M3" s="8">
        <f t="shared" ca="1" si="0"/>
        <v>2.1372549019607847</v>
      </c>
      <c r="N3" s="19" t="str">
        <f t="shared" ref="N3:N49" ca="1" si="3">IF(OR(E3=0,E3="-"),"",IF(F3&gt;=98%,"Achived",IF(G3&gt;=80%,"Wait","Lost")))</f>
        <v>Wait</v>
      </c>
      <c r="O3" s="23">
        <f t="shared" ref="O3:O49" ca="1" si="4">IF(E3=0,0,IF(N3="Wait",D3*0.9,IF($T$3="Y",E3,IF(AND(N3="achived",F3&lt;=1.1),E3,IF(F3&gt;=1.1,D3*1.1,IF(N3="Lost",E3,"ER"))))))</f>
        <v>27</v>
      </c>
      <c r="P3" s="39" t="str">
        <f>T3</f>
        <v>N</v>
      </c>
      <c r="Q3" s="39">
        <f t="shared" ref="Q3:Q50" si="5">IFERROR((I3*E3)/((J3/100)*86400),0)</f>
        <v>0.18541666666666667</v>
      </c>
      <c r="R3" s="62" t="s">
        <v>17</v>
      </c>
      <c r="S3" s="63"/>
      <c r="T3" s="62" t="str">
        <f>Validation!L6</f>
        <v>N</v>
      </c>
      <c r="U3" s="63"/>
    </row>
    <row r="4" spans="1:21" ht="22.5" thickTop="1" thickBot="1" x14ac:dyDescent="0.4">
      <c r="A4" s="40" t="str">
        <f>R3</f>
        <v>Red</v>
      </c>
      <c r="B4" s="40">
        <f ca="1">Master!$AX$1</f>
        <v>45965</v>
      </c>
      <c r="C4" s="6">
        <v>4.1666666666666664E-2</v>
      </c>
      <c r="D4" s="7">
        <f ca="1">Master!AM5</f>
        <v>25</v>
      </c>
      <c r="E4" s="8">
        <f>Master!K5</f>
        <v>1</v>
      </c>
      <c r="F4" s="9">
        <f t="shared" ca="1" si="1"/>
        <v>0.04</v>
      </c>
      <c r="G4" s="9">
        <f>Master!D5</f>
        <v>1</v>
      </c>
      <c r="H4" s="23">
        <f t="shared" si="2"/>
        <v>6770.4000000000005</v>
      </c>
      <c r="I4" s="8">
        <f>IFERROR(((Master!AF5*3600*24)*((Master!R5/100)/Master!K5)),0)</f>
        <v>6770.4000000000005</v>
      </c>
      <c r="J4" s="8">
        <f>Master!R5</f>
        <v>52</v>
      </c>
      <c r="K4" s="8">
        <f ca="1">(D4*Validation!$M$6/1800)/IF(Validation!$N$6="",(IF(OR(NOT(ISNUMBER(J4)),J4=0),1,J4%)),Validation!$N$6)</f>
        <v>5.7189542483660132</v>
      </c>
      <c r="L4" s="8">
        <f>Master!Y5</f>
        <v>8</v>
      </c>
      <c r="M4" s="8">
        <f t="shared" ca="1" si="0"/>
        <v>2.2810457516339868</v>
      </c>
      <c r="N4" s="19" t="str">
        <f t="shared" ca="1" si="3"/>
        <v>Wait</v>
      </c>
      <c r="O4" s="23">
        <f t="shared" ca="1" si="4"/>
        <v>22.5</v>
      </c>
      <c r="P4" s="39" t="str">
        <f>T3</f>
        <v>N</v>
      </c>
      <c r="Q4" s="39">
        <f t="shared" si="5"/>
        <v>0.15069444444444446</v>
      </c>
      <c r="R4" s="64"/>
      <c r="S4" s="65"/>
      <c r="T4" s="64"/>
      <c r="U4" s="65"/>
    </row>
    <row r="5" spans="1:21" ht="22.5" thickTop="1" thickBot="1" x14ac:dyDescent="0.4">
      <c r="A5" s="40" t="str">
        <f>R3</f>
        <v>Red</v>
      </c>
      <c r="B5" s="40">
        <f ca="1">Master!$AX$1</f>
        <v>45965</v>
      </c>
      <c r="C5" s="6">
        <v>6.25E-2</v>
      </c>
      <c r="D5" s="7">
        <f ca="1">Master!AM6</f>
        <v>19</v>
      </c>
      <c r="E5" s="8">
        <f>Master!K6</f>
        <v>12</v>
      </c>
      <c r="F5" s="9">
        <f t="shared" ca="1" si="1"/>
        <v>0.63157894736842102</v>
      </c>
      <c r="G5" s="9">
        <f>Master!D6</f>
        <v>1</v>
      </c>
      <c r="H5" s="23">
        <f t="shared" si="2"/>
        <v>5961.6</v>
      </c>
      <c r="I5" s="8">
        <f>IFERROR(((Master!AF6*3600*24)*((Master!R6/100)/Master!K6)),0)</f>
        <v>496.80000000000007</v>
      </c>
      <c r="J5" s="8">
        <f>Master!R6</f>
        <v>46</v>
      </c>
      <c r="K5" s="8">
        <f ca="1">(D5*Validation!$M$6/1800)/IF(Validation!$N$6="",(IF(OR(NOT(ISNUMBER(J5)),J5=0),1,J5%)),Validation!$N$6)</f>
        <v>4.3464052287581705</v>
      </c>
      <c r="L5" s="8">
        <f>Master!Y6</f>
        <v>7</v>
      </c>
      <c r="M5" s="8">
        <f t="shared" ca="1" si="0"/>
        <v>2.6535947712418295</v>
      </c>
      <c r="N5" s="19" t="str">
        <f t="shared" ca="1" si="3"/>
        <v>Wait</v>
      </c>
      <c r="O5" s="23">
        <f t="shared" ca="1" si="4"/>
        <v>17.100000000000001</v>
      </c>
      <c r="P5" s="39" t="str">
        <f>T3</f>
        <v>N</v>
      </c>
      <c r="Q5" s="39">
        <f t="shared" si="5"/>
        <v>0.15000000000000002</v>
      </c>
    </row>
    <row r="6" spans="1:21" ht="22.5" thickTop="1" thickBot="1" x14ac:dyDescent="0.4">
      <c r="A6" s="40" t="str">
        <f>R3</f>
        <v>Red</v>
      </c>
      <c r="B6" s="40">
        <f ca="1">Master!$AX$1</f>
        <v>45965</v>
      </c>
      <c r="C6" s="6">
        <v>8.3333333333333301E-2</v>
      </c>
      <c r="D6" s="7">
        <f ca="1">Master!AM7</f>
        <v>15</v>
      </c>
      <c r="E6" s="8">
        <f>Master!K7</f>
        <v>9</v>
      </c>
      <c r="F6" s="9">
        <f t="shared" ca="1" si="1"/>
        <v>0.6</v>
      </c>
      <c r="G6" s="9">
        <f>Master!D7</f>
        <v>1</v>
      </c>
      <c r="H6" s="23">
        <f t="shared" si="2"/>
        <v>5522.4000000000005</v>
      </c>
      <c r="I6" s="8">
        <f>IFERROR(((Master!AF7*3600*24)*((Master!R7/100)/Master!K7)),0)</f>
        <v>613.6</v>
      </c>
      <c r="J6" s="8">
        <f>Master!R7</f>
        <v>52</v>
      </c>
      <c r="K6" s="8">
        <f ca="1">(D6*Validation!$M$6/1800)/IF(Validation!$N$6="",(IF(OR(NOT(ISNUMBER(J6)),J6=0),1,J6%)),Validation!$N$6)</f>
        <v>3.4313725490196076</v>
      </c>
      <c r="L6" s="8">
        <f>Master!Y7</f>
        <v>6</v>
      </c>
      <c r="M6" s="8">
        <f t="shared" ca="1" si="0"/>
        <v>2.5686274509803924</v>
      </c>
      <c r="N6" s="19" t="str">
        <f t="shared" ca="1" si="3"/>
        <v>Wait</v>
      </c>
      <c r="O6" s="23">
        <f t="shared" ca="1" si="4"/>
        <v>13.5</v>
      </c>
      <c r="P6" s="39" t="str">
        <f>T3</f>
        <v>N</v>
      </c>
      <c r="Q6" s="39">
        <f t="shared" si="5"/>
        <v>0.12291666666666667</v>
      </c>
    </row>
    <row r="7" spans="1:21" ht="22.5" thickTop="1" thickBot="1" x14ac:dyDescent="0.4">
      <c r="A7" s="40" t="str">
        <f>R3</f>
        <v>Red</v>
      </c>
      <c r="B7" s="40">
        <f ca="1">Master!$AX$1</f>
        <v>45965</v>
      </c>
      <c r="C7" s="6">
        <v>0.104166666666667</v>
      </c>
      <c r="D7" s="7">
        <f ca="1">Master!AM8</f>
        <v>11</v>
      </c>
      <c r="E7" s="8">
        <f>Master!K8</f>
        <v>3</v>
      </c>
      <c r="F7" s="9">
        <f t="shared" ca="1" si="1"/>
        <v>0.27272727272727271</v>
      </c>
      <c r="G7" s="9">
        <f>Master!D8</f>
        <v>1</v>
      </c>
      <c r="H7" s="23">
        <f t="shared" si="2"/>
        <v>4672.7999999999993</v>
      </c>
      <c r="I7" s="8">
        <f>IFERROR(((Master!AF8*3600*24)*((Master!R8/100)/Master!K8)),0)</f>
        <v>1557.6</v>
      </c>
      <c r="J7" s="8">
        <f>Master!R8</f>
        <v>44</v>
      </c>
      <c r="K7" s="8">
        <f ca="1">(D7*Validation!$M$6/1800)/IF(Validation!$N$6="",(IF(OR(NOT(ISNUMBER(J7)),J7=0),1,J7%)),Validation!$N$6)</f>
        <v>2.5163398692810457</v>
      </c>
      <c r="L7" s="8">
        <f>Master!Y8</f>
        <v>6</v>
      </c>
      <c r="M7" s="8">
        <f t="shared" ca="1" si="0"/>
        <v>3.4836601307189543</v>
      </c>
      <c r="N7" s="19" t="str">
        <f t="shared" ca="1" si="3"/>
        <v>Wait</v>
      </c>
      <c r="O7" s="23">
        <f t="shared" ca="1" si="4"/>
        <v>9.9</v>
      </c>
      <c r="P7" s="39" t="str">
        <f>T3</f>
        <v>N</v>
      </c>
      <c r="Q7" s="39">
        <f t="shared" si="5"/>
        <v>0.12291666666666665</v>
      </c>
    </row>
    <row r="8" spans="1:21" ht="22.5" hidden="1" thickTop="1" thickBot="1" x14ac:dyDescent="0.4">
      <c r="A8" s="40" t="str">
        <f>R3</f>
        <v>Red</v>
      </c>
      <c r="B8" s="40">
        <f ca="1">Master!$AX$1</f>
        <v>45965</v>
      </c>
      <c r="C8" s="6">
        <v>0.125</v>
      </c>
      <c r="D8" s="7">
        <f ca="1">Master!AM9</f>
        <v>0</v>
      </c>
      <c r="E8" s="8" t="str">
        <f>Master!K9</f>
        <v>-</v>
      </c>
      <c r="F8" s="9" t="str">
        <f t="shared" si="1"/>
        <v/>
      </c>
      <c r="G8" s="9" t="str">
        <f>Master!D9</f>
        <v>-</v>
      </c>
      <c r="H8" s="23">
        <f t="shared" si="2"/>
        <v>0</v>
      </c>
      <c r="I8" s="8">
        <f>IFERROR(((Master!AF9*3600*24)*((Master!R9/100)/Master!K9)),0)</f>
        <v>0</v>
      </c>
      <c r="J8" s="8" t="str">
        <f>Master!R9</f>
        <v>-</v>
      </c>
      <c r="K8" s="8">
        <f ca="1">(D8*Validation!$M$6/1800)/IF(Validation!$N$6="",(IF(OR(NOT(ISNUMBER(J8)),J8=0),1,J8%)),Validation!$N$6)</f>
        <v>0</v>
      </c>
      <c r="L8" s="8" t="str">
        <f>Master!Y9</f>
        <v>-</v>
      </c>
      <c r="M8" s="8" t="str">
        <f t="shared" si="0"/>
        <v>-</v>
      </c>
      <c r="N8" s="19" t="str">
        <f t="shared" si="3"/>
        <v/>
      </c>
      <c r="O8" s="23">
        <f t="shared" ca="1" si="4"/>
        <v>0</v>
      </c>
      <c r="P8" s="39" t="str">
        <f>T3</f>
        <v>N</v>
      </c>
      <c r="Q8" s="39">
        <f t="shared" si="5"/>
        <v>0</v>
      </c>
    </row>
    <row r="9" spans="1:21" ht="22.5" hidden="1" thickTop="1" thickBot="1" x14ac:dyDescent="0.4">
      <c r="A9" s="40" t="str">
        <f>R3</f>
        <v>Red</v>
      </c>
      <c r="B9" s="40">
        <f ca="1">Master!$AX$1</f>
        <v>45965</v>
      </c>
      <c r="C9" s="6">
        <v>0.14583333333333301</v>
      </c>
      <c r="D9" s="7">
        <f ca="1">Master!AM10</f>
        <v>0</v>
      </c>
      <c r="E9" s="8" t="str">
        <f>Master!K10</f>
        <v>-</v>
      </c>
      <c r="F9" s="9" t="str">
        <f t="shared" si="1"/>
        <v/>
      </c>
      <c r="G9" s="9" t="str">
        <f>Master!D10</f>
        <v>-</v>
      </c>
      <c r="H9" s="23">
        <f t="shared" si="2"/>
        <v>0</v>
      </c>
      <c r="I9" s="8">
        <f>IFERROR(((Master!AF10*3600*24)*((Master!R10/100)/Master!K10)),0)</f>
        <v>0</v>
      </c>
      <c r="J9" s="8" t="str">
        <f>Master!R10</f>
        <v>-</v>
      </c>
      <c r="K9" s="8">
        <f ca="1">(D9*Validation!$M$6/1800)/IF(Validation!$N$6="",(IF(OR(NOT(ISNUMBER(J9)),J9=0),1,J9%)),Validation!$N$6)</f>
        <v>0</v>
      </c>
      <c r="L9" s="8" t="str">
        <f>Master!Y10</f>
        <v>-</v>
      </c>
      <c r="M9" s="8" t="str">
        <f t="shared" si="0"/>
        <v>-</v>
      </c>
      <c r="N9" s="19" t="str">
        <f t="shared" si="3"/>
        <v/>
      </c>
      <c r="O9" s="23">
        <f t="shared" ca="1" si="4"/>
        <v>0</v>
      </c>
      <c r="P9" s="39" t="str">
        <f>T3</f>
        <v>N</v>
      </c>
      <c r="Q9" s="39">
        <f t="shared" si="5"/>
        <v>0</v>
      </c>
    </row>
    <row r="10" spans="1:21" ht="22.5" hidden="1" thickTop="1" thickBot="1" x14ac:dyDescent="0.4">
      <c r="A10" s="40" t="str">
        <f>R3</f>
        <v>Red</v>
      </c>
      <c r="B10" s="40">
        <f ca="1">Master!$AX$1</f>
        <v>45965</v>
      </c>
      <c r="C10" s="6">
        <v>0.16666666666666699</v>
      </c>
      <c r="D10" s="7">
        <f ca="1">Master!AM11</f>
        <v>0</v>
      </c>
      <c r="E10" s="8" t="str">
        <f>Master!K11</f>
        <v>-</v>
      </c>
      <c r="F10" s="9" t="str">
        <f t="shared" si="1"/>
        <v/>
      </c>
      <c r="G10" s="9" t="str">
        <f>Master!D11</f>
        <v>-</v>
      </c>
      <c r="H10" s="23">
        <f t="shared" si="2"/>
        <v>0</v>
      </c>
      <c r="I10" s="8">
        <f>IFERROR(((Master!AF11*3600*24)*((Master!R11/100)/Master!K11)),0)</f>
        <v>0</v>
      </c>
      <c r="J10" s="8" t="str">
        <f>Master!R11</f>
        <v>-</v>
      </c>
      <c r="K10" s="8">
        <f ca="1">(D10*Validation!$M$6/1800)/IF(Validation!$N$6="",(IF(OR(NOT(ISNUMBER(J10)),J10=0),1,J10%)),Validation!$N$6)</f>
        <v>0</v>
      </c>
      <c r="L10" s="8" t="str">
        <f>Master!Y11</f>
        <v>-</v>
      </c>
      <c r="M10" s="8" t="str">
        <f t="shared" si="0"/>
        <v>-</v>
      </c>
      <c r="N10" s="19" t="str">
        <f t="shared" si="3"/>
        <v/>
      </c>
      <c r="O10" s="23">
        <f t="shared" ca="1" si="4"/>
        <v>0</v>
      </c>
      <c r="P10" s="39" t="str">
        <f>T3</f>
        <v>N</v>
      </c>
      <c r="Q10" s="39">
        <f t="shared" si="5"/>
        <v>0</v>
      </c>
    </row>
    <row r="11" spans="1:21" ht="22.5" hidden="1" thickTop="1" thickBot="1" x14ac:dyDescent="0.4">
      <c r="A11" s="40" t="str">
        <f>R3</f>
        <v>Red</v>
      </c>
      <c r="B11" s="40">
        <f ca="1">Master!$AX$1</f>
        <v>45965</v>
      </c>
      <c r="C11" s="6">
        <v>0.1875</v>
      </c>
      <c r="D11" s="7">
        <f ca="1">Master!AM12</f>
        <v>0</v>
      </c>
      <c r="E11" s="8" t="str">
        <f>Master!K12</f>
        <v>-</v>
      </c>
      <c r="F11" s="9" t="str">
        <f t="shared" si="1"/>
        <v/>
      </c>
      <c r="G11" s="9" t="str">
        <f>Master!D12</f>
        <v>-</v>
      </c>
      <c r="H11" s="23">
        <f t="shared" si="2"/>
        <v>0</v>
      </c>
      <c r="I11" s="8">
        <f>IFERROR(((Master!AF12*3600*24)*((Master!R12/100)/Master!K12)),0)</f>
        <v>0</v>
      </c>
      <c r="J11" s="8" t="str">
        <f>Master!R12</f>
        <v>-</v>
      </c>
      <c r="K11" s="8">
        <f ca="1">(D11*Validation!$M$6/1800)/IF(Validation!$N$6="",(IF(OR(NOT(ISNUMBER(J11)),J11=0),1,J11%)),Validation!$N$6)</f>
        <v>0</v>
      </c>
      <c r="L11" s="8" t="str">
        <f>Master!Y12</f>
        <v>-</v>
      </c>
      <c r="M11" s="8" t="str">
        <f t="shared" si="0"/>
        <v>-</v>
      </c>
      <c r="N11" s="19" t="str">
        <f t="shared" si="3"/>
        <v/>
      </c>
      <c r="O11" s="23">
        <f t="shared" ca="1" si="4"/>
        <v>0</v>
      </c>
      <c r="P11" s="39" t="str">
        <f>T3</f>
        <v>N</v>
      </c>
      <c r="Q11" s="39">
        <f t="shared" si="5"/>
        <v>0</v>
      </c>
    </row>
    <row r="12" spans="1:21" ht="22.5" hidden="1" thickTop="1" thickBot="1" x14ac:dyDescent="0.4">
      <c r="A12" s="40" t="str">
        <f>R3</f>
        <v>Red</v>
      </c>
      <c r="B12" s="40">
        <f ca="1">Master!$AX$1</f>
        <v>45965</v>
      </c>
      <c r="C12" s="6">
        <v>0.20833333333333301</v>
      </c>
      <c r="D12" s="7">
        <f ca="1">Master!AM13</f>
        <v>0</v>
      </c>
      <c r="E12" s="8" t="str">
        <f>Master!K13</f>
        <v>-</v>
      </c>
      <c r="F12" s="9" t="str">
        <f t="shared" si="1"/>
        <v/>
      </c>
      <c r="G12" s="9" t="str">
        <f>Master!D13</f>
        <v>-</v>
      </c>
      <c r="H12" s="23">
        <f t="shared" si="2"/>
        <v>0</v>
      </c>
      <c r="I12" s="8">
        <f>IFERROR(((Master!AF13*3600*24)*((Master!R13/100)/Master!K13)),0)</f>
        <v>0</v>
      </c>
      <c r="J12" s="8" t="str">
        <f>Master!R13</f>
        <v>-</v>
      </c>
      <c r="K12" s="8">
        <f ca="1">(D12*Validation!$M$6/1800)/IF(Validation!$N$6="",(IF(OR(NOT(ISNUMBER(J12)),J12=0),1,J12%)),Validation!$N$6)</f>
        <v>0</v>
      </c>
      <c r="L12" s="8" t="str">
        <f>Master!Y13</f>
        <v>-</v>
      </c>
      <c r="M12" s="8" t="str">
        <f t="shared" si="0"/>
        <v>-</v>
      </c>
      <c r="N12" s="19" t="str">
        <f t="shared" si="3"/>
        <v/>
      </c>
      <c r="O12" s="23">
        <f t="shared" ca="1" si="4"/>
        <v>0</v>
      </c>
      <c r="P12" s="39" t="str">
        <f>T3</f>
        <v>N</v>
      </c>
      <c r="Q12" s="39">
        <f t="shared" si="5"/>
        <v>0</v>
      </c>
    </row>
    <row r="13" spans="1:21" ht="22.5" hidden="1" thickTop="1" thickBot="1" x14ac:dyDescent="0.4">
      <c r="A13" s="40" t="str">
        <f>R3</f>
        <v>Red</v>
      </c>
      <c r="B13" s="40">
        <f ca="1">Master!$AX$1</f>
        <v>45965</v>
      </c>
      <c r="C13" s="6">
        <v>0.22916666666666699</v>
      </c>
      <c r="D13" s="7">
        <f ca="1">Master!AM14</f>
        <v>0</v>
      </c>
      <c r="E13" s="8" t="str">
        <f>Master!K14</f>
        <v>-</v>
      </c>
      <c r="F13" s="9" t="str">
        <f t="shared" si="1"/>
        <v/>
      </c>
      <c r="G13" s="9" t="str">
        <f>Master!D14</f>
        <v>-</v>
      </c>
      <c r="H13" s="23">
        <f t="shared" si="2"/>
        <v>0</v>
      </c>
      <c r="I13" s="8">
        <f>IFERROR(((Master!AF14*3600*24)*((Master!R14/100)/Master!K14)),0)</f>
        <v>0</v>
      </c>
      <c r="J13" s="8" t="str">
        <f>Master!R14</f>
        <v>-</v>
      </c>
      <c r="K13" s="8">
        <f ca="1">(D13*Validation!$M$6/1800)/IF(Validation!$N$6="",(IF(OR(NOT(ISNUMBER(J13)),J13=0),1,J13%)),Validation!$N$6)</f>
        <v>0</v>
      </c>
      <c r="L13" s="8" t="str">
        <f>Master!Y14</f>
        <v>-</v>
      </c>
      <c r="M13" s="8" t="str">
        <f t="shared" si="0"/>
        <v>-</v>
      </c>
      <c r="N13" s="19" t="str">
        <f t="shared" si="3"/>
        <v/>
      </c>
      <c r="O13" s="23">
        <f t="shared" ca="1" si="4"/>
        <v>0</v>
      </c>
      <c r="P13" s="39" t="str">
        <f>T3</f>
        <v>N</v>
      </c>
      <c r="Q13" s="39">
        <f t="shared" si="5"/>
        <v>0</v>
      </c>
    </row>
    <row r="14" spans="1:21" ht="22.5" hidden="1" thickTop="1" thickBot="1" x14ac:dyDescent="0.4">
      <c r="A14" s="40" t="str">
        <f>R3</f>
        <v>Red</v>
      </c>
      <c r="B14" s="40">
        <f ca="1">Master!$AX$1</f>
        <v>45965</v>
      </c>
      <c r="C14" s="6">
        <v>0.25</v>
      </c>
      <c r="D14" s="7">
        <f ca="1">Master!AM15</f>
        <v>0</v>
      </c>
      <c r="E14" s="8" t="str">
        <f>Master!K15</f>
        <v>-</v>
      </c>
      <c r="F14" s="9" t="str">
        <f t="shared" si="1"/>
        <v/>
      </c>
      <c r="G14" s="9" t="str">
        <f>Master!D15</f>
        <v>-</v>
      </c>
      <c r="H14" s="23">
        <f t="shared" si="2"/>
        <v>0</v>
      </c>
      <c r="I14" s="8">
        <f>IFERROR(((Master!AF15*3600*24)*((Master!R15/100)/Master!K15)),0)</f>
        <v>0</v>
      </c>
      <c r="J14" s="8" t="str">
        <f>Master!R15</f>
        <v>-</v>
      </c>
      <c r="K14" s="8">
        <f ca="1">(D14*Validation!$M$6/1800)/IF(Validation!$N$6="",(IF(OR(NOT(ISNUMBER(J14)),J14=0),1,J14%)),Validation!$N$6)</f>
        <v>0</v>
      </c>
      <c r="L14" s="8" t="str">
        <f>Master!Y15</f>
        <v>-</v>
      </c>
      <c r="M14" s="8" t="str">
        <f t="shared" si="0"/>
        <v>-</v>
      </c>
      <c r="N14" s="19" t="str">
        <f t="shared" si="3"/>
        <v/>
      </c>
      <c r="O14" s="23">
        <f t="shared" ca="1" si="4"/>
        <v>0</v>
      </c>
      <c r="P14" s="39" t="str">
        <f>T3</f>
        <v>N</v>
      </c>
      <c r="Q14" s="39">
        <f t="shared" si="5"/>
        <v>0</v>
      </c>
    </row>
    <row r="15" spans="1:21" ht="22.5" hidden="1" thickTop="1" thickBot="1" x14ac:dyDescent="0.4">
      <c r="A15" s="40" t="str">
        <f>R3</f>
        <v>Red</v>
      </c>
      <c r="B15" s="40">
        <f ca="1">Master!$AX$1</f>
        <v>45965</v>
      </c>
      <c r="C15" s="6">
        <v>0.27083333333333298</v>
      </c>
      <c r="D15" s="7">
        <f ca="1">Master!AM16</f>
        <v>0</v>
      </c>
      <c r="E15" s="8" t="str">
        <f>Master!K16</f>
        <v>-</v>
      </c>
      <c r="F15" s="9" t="str">
        <f t="shared" si="1"/>
        <v/>
      </c>
      <c r="G15" s="9" t="str">
        <f>Master!D16</f>
        <v>-</v>
      </c>
      <c r="H15" s="23">
        <f t="shared" si="2"/>
        <v>0</v>
      </c>
      <c r="I15" s="8">
        <f>IFERROR(((Master!AF16*3600*24)*((Master!R16/100)/Master!K16)),0)</f>
        <v>0</v>
      </c>
      <c r="J15" s="8" t="str">
        <f>Master!R16</f>
        <v>-</v>
      </c>
      <c r="K15" s="8">
        <f ca="1">(D15*Validation!$M$6/1800)/IF(Validation!$N$6="",(IF(OR(NOT(ISNUMBER(J15)),J15=0),1,J15%)),Validation!$N$6)</f>
        <v>0</v>
      </c>
      <c r="L15" s="8" t="str">
        <f>Master!Y16</f>
        <v>-</v>
      </c>
      <c r="M15" s="8" t="str">
        <f t="shared" si="0"/>
        <v>-</v>
      </c>
      <c r="N15" s="19" t="str">
        <f t="shared" si="3"/>
        <v/>
      </c>
      <c r="O15" s="23">
        <f t="shared" ca="1" si="4"/>
        <v>0</v>
      </c>
      <c r="P15" s="39" t="str">
        <f>T3</f>
        <v>N</v>
      </c>
      <c r="Q15" s="39">
        <f t="shared" si="5"/>
        <v>0</v>
      </c>
    </row>
    <row r="16" spans="1:21" ht="22.5" hidden="1" thickTop="1" thickBot="1" x14ac:dyDescent="0.4">
      <c r="A16" s="40" t="str">
        <f>R3</f>
        <v>Red</v>
      </c>
      <c r="B16" s="40">
        <f ca="1">Master!$AX$1</f>
        <v>45965</v>
      </c>
      <c r="C16" s="6">
        <v>0.29166666666666702</v>
      </c>
      <c r="D16" s="7">
        <f ca="1">Master!AM17</f>
        <v>0</v>
      </c>
      <c r="E16" s="8" t="str">
        <f>Master!K17</f>
        <v>-</v>
      </c>
      <c r="F16" s="9" t="str">
        <f t="shared" si="1"/>
        <v/>
      </c>
      <c r="G16" s="9" t="str">
        <f>Master!D17</f>
        <v>-</v>
      </c>
      <c r="H16" s="23">
        <f t="shared" si="2"/>
        <v>0</v>
      </c>
      <c r="I16" s="8">
        <f>IFERROR(((Master!AF17*3600*24)*((Master!R17/100)/Master!K17)),0)</f>
        <v>0</v>
      </c>
      <c r="J16" s="8" t="str">
        <f>Master!R17</f>
        <v>-</v>
      </c>
      <c r="K16" s="8">
        <f ca="1">(D16*Validation!$M$6/1800)/IF(Validation!$N$6="",(IF(OR(NOT(ISNUMBER(J16)),J16=0),1,J16%)),Validation!$N$6)</f>
        <v>0</v>
      </c>
      <c r="L16" s="8" t="str">
        <f>Master!Y17</f>
        <v>-</v>
      </c>
      <c r="M16" s="8" t="str">
        <f t="shared" si="0"/>
        <v>-</v>
      </c>
      <c r="N16" s="19" t="str">
        <f t="shared" si="3"/>
        <v/>
      </c>
      <c r="O16" s="23">
        <f t="shared" ca="1" si="4"/>
        <v>0</v>
      </c>
      <c r="P16" s="39" t="str">
        <f>T3</f>
        <v>N</v>
      </c>
      <c r="Q16" s="39">
        <f t="shared" si="5"/>
        <v>0</v>
      </c>
    </row>
    <row r="17" spans="1:17" ht="22.5" hidden="1" thickTop="1" thickBot="1" x14ac:dyDescent="0.4">
      <c r="A17" s="40" t="str">
        <f>R3</f>
        <v>Red</v>
      </c>
      <c r="B17" s="40">
        <f ca="1">Master!$AX$1</f>
        <v>45965</v>
      </c>
      <c r="C17" s="6">
        <v>0.3125</v>
      </c>
      <c r="D17" s="7">
        <f ca="1">Master!AM18</f>
        <v>0</v>
      </c>
      <c r="E17" s="8" t="str">
        <f>Master!K18</f>
        <v>-</v>
      </c>
      <c r="F17" s="9" t="str">
        <f t="shared" si="1"/>
        <v/>
      </c>
      <c r="G17" s="9" t="str">
        <f>Master!D18</f>
        <v>-</v>
      </c>
      <c r="H17" s="23">
        <f t="shared" si="2"/>
        <v>0</v>
      </c>
      <c r="I17" s="8">
        <f>IFERROR(((Master!AF18*3600*24)*((Master!R18/100)/Master!K18)),0)</f>
        <v>0</v>
      </c>
      <c r="J17" s="8" t="str">
        <f>Master!R18</f>
        <v>-</v>
      </c>
      <c r="K17" s="8">
        <f ca="1">(D17*Validation!$M$6/1800)/IF(Validation!$N$6="",(IF(OR(NOT(ISNUMBER(J17)),J17=0),1,J17%)),Validation!$N$6)</f>
        <v>0</v>
      </c>
      <c r="L17" s="8" t="str">
        <f>Master!Y18</f>
        <v>-</v>
      </c>
      <c r="M17" s="8" t="str">
        <f t="shared" si="0"/>
        <v>-</v>
      </c>
      <c r="N17" s="19" t="str">
        <f t="shared" si="3"/>
        <v/>
      </c>
      <c r="O17" s="23">
        <f t="shared" ca="1" si="4"/>
        <v>0</v>
      </c>
      <c r="P17" s="39" t="str">
        <f>T3</f>
        <v>N</v>
      </c>
      <c r="Q17" s="39">
        <f t="shared" si="5"/>
        <v>0</v>
      </c>
    </row>
    <row r="18" spans="1:17" ht="22.5" thickTop="1" thickBot="1" x14ac:dyDescent="0.4">
      <c r="A18" s="40" t="str">
        <f>R3</f>
        <v>Red</v>
      </c>
      <c r="B18" s="40">
        <f ca="1">Master!$AX$1</f>
        <v>45965</v>
      </c>
      <c r="C18" s="6">
        <v>0.33333333333333298</v>
      </c>
      <c r="D18" s="7">
        <f ca="1">Master!AM19</f>
        <v>15</v>
      </c>
      <c r="E18" s="8">
        <f>Master!K19</f>
        <v>10</v>
      </c>
      <c r="F18" s="9">
        <f t="shared" ca="1" si="1"/>
        <v>0.66666666666666663</v>
      </c>
      <c r="G18" s="9">
        <f>Master!D19</f>
        <v>1</v>
      </c>
      <c r="H18" s="23">
        <f t="shared" si="2"/>
        <v>3292.7999999999997</v>
      </c>
      <c r="I18" s="8">
        <f>IFERROR(((Master!AF19*3600*24)*((Master!R19/100)/Master!K19)),0)</f>
        <v>329.28</v>
      </c>
      <c r="J18" s="8">
        <f>Master!R19</f>
        <v>28</v>
      </c>
      <c r="K18" s="8">
        <f ca="1">(D18*Validation!$M$6/1800)/IF(Validation!$N$6="",(IF(OR(NOT(ISNUMBER(J18)),J18=0),1,J18%)),Validation!$N$6)</f>
        <v>3.4313725490196076</v>
      </c>
      <c r="L18" s="8">
        <f>Master!Y19</f>
        <v>5</v>
      </c>
      <c r="M18" s="8">
        <f t="shared" ca="1" si="0"/>
        <v>1.5686274509803924</v>
      </c>
      <c r="N18" s="19" t="str">
        <f t="shared" ca="1" si="3"/>
        <v>Wait</v>
      </c>
      <c r="O18" s="23">
        <f t="shared" ca="1" si="4"/>
        <v>13.5</v>
      </c>
      <c r="P18" s="39" t="str">
        <f>T3</f>
        <v>N</v>
      </c>
      <c r="Q18" s="39">
        <f t="shared" si="5"/>
        <v>0.13611111111111107</v>
      </c>
    </row>
    <row r="19" spans="1:17" ht="22.5" thickTop="1" thickBot="1" x14ac:dyDescent="0.4">
      <c r="A19" s="40" t="str">
        <f>R3</f>
        <v>Red</v>
      </c>
      <c r="B19" s="40">
        <f ca="1">Master!$AX$1</f>
        <v>45965</v>
      </c>
      <c r="C19" s="6">
        <v>0.35416666666666702</v>
      </c>
      <c r="D19" s="7">
        <f ca="1">Master!AM20</f>
        <v>16</v>
      </c>
      <c r="E19" s="8">
        <f>Master!K20</f>
        <v>19</v>
      </c>
      <c r="F19" s="9">
        <f t="shared" ca="1" si="1"/>
        <v>1.1875</v>
      </c>
      <c r="G19" s="9">
        <f>Master!D20</f>
        <v>1</v>
      </c>
      <c r="H19" s="23">
        <f t="shared" si="2"/>
        <v>4176</v>
      </c>
      <c r="I19" s="8">
        <f>IFERROR(((Master!AF20*3600*24)*((Master!R20/100)/Master!K20)),0)</f>
        <v>219.78947368421052</v>
      </c>
      <c r="J19" s="8">
        <f>Master!R20</f>
        <v>40</v>
      </c>
      <c r="K19" s="8">
        <f ca="1">(D19*Validation!$M$6/1800)/IF(Validation!$N$6="",(IF(OR(NOT(ISNUMBER(J19)),J19=0),1,J19%)),Validation!$N$6)</f>
        <v>3.6601307189542487</v>
      </c>
      <c r="L19" s="8">
        <f>Master!Y20</f>
        <v>8</v>
      </c>
      <c r="M19" s="8">
        <f t="shared" ca="1" si="0"/>
        <v>4.3398692810457513</v>
      </c>
      <c r="N19" s="19" t="str">
        <f t="shared" ca="1" si="3"/>
        <v>Achived</v>
      </c>
      <c r="O19" s="23">
        <f t="shared" ca="1" si="4"/>
        <v>17.600000000000001</v>
      </c>
      <c r="P19" s="39" t="str">
        <f>T3</f>
        <v>N</v>
      </c>
      <c r="Q19" s="39">
        <f t="shared" si="5"/>
        <v>0.12083333333333333</v>
      </c>
    </row>
    <row r="20" spans="1:17" ht="22.5" thickTop="1" thickBot="1" x14ac:dyDescent="0.4">
      <c r="A20" s="40" t="str">
        <f>R3</f>
        <v>Red</v>
      </c>
      <c r="B20" s="40">
        <f ca="1">Master!$AX$1</f>
        <v>45965</v>
      </c>
      <c r="C20" s="6">
        <v>0.375</v>
      </c>
      <c r="D20" s="7">
        <f ca="1">Master!AM21</f>
        <v>23</v>
      </c>
      <c r="E20" s="8">
        <f>Master!K21</f>
        <v>14</v>
      </c>
      <c r="F20" s="9">
        <f t="shared" ca="1" si="1"/>
        <v>0.60869565217391308</v>
      </c>
      <c r="G20" s="9">
        <f>Master!D21</f>
        <v>1</v>
      </c>
      <c r="H20" s="23">
        <f t="shared" si="2"/>
        <v>5338.1999999999989</v>
      </c>
      <c r="I20" s="8">
        <f>IFERROR(((Master!AF21*3600*24)*((Master!R21/100)/Master!K21)),0)</f>
        <v>381.29999999999995</v>
      </c>
      <c r="J20" s="8">
        <f>Master!R21</f>
        <v>41</v>
      </c>
      <c r="K20" s="8">
        <f ca="1">(D20*Validation!$M$6/1800)/IF(Validation!$N$6="",(IF(OR(NOT(ISNUMBER(J20)),J20=0),1,J20%)),Validation!$N$6)</f>
        <v>5.261437908496732</v>
      </c>
      <c r="L20" s="8">
        <f>Master!Y21</f>
        <v>5</v>
      </c>
      <c r="M20" s="8">
        <f t="shared" ca="1" si="0"/>
        <v>-0.26143790849673199</v>
      </c>
      <c r="N20" s="19" t="str">
        <f t="shared" ca="1" si="3"/>
        <v>Wait</v>
      </c>
      <c r="O20" s="23">
        <f t="shared" ca="1" si="4"/>
        <v>20.7</v>
      </c>
      <c r="P20" s="39" t="str">
        <f>T3</f>
        <v>N</v>
      </c>
      <c r="Q20" s="39">
        <f t="shared" si="5"/>
        <v>0.15069444444444441</v>
      </c>
    </row>
    <row r="21" spans="1:17" ht="22.5" thickTop="1" thickBot="1" x14ac:dyDescent="0.4">
      <c r="A21" s="40" t="str">
        <f>R3</f>
        <v>Red</v>
      </c>
      <c r="B21" s="40">
        <f ca="1">Master!$AX$1</f>
        <v>45965</v>
      </c>
      <c r="C21" s="6">
        <v>0.39583333333333298</v>
      </c>
      <c r="D21" s="7">
        <f ca="1">Master!AM22</f>
        <v>28</v>
      </c>
      <c r="E21" s="8">
        <f>Master!K22</f>
        <v>25</v>
      </c>
      <c r="F21" s="9">
        <f t="shared" ca="1" si="1"/>
        <v>0.8928571428571429</v>
      </c>
      <c r="G21" s="9">
        <f>Master!D22</f>
        <v>1</v>
      </c>
      <c r="H21" s="23">
        <f t="shared" si="2"/>
        <v>6525</v>
      </c>
      <c r="I21" s="8">
        <f>IFERROR(((Master!AF22*3600*24)*((Master!R22/100)/Master!K23)),0)</f>
        <v>261</v>
      </c>
      <c r="J21" s="8">
        <f>Master!R22</f>
        <v>40</v>
      </c>
      <c r="K21" s="8">
        <f ca="1">(D21*Validation!$M$6/1800)/IF(Validation!$N$6="",(IF(OR(NOT(ISNUMBER(J21)),J21=0),1,J21%)),Validation!$N$6)</f>
        <v>6.405228758169935</v>
      </c>
      <c r="L21" s="8">
        <f>Master!Y22</f>
        <v>9</v>
      </c>
      <c r="M21" s="8">
        <f t="shared" ca="1" si="0"/>
        <v>2.594771241830065</v>
      </c>
      <c r="N21" s="19" t="str">
        <f t="shared" ca="1" si="3"/>
        <v>Wait</v>
      </c>
      <c r="O21" s="23">
        <f t="shared" ca="1" si="4"/>
        <v>25.2</v>
      </c>
      <c r="P21" s="39" t="str">
        <f>T3</f>
        <v>N</v>
      </c>
      <c r="Q21" s="39">
        <f t="shared" si="5"/>
        <v>0.18880208333333334</v>
      </c>
    </row>
    <row r="22" spans="1:17" ht="22.5" thickTop="1" thickBot="1" x14ac:dyDescent="0.4">
      <c r="A22" s="40" t="str">
        <f>R3</f>
        <v>Red</v>
      </c>
      <c r="B22" s="40">
        <f ca="1">Master!$AX$1</f>
        <v>45965</v>
      </c>
      <c r="C22" s="6">
        <v>0.41666666666666702</v>
      </c>
      <c r="D22" s="7">
        <f ca="1">Master!AM23</f>
        <v>34</v>
      </c>
      <c r="E22" s="8">
        <f>Master!K23</f>
        <v>24</v>
      </c>
      <c r="F22" s="9">
        <f t="shared" ca="1" si="1"/>
        <v>0.70588235294117652</v>
      </c>
      <c r="G22" s="9">
        <f>Master!D23</f>
        <v>1</v>
      </c>
      <c r="H22" s="23">
        <f t="shared" si="2"/>
        <v>0</v>
      </c>
      <c r="I22" s="8">
        <f>IFERROR(((Master!AF23*3600*24)*((Master!R23/100)/Master!#REF!)),0)</f>
        <v>0</v>
      </c>
      <c r="J22" s="8">
        <f>Master!R23</f>
        <v>24</v>
      </c>
      <c r="K22" s="8">
        <f ca="1">(D22*Validation!$M$6/1800)/IF(Validation!$N$6="",(IF(OR(NOT(ISNUMBER(J22)),J22=0),1,J22%)),Validation!$N$6)</f>
        <v>7.7777777777777777</v>
      </c>
      <c r="L22" s="8">
        <f>Master!Y23</f>
        <v>9</v>
      </c>
      <c r="M22" s="8">
        <f t="shared" ca="1" si="0"/>
        <v>1.2222222222222223</v>
      </c>
      <c r="N22" s="19" t="str">
        <f t="shared" ca="1" si="3"/>
        <v>Wait</v>
      </c>
      <c r="O22" s="23">
        <f t="shared" ca="1" si="4"/>
        <v>30.6</v>
      </c>
      <c r="P22" s="39" t="str">
        <f>T3</f>
        <v>N</v>
      </c>
      <c r="Q22" s="39">
        <f t="shared" si="5"/>
        <v>0</v>
      </c>
    </row>
    <row r="23" spans="1:17" ht="22.5" thickTop="1" thickBot="1" x14ac:dyDescent="0.4">
      <c r="A23" s="40" t="str">
        <f>R3</f>
        <v>Red</v>
      </c>
      <c r="B23" s="40">
        <f ca="1">Master!$AX$1</f>
        <v>45965</v>
      </c>
      <c r="C23" s="6">
        <v>0.4375</v>
      </c>
      <c r="D23" s="7">
        <f ca="1">Master!AM24</f>
        <v>36</v>
      </c>
      <c r="E23" s="8">
        <f>Master!K24</f>
        <v>33</v>
      </c>
      <c r="F23" s="9">
        <f t="shared" ca="1" si="1"/>
        <v>0.91666666666666663</v>
      </c>
      <c r="G23" s="9">
        <f>Master!D24</f>
        <v>1</v>
      </c>
      <c r="H23" s="23">
        <f t="shared" si="2"/>
        <v>5767.2</v>
      </c>
      <c r="I23" s="8">
        <f>IFERROR(((Master!AF24*3600*24)*((Master!R24/100)/Master!K24)),0)</f>
        <v>174.76363636363635</v>
      </c>
      <c r="J23" s="8">
        <f>Master!R24</f>
        <v>36</v>
      </c>
      <c r="K23" s="8">
        <f ca="1">(D23*Validation!$M$6/1800)/IF(Validation!$N$6="",(IF(OR(NOT(ISNUMBER(J23)),J23=0),1,J23%)),Validation!$N$6)</f>
        <v>8.2352941176470598</v>
      </c>
      <c r="L23" s="8">
        <f>Master!Y24</f>
        <v>9</v>
      </c>
      <c r="M23" s="8">
        <f t="shared" ca="1" si="0"/>
        <v>0.76470588235294024</v>
      </c>
      <c r="N23" s="19" t="str">
        <f t="shared" ca="1" si="3"/>
        <v>Wait</v>
      </c>
      <c r="O23" s="23">
        <f t="shared" ca="1" si="4"/>
        <v>32.4</v>
      </c>
      <c r="P23" s="39" t="str">
        <f>T3</f>
        <v>N</v>
      </c>
      <c r="Q23" s="39">
        <f t="shared" si="5"/>
        <v>0.18541666666666667</v>
      </c>
    </row>
    <row r="24" spans="1:17" ht="22.5" thickTop="1" thickBot="1" x14ac:dyDescent="0.4">
      <c r="A24" s="40" t="str">
        <f>R3</f>
        <v>Red</v>
      </c>
      <c r="B24" s="40">
        <f ca="1">Master!$AX$1</f>
        <v>45965</v>
      </c>
      <c r="C24" s="6">
        <v>0.45833333333333298</v>
      </c>
      <c r="D24" s="7">
        <f ca="1">Master!AM25</f>
        <v>41</v>
      </c>
      <c r="E24" s="8">
        <f>Master!K25</f>
        <v>28</v>
      </c>
      <c r="F24" s="9">
        <f t="shared" ca="1" si="1"/>
        <v>0.68292682926829273</v>
      </c>
      <c r="G24" s="9">
        <f>Master!D25</f>
        <v>1</v>
      </c>
      <c r="H24" s="23">
        <f t="shared" si="2"/>
        <v>7908.5999999999995</v>
      </c>
      <c r="I24" s="8">
        <f>IFERROR(((Master!AF25*3600*24)*((Master!R25/100)/Master!K25)),0)</f>
        <v>282.45</v>
      </c>
      <c r="J24" s="8">
        <f>Master!R25</f>
        <v>49</v>
      </c>
      <c r="K24" s="8">
        <f ca="1">(D24*Validation!$M$6/1800)/IF(Validation!$N$6="",(IF(OR(NOT(ISNUMBER(J24)),J24=0),1,J24%)),Validation!$N$6)</f>
        <v>9.3790849673202619</v>
      </c>
      <c r="L24" s="8">
        <f>Master!Y25</f>
        <v>10</v>
      </c>
      <c r="M24" s="8">
        <f t="shared" ca="1" si="0"/>
        <v>0.62091503267973813</v>
      </c>
      <c r="N24" s="19" t="str">
        <f t="shared" ca="1" si="3"/>
        <v>Wait</v>
      </c>
      <c r="O24" s="23">
        <f t="shared" ca="1" si="4"/>
        <v>36.9</v>
      </c>
      <c r="P24" s="39" t="str">
        <f>T3</f>
        <v>N</v>
      </c>
      <c r="Q24" s="39">
        <f t="shared" si="5"/>
        <v>0.18680555555555553</v>
      </c>
    </row>
    <row r="25" spans="1:17" ht="22.5" thickTop="1" thickBot="1" x14ac:dyDescent="0.4">
      <c r="A25" s="40" t="str">
        <f>R3</f>
        <v>Red</v>
      </c>
      <c r="B25" s="40">
        <f ca="1">Master!$AX$1</f>
        <v>45965</v>
      </c>
      <c r="C25" s="6">
        <v>0.47916666666666702</v>
      </c>
      <c r="D25" s="7">
        <f ca="1">Master!AM26</f>
        <v>37</v>
      </c>
      <c r="E25" s="8">
        <f>Master!K26</f>
        <v>39</v>
      </c>
      <c r="F25" s="9">
        <f t="shared" ca="1" si="1"/>
        <v>1.0540540540540539</v>
      </c>
      <c r="G25" s="9">
        <f>Master!D26</f>
        <v>1</v>
      </c>
      <c r="H25" s="23">
        <f t="shared" si="2"/>
        <v>7893.6</v>
      </c>
      <c r="I25" s="8">
        <f>IFERROR(((Master!AF26*3600*24)*((Master!R26/100)/Master!K26)),0)</f>
        <v>202.4</v>
      </c>
      <c r="J25" s="8">
        <f>Master!R26</f>
        <v>52</v>
      </c>
      <c r="K25" s="8">
        <f ca="1">(D25*Validation!$M$6/1800)/IF(Validation!$N$6="",(IF(OR(NOT(ISNUMBER(J25)),J25=0),1,J25%)),Validation!$N$6)</f>
        <v>8.4640522875816995</v>
      </c>
      <c r="L25" s="8">
        <f>Master!Y26</f>
        <v>10</v>
      </c>
      <c r="M25" s="8">
        <f t="shared" ca="1" si="0"/>
        <v>1.5359477124183005</v>
      </c>
      <c r="N25" s="19" t="str">
        <f t="shared" ca="1" si="3"/>
        <v>Achived</v>
      </c>
      <c r="O25" s="23">
        <f t="shared" ca="1" si="4"/>
        <v>39</v>
      </c>
      <c r="P25" s="39" t="str">
        <f>T3</f>
        <v>N</v>
      </c>
      <c r="Q25" s="39">
        <f t="shared" si="5"/>
        <v>0.17569444444444446</v>
      </c>
    </row>
    <row r="26" spans="1:17" ht="22.5" thickTop="1" thickBot="1" x14ac:dyDescent="0.4">
      <c r="A26" s="40" t="str">
        <f>R3</f>
        <v>Red</v>
      </c>
      <c r="B26" s="40">
        <f ca="1">Master!$AX$1</f>
        <v>45965</v>
      </c>
      <c r="C26" s="6">
        <v>0.5</v>
      </c>
      <c r="D26" s="7">
        <f ca="1">Master!AM27</f>
        <v>40</v>
      </c>
      <c r="E26" s="8">
        <f>Master!K27</f>
        <v>28</v>
      </c>
      <c r="F26" s="9">
        <f t="shared" ca="1" si="1"/>
        <v>0.7</v>
      </c>
      <c r="G26" s="9">
        <f>Master!D27</f>
        <v>1</v>
      </c>
      <c r="H26" s="23">
        <f t="shared" si="2"/>
        <v>9933.0000000000018</v>
      </c>
      <c r="I26" s="8">
        <f>IFERROR(((Master!AF27*3600*24)*((Master!R27/100)/Master!K27)),0)</f>
        <v>354.75000000000006</v>
      </c>
      <c r="J26" s="8">
        <f>Master!R27</f>
        <v>55</v>
      </c>
      <c r="K26" s="8">
        <f ca="1">(D26*Validation!$M$6/1800)/IF(Validation!$N$6="",(IF(OR(NOT(ISNUMBER(J26)),J26=0),1,J26%)),Validation!$N$6)</f>
        <v>9.1503267973856204</v>
      </c>
      <c r="L26" s="8">
        <f>Master!Y27</f>
        <v>11</v>
      </c>
      <c r="M26" s="8">
        <f t="shared" ca="1" si="0"/>
        <v>1.8496732026143796</v>
      </c>
      <c r="N26" s="19" t="str">
        <f t="shared" ca="1" si="3"/>
        <v>Wait</v>
      </c>
      <c r="O26" s="23">
        <f t="shared" ca="1" si="4"/>
        <v>36</v>
      </c>
      <c r="P26" s="39" t="str">
        <f>T3</f>
        <v>N</v>
      </c>
      <c r="Q26" s="39">
        <f t="shared" si="5"/>
        <v>0.20902777777777778</v>
      </c>
    </row>
    <row r="27" spans="1:17" ht="22.5" thickTop="1" thickBot="1" x14ac:dyDescent="0.4">
      <c r="A27" s="40" t="str">
        <f>R3</f>
        <v>Red</v>
      </c>
      <c r="B27" s="40">
        <f ca="1">Master!$AX$1</f>
        <v>45965</v>
      </c>
      <c r="C27" s="6">
        <v>0.52083333333333304</v>
      </c>
      <c r="D27" s="7">
        <f ca="1">Master!AM28</f>
        <v>49</v>
      </c>
      <c r="E27" s="8">
        <f>Master!K28</f>
        <v>46</v>
      </c>
      <c r="F27" s="9">
        <f t="shared" ca="1" si="1"/>
        <v>0.93877551020408168</v>
      </c>
      <c r="G27" s="9">
        <f>Master!D28</f>
        <v>1</v>
      </c>
      <c r="H27" s="23">
        <f t="shared" si="2"/>
        <v>13306.2</v>
      </c>
      <c r="I27" s="8">
        <f>IFERROR(((Master!AF28*3600*24)*((Master!R28/100)/Master!K28)),0)</f>
        <v>289.26521739130436</v>
      </c>
      <c r="J27" s="8">
        <f>Master!R28</f>
        <v>67</v>
      </c>
      <c r="K27" s="8">
        <f ca="1">(D27*Validation!$M$6/1800)/IF(Validation!$N$6="",(IF(OR(NOT(ISNUMBER(J27)),J27=0),1,J27%)),Validation!$N$6)</f>
        <v>11.209150326797387</v>
      </c>
      <c r="L27" s="8">
        <f>Master!Y28</f>
        <v>11</v>
      </c>
      <c r="M27" s="8">
        <f t="shared" ca="1" si="0"/>
        <v>-0.20915032679738665</v>
      </c>
      <c r="N27" s="19" t="str">
        <f t="shared" ca="1" si="3"/>
        <v>Wait</v>
      </c>
      <c r="O27" s="23">
        <f t="shared" ca="1" si="4"/>
        <v>44.1</v>
      </c>
      <c r="P27" s="39" t="str">
        <f>T3</f>
        <v>N</v>
      </c>
      <c r="Q27" s="39">
        <f t="shared" si="5"/>
        <v>0.22986111111111113</v>
      </c>
    </row>
    <row r="28" spans="1:17" ht="22.5" thickTop="1" thickBot="1" x14ac:dyDescent="0.4">
      <c r="A28" s="40" t="str">
        <f>R3</f>
        <v>Red</v>
      </c>
      <c r="B28" s="40">
        <f ca="1">Master!$AX$1</f>
        <v>45965</v>
      </c>
      <c r="C28" s="6">
        <v>0.54166666666666696</v>
      </c>
      <c r="D28" s="7">
        <f ca="1">Master!AM29</f>
        <v>54</v>
      </c>
      <c r="E28" s="8">
        <f>Master!K29</f>
        <v>47</v>
      </c>
      <c r="F28" s="9">
        <f t="shared" ca="1" si="1"/>
        <v>0.87037037037037035</v>
      </c>
      <c r="G28" s="9">
        <f>Master!D29</f>
        <v>0.93</v>
      </c>
      <c r="H28" s="23">
        <f t="shared" si="2"/>
        <v>14126.399999999998</v>
      </c>
      <c r="I28" s="8">
        <f>IFERROR(((Master!AF29*3600*24)*((Master!R29/100)/Master!K29)),0)</f>
        <v>300.56170212765954</v>
      </c>
      <c r="J28" s="8">
        <f>Master!R29</f>
        <v>72</v>
      </c>
      <c r="K28" s="8">
        <f ca="1">(D28*Validation!$M$6/1800)/IF(Validation!$N$6="",(IF(OR(NOT(ISNUMBER(J28)),J28=0),1,J28%)),Validation!$N$6)</f>
        <v>12.352941176470589</v>
      </c>
      <c r="L28" s="8">
        <f>Master!Y29</f>
        <v>12</v>
      </c>
      <c r="M28" s="8">
        <f t="shared" ca="1" si="0"/>
        <v>-0.35294117647058876</v>
      </c>
      <c r="N28" s="19" t="str">
        <f t="shared" ca="1" si="3"/>
        <v>Wait</v>
      </c>
      <c r="O28" s="23">
        <f t="shared" ca="1" si="4"/>
        <v>48.6</v>
      </c>
      <c r="P28" s="39" t="str">
        <f>T3</f>
        <v>N</v>
      </c>
      <c r="Q28" s="39">
        <f t="shared" si="5"/>
        <v>0.2270833333333333</v>
      </c>
    </row>
    <row r="29" spans="1:17" ht="22.5" thickTop="1" thickBot="1" x14ac:dyDescent="0.4">
      <c r="A29" s="40" t="str">
        <f>R3</f>
        <v>Red</v>
      </c>
      <c r="B29" s="40">
        <f ca="1">Master!$AX$1</f>
        <v>45965</v>
      </c>
      <c r="C29" s="6">
        <v>0.5625</v>
      </c>
      <c r="D29" s="7">
        <f ca="1">Master!AM30</f>
        <v>57</v>
      </c>
      <c r="E29" s="8">
        <f>Master!K30</f>
        <v>49</v>
      </c>
      <c r="F29" s="9">
        <f t="shared" ca="1" si="1"/>
        <v>0.85964912280701755</v>
      </c>
      <c r="G29" s="9">
        <f>Master!D30</f>
        <v>1</v>
      </c>
      <c r="H29" s="23">
        <f t="shared" si="2"/>
        <v>13622.4</v>
      </c>
      <c r="I29" s="8">
        <f>IFERROR(((Master!AF30*3600*24)*((Master!R30/100)/Master!K30)),0)</f>
        <v>278.00816326530611</v>
      </c>
      <c r="J29" s="8">
        <f>Master!R30</f>
        <v>66</v>
      </c>
      <c r="K29" s="8">
        <f ca="1">(D29*Validation!$M$6/1800)/IF(Validation!$N$6="",(IF(OR(NOT(ISNUMBER(J29)),J29=0),1,J29%)),Validation!$N$6)</f>
        <v>13.039215686274511</v>
      </c>
      <c r="L29" s="8">
        <f>Master!Y30</f>
        <v>12</v>
      </c>
      <c r="M29" s="8">
        <f t="shared" ca="1" si="0"/>
        <v>-1.0392156862745114</v>
      </c>
      <c r="N29" s="19" t="str">
        <f t="shared" ca="1" si="3"/>
        <v>Wait</v>
      </c>
      <c r="O29" s="23">
        <f t="shared" ca="1" si="4"/>
        <v>51.300000000000004</v>
      </c>
      <c r="P29" s="39" t="str">
        <f>T3</f>
        <v>N</v>
      </c>
      <c r="Q29" s="39">
        <f t="shared" si="5"/>
        <v>0.23888888888888887</v>
      </c>
    </row>
    <row r="30" spans="1:17" ht="22.5" thickTop="1" thickBot="1" x14ac:dyDescent="0.4">
      <c r="A30" s="40" t="str">
        <f>R3</f>
        <v>Red</v>
      </c>
      <c r="B30" s="40">
        <f ca="1">Master!$AX$1</f>
        <v>45965</v>
      </c>
      <c r="C30" s="6">
        <v>0.58333333333333304</v>
      </c>
      <c r="D30" s="7">
        <f ca="1">Master!AM31</f>
        <v>59</v>
      </c>
      <c r="E30" s="8">
        <f>Master!K31</f>
        <v>26</v>
      </c>
      <c r="F30" s="9">
        <f t="shared" ca="1" si="1"/>
        <v>0.44067796610169491</v>
      </c>
      <c r="G30" s="9">
        <f>Master!D31</f>
        <v>0.95</v>
      </c>
      <c r="H30" s="23">
        <f t="shared" si="2"/>
        <v>12625.199999999997</v>
      </c>
      <c r="I30" s="8">
        <f>IFERROR(((Master!AF31*3600*24)*((Master!R31/100)/Master!K31)),0)</f>
        <v>485.58461538461529</v>
      </c>
      <c r="J30" s="8">
        <f>Master!R31</f>
        <v>63</v>
      </c>
      <c r="K30" s="8">
        <f ca="1">(D30*Validation!$M$6/1800)/IF(Validation!$N$6="",(IF(OR(NOT(ISNUMBER(J30)),J30=0),1,J30%)),Validation!$N$6)</f>
        <v>13.496732026143791</v>
      </c>
      <c r="L30" s="8">
        <f>Master!Y31</f>
        <v>10</v>
      </c>
      <c r="M30" s="8">
        <f t="shared" ca="1" si="0"/>
        <v>-3.4967320261437909</v>
      </c>
      <c r="N30" s="19" t="str">
        <f t="shared" ca="1" si="3"/>
        <v>Wait</v>
      </c>
      <c r="O30" s="23">
        <f t="shared" ca="1" si="4"/>
        <v>53.1</v>
      </c>
      <c r="P30" s="39" t="str">
        <f>T3</f>
        <v>N</v>
      </c>
      <c r="Q30" s="39">
        <f t="shared" si="5"/>
        <v>0.2319444444444444</v>
      </c>
    </row>
    <row r="31" spans="1:17" ht="22.5" thickTop="1" thickBot="1" x14ac:dyDescent="0.4">
      <c r="A31" s="40" t="str">
        <f>R3</f>
        <v>Red</v>
      </c>
      <c r="B31" s="40">
        <f ca="1">Master!$AX$1</f>
        <v>45965</v>
      </c>
      <c r="C31" s="6">
        <v>0.60416666666666696</v>
      </c>
      <c r="D31" s="7">
        <f ca="1">Master!AM32</f>
        <v>50</v>
      </c>
      <c r="E31" s="8">
        <f>Master!K32</f>
        <v>50</v>
      </c>
      <c r="F31" s="9">
        <f t="shared" ca="1" si="1"/>
        <v>1</v>
      </c>
      <c r="G31" s="9">
        <f>Master!D32</f>
        <v>1</v>
      </c>
      <c r="H31" s="19">
        <f t="shared" si="2"/>
        <v>15249.6</v>
      </c>
      <c r="I31" s="8">
        <f>IFERROR(((Master!AF32*3600*24)*((Master!R32/100)/Master!K32)),0)</f>
        <v>304.99200000000002</v>
      </c>
      <c r="J31" s="8">
        <f>Master!R32</f>
        <v>72</v>
      </c>
      <c r="K31" s="8">
        <f ca="1">(D31*Validation!$M$6/1800)/IF(Validation!$N$6="",(IF(OR(NOT(ISNUMBER(J31)),J31=0),1,J31%)),Validation!$N$6)</f>
        <v>11.437908496732026</v>
      </c>
      <c r="L31" s="8">
        <f>Master!Y32</f>
        <v>12</v>
      </c>
      <c r="M31" s="8">
        <f t="shared" ca="1" si="0"/>
        <v>0.56209150326797364</v>
      </c>
      <c r="N31" s="19" t="str">
        <f t="shared" ca="1" si="3"/>
        <v>Achived</v>
      </c>
      <c r="O31" s="23">
        <f t="shared" ca="1" si="4"/>
        <v>50</v>
      </c>
      <c r="P31" s="39" t="str">
        <f>T3</f>
        <v>N</v>
      </c>
      <c r="Q31" s="39">
        <f t="shared" si="5"/>
        <v>0.24513888888888891</v>
      </c>
    </row>
    <row r="32" spans="1:17" ht="22.5" thickTop="1" thickBot="1" x14ac:dyDescent="0.4">
      <c r="A32" s="40" t="str">
        <f>R3</f>
        <v>Red</v>
      </c>
      <c r="B32" s="40">
        <f ca="1">Master!$AX$1</f>
        <v>45965</v>
      </c>
      <c r="C32" s="6">
        <v>0.625</v>
      </c>
      <c r="D32" s="7">
        <f ca="1">Master!AM33</f>
        <v>55</v>
      </c>
      <c r="E32" s="8">
        <f>Master!K33</f>
        <v>33</v>
      </c>
      <c r="F32" s="9">
        <f t="shared" ca="1" si="1"/>
        <v>0.6</v>
      </c>
      <c r="G32" s="9">
        <f>Master!D33</f>
        <v>1</v>
      </c>
      <c r="H32" s="19">
        <f t="shared" si="2"/>
        <v>13691.999999999998</v>
      </c>
      <c r="I32" s="8">
        <f>IFERROR(((Master!AF33*3600*24)*((Master!R33/100)/Master!K33)),0)</f>
        <v>414.90909090909088</v>
      </c>
      <c r="J32" s="8">
        <f>Master!R33</f>
        <v>70</v>
      </c>
      <c r="K32" s="8">
        <f ca="1">(D32*Validation!$M$6/1800)/IF(Validation!$N$6="",(IF(OR(NOT(ISNUMBER(J32)),J32=0),1,J32%)),Validation!$N$6)</f>
        <v>12.581699346405228</v>
      </c>
      <c r="L32" s="8">
        <f>Master!Y33</f>
        <v>12</v>
      </c>
      <c r="M32" s="8">
        <f t="shared" ca="1" si="0"/>
        <v>-0.58169934640522847</v>
      </c>
      <c r="N32" s="19" t="str">
        <f t="shared" ca="1" si="3"/>
        <v>Wait</v>
      </c>
      <c r="O32" s="23">
        <f t="shared" ca="1" si="4"/>
        <v>49.5</v>
      </c>
      <c r="P32" s="39" t="str">
        <f>T3</f>
        <v>N</v>
      </c>
      <c r="Q32" s="39">
        <f t="shared" si="5"/>
        <v>0.22638888888888889</v>
      </c>
    </row>
    <row r="33" spans="1:17" ht="22.5" thickTop="1" thickBot="1" x14ac:dyDescent="0.4">
      <c r="A33" s="40" t="str">
        <f>R3</f>
        <v>Red</v>
      </c>
      <c r="B33" s="40">
        <f ca="1">Master!$AX$1</f>
        <v>45965</v>
      </c>
      <c r="C33" s="6">
        <v>0.64583333333333304</v>
      </c>
      <c r="D33" s="7">
        <f ca="1">Master!AM34</f>
        <v>56</v>
      </c>
      <c r="E33" s="8">
        <f>Master!K34</f>
        <v>42</v>
      </c>
      <c r="F33" s="9">
        <f t="shared" ca="1" si="1"/>
        <v>0.75</v>
      </c>
      <c r="G33" s="9">
        <f>Master!D34</f>
        <v>0.97</v>
      </c>
      <c r="H33" s="19">
        <f t="shared" si="2"/>
        <v>13543.200000000003</v>
      </c>
      <c r="I33" s="8">
        <f>IFERROR(((Master!AF34*3600*24)*((Master!R34/100)/Master!K34)),0)</f>
        <v>322.45714285714291</v>
      </c>
      <c r="J33" s="8">
        <f>Master!R34</f>
        <v>76</v>
      </c>
      <c r="K33" s="8">
        <f ca="1">(D33*Validation!$M$6/1800)/IF(Validation!$N$6="",(IF(OR(NOT(ISNUMBER(J33)),J33=0),1,J33%)),Validation!$N$6)</f>
        <v>12.81045751633987</v>
      </c>
      <c r="L33" s="8">
        <f>Master!Y34</f>
        <v>12</v>
      </c>
      <c r="M33" s="8">
        <f t="shared" ca="1" si="0"/>
        <v>-0.81045751633986995</v>
      </c>
      <c r="N33" s="19" t="str">
        <f t="shared" ca="1" si="3"/>
        <v>Wait</v>
      </c>
      <c r="O33" s="23">
        <f t="shared" ca="1" si="4"/>
        <v>50.4</v>
      </c>
      <c r="P33" s="39" t="str">
        <f>T3</f>
        <v>N</v>
      </c>
      <c r="Q33" s="39">
        <f t="shared" si="5"/>
        <v>0.20625000000000004</v>
      </c>
    </row>
    <row r="34" spans="1:17" ht="22.5" thickTop="1" thickBot="1" x14ac:dyDescent="0.4">
      <c r="A34" s="40" t="str">
        <f>R3</f>
        <v>Red</v>
      </c>
      <c r="B34" s="40">
        <f ca="1">Master!$AX$1</f>
        <v>45965</v>
      </c>
      <c r="C34" s="6">
        <v>0.66666666666666696</v>
      </c>
      <c r="D34" s="7">
        <f ca="1">Master!AM35</f>
        <v>58</v>
      </c>
      <c r="E34" s="8">
        <f>Master!K35</f>
        <v>47</v>
      </c>
      <c r="F34" s="9">
        <f t="shared" ca="1" si="1"/>
        <v>0.81034482758620685</v>
      </c>
      <c r="G34" s="9">
        <f>Master!D35</f>
        <v>0.98</v>
      </c>
      <c r="H34" s="19">
        <f t="shared" si="2"/>
        <v>11661</v>
      </c>
      <c r="I34" s="8">
        <f>IFERROR(((Master!AF35*3600*24)*((Master!R35/100)/Master!K35)),0)</f>
        <v>248.10638297872342</v>
      </c>
      <c r="J34" s="8">
        <f>Master!R35</f>
        <v>65</v>
      </c>
      <c r="K34" s="8">
        <f ca="1">(D34*Validation!$M$6/1800)/IF(Validation!$N$6="",(IF(OR(NOT(ISNUMBER(J34)),J34=0),1,J34%)),Validation!$N$6)</f>
        <v>13.267973856209151</v>
      </c>
      <c r="L34" s="8">
        <f>Master!Y35</f>
        <v>10</v>
      </c>
      <c r="M34" s="8">
        <f t="shared" ca="1" si="0"/>
        <v>-3.2679738562091512</v>
      </c>
      <c r="N34" s="19" t="str">
        <f t="shared" ca="1" si="3"/>
        <v>Wait</v>
      </c>
      <c r="O34" s="23">
        <f t="shared" ca="1" si="4"/>
        <v>52.2</v>
      </c>
      <c r="P34" s="39" t="str">
        <f>T3</f>
        <v>N</v>
      </c>
      <c r="Q34" s="39">
        <f t="shared" si="5"/>
        <v>0.2076388888888889</v>
      </c>
    </row>
    <row r="35" spans="1:17" ht="22.5" thickTop="1" thickBot="1" x14ac:dyDescent="0.4">
      <c r="A35" s="40" t="str">
        <f>R3</f>
        <v>Red</v>
      </c>
      <c r="B35" s="40">
        <f ca="1">Master!$AX$1</f>
        <v>45965</v>
      </c>
      <c r="C35" s="6">
        <v>0.6875</v>
      </c>
      <c r="D35" s="7">
        <f ca="1">Master!AM36</f>
        <v>58</v>
      </c>
      <c r="E35" s="8">
        <f>Master!K36</f>
        <v>0</v>
      </c>
      <c r="F35" s="9" t="str">
        <f t="shared" si="1"/>
        <v/>
      </c>
      <c r="G35" s="9">
        <f>Master!D36</f>
        <v>0</v>
      </c>
      <c r="H35" s="19">
        <f t="shared" si="2"/>
        <v>0</v>
      </c>
      <c r="I35" s="8">
        <f>IFERROR(((Master!AF36*3600*24)*((Master!R36/100)/Master!K36)),0)</f>
        <v>0</v>
      </c>
      <c r="J35" s="8">
        <f>Master!R36</f>
        <v>0</v>
      </c>
      <c r="K35" s="8">
        <f ca="1">(D35*Validation!$M$6/1800)/IF(Validation!$N$6="",(IF(OR(NOT(ISNUMBER(J35)),J35=0),1,J35%)),Validation!$N$6)</f>
        <v>13.267973856209151</v>
      </c>
      <c r="L35" s="8">
        <f>Master!Y36</f>
        <v>0</v>
      </c>
      <c r="M35" s="8" t="str">
        <f t="shared" si="0"/>
        <v>-</v>
      </c>
      <c r="N35" s="19" t="str">
        <f t="shared" si="3"/>
        <v/>
      </c>
      <c r="O35" s="23">
        <f t="shared" si="4"/>
        <v>0</v>
      </c>
      <c r="P35" s="39" t="str">
        <f>T3</f>
        <v>N</v>
      </c>
      <c r="Q35" s="39">
        <f t="shared" si="5"/>
        <v>0</v>
      </c>
    </row>
    <row r="36" spans="1:17" ht="22.5" thickTop="1" thickBot="1" x14ac:dyDescent="0.4">
      <c r="A36" s="40" t="str">
        <f>R3</f>
        <v>Red</v>
      </c>
      <c r="B36" s="40">
        <f ca="1">Master!$AX$1</f>
        <v>45965</v>
      </c>
      <c r="C36" s="6">
        <v>0.70833333333333304</v>
      </c>
      <c r="D36" s="7">
        <f ca="1">Master!AM37</f>
        <v>51</v>
      </c>
      <c r="E36" s="8">
        <f>Master!K37</f>
        <v>0</v>
      </c>
      <c r="F36" s="9" t="str">
        <f t="shared" si="1"/>
        <v/>
      </c>
      <c r="G36" s="9">
        <f>Master!D37</f>
        <v>0</v>
      </c>
      <c r="H36" s="19">
        <f t="shared" si="2"/>
        <v>0</v>
      </c>
      <c r="I36" s="8">
        <f>IFERROR(((Master!AF37*3600*24)*((Master!R37/100)/Master!K37)),0)</f>
        <v>0</v>
      </c>
      <c r="J36" s="8">
        <f>Master!R37</f>
        <v>0</v>
      </c>
      <c r="K36" s="8">
        <f ca="1">(D36*Validation!$M$6/1800)/IF(Validation!$N$6="",(IF(OR(NOT(ISNUMBER(J36)),J36=0),1,J36%)),Validation!$N$6)</f>
        <v>11.666666666666666</v>
      </c>
      <c r="L36" s="8">
        <f>Master!Y37</f>
        <v>0</v>
      </c>
      <c r="M36" s="8" t="str">
        <f t="shared" si="0"/>
        <v>-</v>
      </c>
      <c r="N36" s="19" t="str">
        <f t="shared" si="3"/>
        <v/>
      </c>
      <c r="O36" s="23">
        <f t="shared" si="4"/>
        <v>0</v>
      </c>
      <c r="P36" s="39" t="str">
        <f>T3</f>
        <v>N</v>
      </c>
      <c r="Q36" s="39">
        <f t="shared" si="5"/>
        <v>0</v>
      </c>
    </row>
    <row r="37" spans="1:17" ht="22.5" thickTop="1" thickBot="1" x14ac:dyDescent="0.4">
      <c r="A37" s="40" t="str">
        <f>R3</f>
        <v>Red</v>
      </c>
      <c r="B37" s="40">
        <f ca="1">Master!$AX$1</f>
        <v>45965</v>
      </c>
      <c r="C37" s="6">
        <v>0.72916666666666696</v>
      </c>
      <c r="D37" s="7">
        <f ca="1">Master!AM38</f>
        <v>56</v>
      </c>
      <c r="E37" s="8">
        <f>Master!K38</f>
        <v>0</v>
      </c>
      <c r="F37" s="9" t="str">
        <f t="shared" si="1"/>
        <v/>
      </c>
      <c r="G37" s="9">
        <f>Master!D38</f>
        <v>0</v>
      </c>
      <c r="H37" s="19">
        <f t="shared" si="2"/>
        <v>0</v>
      </c>
      <c r="I37" s="8">
        <f>IFERROR(((Master!AF38*3600*24)*((Master!R38/100)/Master!K38)),0)</f>
        <v>0</v>
      </c>
      <c r="J37" s="8">
        <f>Master!R38</f>
        <v>0</v>
      </c>
      <c r="K37" s="8">
        <f ca="1">(D37*Validation!$M$6/1800)/IF(Validation!$N$6="",(IF(OR(NOT(ISNUMBER(J37)),J37=0),1,J37%)),Validation!$N$6)</f>
        <v>12.81045751633987</v>
      </c>
      <c r="L37" s="8">
        <f>Master!Y38</f>
        <v>0</v>
      </c>
      <c r="M37" s="8" t="str">
        <f t="shared" si="0"/>
        <v>-</v>
      </c>
      <c r="N37" s="19" t="str">
        <f t="shared" si="3"/>
        <v/>
      </c>
      <c r="O37" s="23">
        <f t="shared" si="4"/>
        <v>0</v>
      </c>
      <c r="P37" s="39" t="str">
        <f>T3</f>
        <v>N</v>
      </c>
      <c r="Q37" s="39">
        <f t="shared" si="5"/>
        <v>0</v>
      </c>
    </row>
    <row r="38" spans="1:17" ht="22.5" thickTop="1" thickBot="1" x14ac:dyDescent="0.4">
      <c r="A38" s="40" t="str">
        <f>R3</f>
        <v>Red</v>
      </c>
      <c r="B38" s="40">
        <f ca="1">Master!$AX$1</f>
        <v>45965</v>
      </c>
      <c r="C38" s="6">
        <v>0.75</v>
      </c>
      <c r="D38" s="7">
        <f ca="1">Master!AM39</f>
        <v>57</v>
      </c>
      <c r="E38" s="8">
        <f>Master!K39</f>
        <v>0</v>
      </c>
      <c r="F38" s="9" t="str">
        <f t="shared" si="1"/>
        <v/>
      </c>
      <c r="G38" s="9">
        <f>Master!D39</f>
        <v>0</v>
      </c>
      <c r="H38" s="19">
        <f t="shared" si="2"/>
        <v>0</v>
      </c>
      <c r="I38" s="8">
        <f>IFERROR(((Master!AF39*3600*24)*((Master!R39/100)/Master!K39)),0)</f>
        <v>0</v>
      </c>
      <c r="J38" s="8">
        <f>Master!R39</f>
        <v>0</v>
      </c>
      <c r="K38" s="8">
        <f ca="1">(D38*Validation!$M$6/1800)/IF(Validation!$N$6="",(IF(OR(NOT(ISNUMBER(J38)),J38=0),1,J38%)),Validation!$N$6)</f>
        <v>13.039215686274511</v>
      </c>
      <c r="L38" s="8">
        <f>Master!Y39</f>
        <v>0</v>
      </c>
      <c r="M38" s="8" t="str">
        <f t="shared" si="0"/>
        <v>-</v>
      </c>
      <c r="N38" s="19" t="str">
        <f t="shared" si="3"/>
        <v/>
      </c>
      <c r="O38" s="23">
        <f t="shared" si="4"/>
        <v>0</v>
      </c>
      <c r="P38" s="39" t="str">
        <f>T3</f>
        <v>N</v>
      </c>
      <c r="Q38" s="39">
        <f t="shared" si="5"/>
        <v>0</v>
      </c>
    </row>
    <row r="39" spans="1:17" ht="22.5" thickTop="1" thickBot="1" x14ac:dyDescent="0.4">
      <c r="A39" s="40" t="str">
        <f>R3</f>
        <v>Red</v>
      </c>
      <c r="B39" s="40">
        <f ca="1">Master!$AX$1</f>
        <v>45965</v>
      </c>
      <c r="C39" s="6">
        <v>0.77083333333333304</v>
      </c>
      <c r="D39" s="7">
        <f ca="1">Master!AM40</f>
        <v>52</v>
      </c>
      <c r="E39" s="8">
        <f>Master!K40</f>
        <v>0</v>
      </c>
      <c r="F39" s="9" t="str">
        <f t="shared" si="1"/>
        <v/>
      </c>
      <c r="G39" s="9">
        <f>Master!D40</f>
        <v>0</v>
      </c>
      <c r="H39" s="19">
        <f t="shared" si="2"/>
        <v>0</v>
      </c>
      <c r="I39" s="8">
        <f>IFERROR(((Master!AF40*3600*24)*((Master!R40/100)/Master!K40)),0)</f>
        <v>0</v>
      </c>
      <c r="J39" s="8">
        <f>Master!R40</f>
        <v>0</v>
      </c>
      <c r="K39" s="8">
        <f ca="1">(D39*Validation!$M$6/1800)/IF(Validation!$N$6="",(IF(OR(NOT(ISNUMBER(J39)),J39=0),1,J39%)),Validation!$N$6)</f>
        <v>11.895424836601308</v>
      </c>
      <c r="L39" s="8">
        <f>Master!Y40</f>
        <v>0</v>
      </c>
      <c r="M39" s="8" t="str">
        <f t="shared" si="0"/>
        <v>-</v>
      </c>
      <c r="N39" s="19" t="str">
        <f t="shared" si="3"/>
        <v/>
      </c>
      <c r="O39" s="23">
        <f t="shared" si="4"/>
        <v>0</v>
      </c>
      <c r="P39" s="39" t="str">
        <f>T3</f>
        <v>N</v>
      </c>
      <c r="Q39" s="39">
        <f t="shared" si="5"/>
        <v>0</v>
      </c>
    </row>
    <row r="40" spans="1:17" ht="22.5" thickTop="1" thickBot="1" x14ac:dyDescent="0.4">
      <c r="A40" s="40" t="str">
        <f>R3</f>
        <v>Red</v>
      </c>
      <c r="B40" s="40">
        <f ca="1">Master!$AX$1</f>
        <v>45965</v>
      </c>
      <c r="C40" s="6">
        <v>0.79166666666666696</v>
      </c>
      <c r="D40" s="7">
        <f ca="1">Master!AM41</f>
        <v>58</v>
      </c>
      <c r="E40" s="8">
        <f>Master!K41</f>
        <v>0</v>
      </c>
      <c r="F40" s="9" t="str">
        <f t="shared" si="1"/>
        <v/>
      </c>
      <c r="G40" s="9">
        <f>Master!D41</f>
        <v>0</v>
      </c>
      <c r="H40" s="19">
        <f t="shared" si="2"/>
        <v>0</v>
      </c>
      <c r="I40" s="8">
        <f>IFERROR(((Master!AF41*3600*24)*((Master!R41/100)/Master!K41)),0)</f>
        <v>0</v>
      </c>
      <c r="J40" s="8">
        <f>Master!R41</f>
        <v>0</v>
      </c>
      <c r="K40" s="8">
        <f ca="1">(D40*Validation!$M$6/1800)/IF(Validation!$N$6="",(IF(OR(NOT(ISNUMBER(J40)),J40=0),1,J40%)),Validation!$N$6)</f>
        <v>13.267973856209151</v>
      </c>
      <c r="L40" s="8">
        <f>Master!Y41</f>
        <v>0</v>
      </c>
      <c r="M40" s="8" t="str">
        <f t="shared" si="0"/>
        <v>-</v>
      </c>
      <c r="N40" s="19" t="str">
        <f t="shared" si="3"/>
        <v/>
      </c>
      <c r="O40" s="23">
        <f t="shared" si="4"/>
        <v>0</v>
      </c>
      <c r="P40" s="39" t="str">
        <f>T3</f>
        <v>N</v>
      </c>
      <c r="Q40" s="39">
        <f t="shared" si="5"/>
        <v>0</v>
      </c>
    </row>
    <row r="41" spans="1:17" ht="22.5" thickTop="1" thickBot="1" x14ac:dyDescent="0.4">
      <c r="A41" s="40" t="str">
        <f>R3</f>
        <v>Red</v>
      </c>
      <c r="B41" s="40">
        <f ca="1">Master!$AX$1</f>
        <v>45965</v>
      </c>
      <c r="C41" s="6">
        <v>0.8125</v>
      </c>
      <c r="D41" s="7">
        <f ca="1">Master!AM42</f>
        <v>61</v>
      </c>
      <c r="E41" s="8">
        <f>Master!K42</f>
        <v>0</v>
      </c>
      <c r="F41" s="9" t="str">
        <f t="shared" si="1"/>
        <v/>
      </c>
      <c r="G41" s="9">
        <f>Master!D42</f>
        <v>0</v>
      </c>
      <c r="H41" s="19">
        <f t="shared" si="2"/>
        <v>0</v>
      </c>
      <c r="I41" s="8">
        <f>IFERROR(((Master!AF42*3600*24)*((Master!R42/100)/Master!K42)),0)</f>
        <v>0</v>
      </c>
      <c r="J41" s="8">
        <f>Master!R42</f>
        <v>0</v>
      </c>
      <c r="K41" s="8">
        <f ca="1">(D41*Validation!$M$6/1800)/IF(Validation!$N$6="",(IF(OR(NOT(ISNUMBER(J41)),J41=0),1,J41%)),Validation!$N$6)</f>
        <v>13.954248366013072</v>
      </c>
      <c r="L41" s="8">
        <f>Master!Y42</f>
        <v>0</v>
      </c>
      <c r="M41" s="8" t="str">
        <f t="shared" si="0"/>
        <v>-</v>
      </c>
      <c r="N41" s="19" t="str">
        <f t="shared" si="3"/>
        <v/>
      </c>
      <c r="O41" s="23">
        <f t="shared" si="4"/>
        <v>0</v>
      </c>
      <c r="P41" s="39" t="str">
        <f>T3</f>
        <v>N</v>
      </c>
      <c r="Q41" s="39">
        <f t="shared" si="5"/>
        <v>0</v>
      </c>
    </row>
    <row r="42" spans="1:17" ht="22.5" thickTop="1" thickBot="1" x14ac:dyDescent="0.4">
      <c r="A42" s="40" t="str">
        <f>R3</f>
        <v>Red</v>
      </c>
      <c r="B42" s="40">
        <f ca="1">Master!$AX$1</f>
        <v>45965</v>
      </c>
      <c r="C42" s="6">
        <v>0.83333333333333304</v>
      </c>
      <c r="D42" s="7">
        <f ca="1">Master!AM43</f>
        <v>64</v>
      </c>
      <c r="E42" s="8">
        <f>Master!K43</f>
        <v>0</v>
      </c>
      <c r="F42" s="9" t="str">
        <f t="shared" si="1"/>
        <v/>
      </c>
      <c r="G42" s="9">
        <f>Master!D43</f>
        <v>0</v>
      </c>
      <c r="H42" s="19">
        <f t="shared" si="2"/>
        <v>0</v>
      </c>
      <c r="I42" s="8">
        <f>IFERROR(((Master!AF43*3600*24)*((Master!R43/100)/Master!K43)),0)</f>
        <v>0</v>
      </c>
      <c r="J42" s="8">
        <f>Master!R43</f>
        <v>0</v>
      </c>
      <c r="K42" s="8">
        <f ca="1">(D42*Validation!$M$6/1800)/IF(Validation!$N$6="",(IF(OR(NOT(ISNUMBER(J42)),J42=0),1,J42%)),Validation!$N$6)</f>
        <v>14.640522875816995</v>
      </c>
      <c r="L42" s="8">
        <f>Master!Y43</f>
        <v>0</v>
      </c>
      <c r="M42" s="8" t="str">
        <f t="shared" si="0"/>
        <v>-</v>
      </c>
      <c r="N42" s="19" t="str">
        <f t="shared" si="3"/>
        <v/>
      </c>
      <c r="O42" s="23">
        <f t="shared" si="4"/>
        <v>0</v>
      </c>
      <c r="P42" s="39" t="str">
        <f>T3</f>
        <v>N</v>
      </c>
      <c r="Q42" s="39">
        <f t="shared" si="5"/>
        <v>0</v>
      </c>
    </row>
    <row r="43" spans="1:17" ht="22.5" thickTop="1" thickBot="1" x14ac:dyDescent="0.4">
      <c r="A43" s="40" t="str">
        <f>R3</f>
        <v>Red</v>
      </c>
      <c r="B43" s="40">
        <f ca="1">Master!$AX$1</f>
        <v>45965</v>
      </c>
      <c r="C43" s="6">
        <v>0.85416666666666696</v>
      </c>
      <c r="D43" s="7">
        <f ca="1">Master!AM44</f>
        <v>63</v>
      </c>
      <c r="E43" s="8">
        <f>Master!K44</f>
        <v>0</v>
      </c>
      <c r="F43" s="9" t="str">
        <f t="shared" si="1"/>
        <v/>
      </c>
      <c r="G43" s="9">
        <f>Master!D44</f>
        <v>0</v>
      </c>
      <c r="H43" s="19">
        <f t="shared" si="2"/>
        <v>0</v>
      </c>
      <c r="I43" s="8">
        <f>IFERROR(((Master!AF44*3600*24)*((Master!R44/100)/Master!K44)),0)</f>
        <v>0</v>
      </c>
      <c r="J43" s="8">
        <f>Master!R44</f>
        <v>0</v>
      </c>
      <c r="K43" s="8">
        <f ca="1">(D43*Validation!$M$6/1800)/IF(Validation!$N$6="",(IF(OR(NOT(ISNUMBER(J43)),J43=0),1,J43%)),Validation!$N$6)</f>
        <v>14.411764705882353</v>
      </c>
      <c r="L43" s="8">
        <f>Master!Y44</f>
        <v>0</v>
      </c>
      <c r="M43" s="8" t="str">
        <f t="shared" si="0"/>
        <v>-</v>
      </c>
      <c r="N43" s="19" t="str">
        <f t="shared" si="3"/>
        <v/>
      </c>
      <c r="O43" s="23">
        <f t="shared" si="4"/>
        <v>0</v>
      </c>
      <c r="P43" s="39" t="str">
        <f>T3</f>
        <v>N</v>
      </c>
      <c r="Q43" s="39">
        <f t="shared" si="5"/>
        <v>0</v>
      </c>
    </row>
    <row r="44" spans="1:17" ht="22.5" thickTop="1" thickBot="1" x14ac:dyDescent="0.4">
      <c r="A44" s="40" t="str">
        <f>R3</f>
        <v>Red</v>
      </c>
      <c r="B44" s="40">
        <f ca="1">Master!$AX$1</f>
        <v>45965</v>
      </c>
      <c r="C44" s="6">
        <v>0.875</v>
      </c>
      <c r="D44" s="7">
        <f ca="1">Master!AM45</f>
        <v>61</v>
      </c>
      <c r="E44" s="8">
        <f>Master!K45</f>
        <v>0</v>
      </c>
      <c r="F44" s="9" t="str">
        <f t="shared" si="1"/>
        <v/>
      </c>
      <c r="G44" s="9">
        <f>Master!D45</f>
        <v>0</v>
      </c>
      <c r="H44" s="19">
        <f t="shared" si="2"/>
        <v>0</v>
      </c>
      <c r="I44" s="8">
        <f>IFERROR(((Master!AF45*3600*24)*((Master!R45/100)/Master!K45)),0)</f>
        <v>0</v>
      </c>
      <c r="J44" s="8">
        <f>Master!R45</f>
        <v>0</v>
      </c>
      <c r="K44" s="8">
        <f ca="1">(D44*Validation!$M$6/1800)/IF(Validation!$N$6="",(IF(OR(NOT(ISNUMBER(J44)),J44=0),1,J44%)),Validation!$N$6)</f>
        <v>13.954248366013072</v>
      </c>
      <c r="L44" s="8">
        <f>Master!Y45</f>
        <v>0</v>
      </c>
      <c r="M44" s="8" t="str">
        <f t="shared" si="0"/>
        <v>-</v>
      </c>
      <c r="N44" s="19" t="str">
        <f t="shared" si="3"/>
        <v/>
      </c>
      <c r="O44" s="23">
        <f t="shared" si="4"/>
        <v>0</v>
      </c>
      <c r="P44" s="39" t="str">
        <f>T3</f>
        <v>N</v>
      </c>
      <c r="Q44" s="39">
        <f t="shared" si="5"/>
        <v>0</v>
      </c>
    </row>
    <row r="45" spans="1:17" ht="22.5" thickTop="1" thickBot="1" x14ac:dyDescent="0.4">
      <c r="A45" s="40" t="str">
        <f>R3</f>
        <v>Red</v>
      </c>
      <c r="B45" s="40">
        <f ca="1">Master!$AX$1</f>
        <v>45965</v>
      </c>
      <c r="C45" s="6">
        <v>0.89583333333333304</v>
      </c>
      <c r="D45" s="7">
        <f ca="1">Master!AM46</f>
        <v>57</v>
      </c>
      <c r="E45" s="8">
        <f>Master!K46</f>
        <v>0</v>
      </c>
      <c r="F45" s="9" t="str">
        <f t="shared" si="1"/>
        <v/>
      </c>
      <c r="G45" s="9">
        <f>Master!D46</f>
        <v>0</v>
      </c>
      <c r="H45" s="19">
        <f t="shared" si="2"/>
        <v>0</v>
      </c>
      <c r="I45" s="8">
        <f>IFERROR(((Master!AF46*3600*24)*((Master!R46/100)/Master!K46)),0)</f>
        <v>0</v>
      </c>
      <c r="J45" s="8">
        <f>Master!R46</f>
        <v>0</v>
      </c>
      <c r="K45" s="8">
        <f ca="1">(D45*Validation!$M$6/1800)/IF(Validation!$N$6="",(IF(OR(NOT(ISNUMBER(J45)),J45=0),1,J45%)),Validation!$N$6)</f>
        <v>13.039215686274511</v>
      </c>
      <c r="L45" s="8">
        <f>Master!Y46</f>
        <v>0</v>
      </c>
      <c r="M45" s="8" t="str">
        <f t="shared" si="0"/>
        <v>-</v>
      </c>
      <c r="N45" s="19" t="str">
        <f t="shared" si="3"/>
        <v/>
      </c>
      <c r="O45" s="23">
        <f t="shared" si="4"/>
        <v>0</v>
      </c>
      <c r="P45" s="39" t="str">
        <f>T3</f>
        <v>N</v>
      </c>
      <c r="Q45" s="39">
        <f t="shared" si="5"/>
        <v>0</v>
      </c>
    </row>
    <row r="46" spans="1:17" ht="22.5" thickTop="1" thickBot="1" x14ac:dyDescent="0.4">
      <c r="A46" s="40" t="str">
        <f>R3</f>
        <v>Red</v>
      </c>
      <c r="B46" s="40">
        <f ca="1">Master!$AX$1</f>
        <v>45965</v>
      </c>
      <c r="C46" s="6">
        <v>0.91666666666666696</v>
      </c>
      <c r="D46" s="7">
        <f ca="1">Master!AM47</f>
        <v>52</v>
      </c>
      <c r="E46" s="8">
        <f>Master!K47</f>
        <v>0</v>
      </c>
      <c r="F46" s="9" t="str">
        <f t="shared" si="1"/>
        <v/>
      </c>
      <c r="G46" s="9">
        <f>Master!D47</f>
        <v>0</v>
      </c>
      <c r="H46" s="19">
        <f t="shared" si="2"/>
        <v>0</v>
      </c>
      <c r="I46" s="8">
        <f>IFERROR(((Master!AF47*3600*24)*((Master!R47/100)/Master!K47)),0)</f>
        <v>0</v>
      </c>
      <c r="J46" s="8">
        <f>Master!R47</f>
        <v>0</v>
      </c>
      <c r="K46" s="8">
        <f ca="1">(D46*Validation!$M$6/1800)/IF(Validation!$N$6="",(IF(OR(NOT(ISNUMBER(J46)),J46=0),1,J46%)),Validation!$N$6)</f>
        <v>11.895424836601308</v>
      </c>
      <c r="L46" s="8">
        <f>Master!Y47</f>
        <v>0</v>
      </c>
      <c r="M46" s="8" t="str">
        <f t="shared" si="0"/>
        <v>-</v>
      </c>
      <c r="N46" s="19" t="str">
        <f t="shared" si="3"/>
        <v/>
      </c>
      <c r="O46" s="23">
        <f t="shared" si="4"/>
        <v>0</v>
      </c>
      <c r="P46" s="39" t="str">
        <f>T3</f>
        <v>N</v>
      </c>
      <c r="Q46" s="39">
        <f t="shared" si="5"/>
        <v>0</v>
      </c>
    </row>
    <row r="47" spans="1:17" ht="22.5" thickTop="1" thickBot="1" x14ac:dyDescent="0.4">
      <c r="A47" s="40" t="str">
        <f>R3</f>
        <v>Red</v>
      </c>
      <c r="B47" s="40">
        <f ca="1">Master!$AX$1</f>
        <v>45965</v>
      </c>
      <c r="C47" s="6">
        <v>0.9375</v>
      </c>
      <c r="D47" s="7">
        <f ca="1">Master!AM48</f>
        <v>47</v>
      </c>
      <c r="E47" s="8">
        <f>Master!K48</f>
        <v>0</v>
      </c>
      <c r="F47" s="9" t="str">
        <f t="shared" si="1"/>
        <v/>
      </c>
      <c r="G47" s="9">
        <f>Master!D48</f>
        <v>0</v>
      </c>
      <c r="H47" s="19">
        <f t="shared" si="2"/>
        <v>0</v>
      </c>
      <c r="I47" s="8">
        <f>IFERROR(((Master!AF48*3600*24)*((Master!R48/100)/Master!K48)),0)</f>
        <v>0</v>
      </c>
      <c r="J47" s="8">
        <f>Master!R48</f>
        <v>0</v>
      </c>
      <c r="K47" s="8">
        <f ca="1">(D47*Validation!$M$6/1800)/IF(Validation!$N$6="",(IF(OR(NOT(ISNUMBER(J47)),J47=0),1,J47%)),Validation!$N$6)</f>
        <v>10.751633986928105</v>
      </c>
      <c r="L47" s="8">
        <f>Master!Y48</f>
        <v>0</v>
      </c>
      <c r="M47" s="8" t="str">
        <f t="shared" si="0"/>
        <v>-</v>
      </c>
      <c r="N47" s="19" t="str">
        <f t="shared" si="3"/>
        <v/>
      </c>
      <c r="O47" s="23">
        <f t="shared" si="4"/>
        <v>0</v>
      </c>
      <c r="P47" s="39" t="str">
        <f>T3</f>
        <v>N</v>
      </c>
      <c r="Q47" s="39">
        <f t="shared" si="5"/>
        <v>0</v>
      </c>
    </row>
    <row r="48" spans="1:17" ht="22.5" thickTop="1" thickBot="1" x14ac:dyDescent="0.4">
      <c r="A48" s="40" t="str">
        <f>R3</f>
        <v>Red</v>
      </c>
      <c r="B48" s="40">
        <f ca="1">Master!$AX$1</f>
        <v>45965</v>
      </c>
      <c r="C48" s="6">
        <v>0.95833333333333304</v>
      </c>
      <c r="D48" s="7">
        <f ca="1">Master!AM49</f>
        <v>42</v>
      </c>
      <c r="E48" s="8">
        <f>Master!K49</f>
        <v>0</v>
      </c>
      <c r="F48" s="9" t="str">
        <f t="shared" si="1"/>
        <v/>
      </c>
      <c r="G48" s="9">
        <f>Master!D49</f>
        <v>0</v>
      </c>
      <c r="H48" s="19">
        <f t="shared" si="2"/>
        <v>0</v>
      </c>
      <c r="I48" s="8">
        <f>IFERROR(((Master!AF49*3600*24)*((Master!R49/100)/Master!K49)),0)</f>
        <v>0</v>
      </c>
      <c r="J48" s="8">
        <f>Master!R49</f>
        <v>0</v>
      </c>
      <c r="K48" s="8">
        <f ca="1">(D48*Validation!$M$6/1800)/IF(Validation!$N$6="",(IF(OR(NOT(ISNUMBER(J48)),J48=0),1,J48%)),Validation!$N$6)</f>
        <v>9.6078431372549016</v>
      </c>
      <c r="L48" s="8">
        <f>Master!Y49</f>
        <v>0</v>
      </c>
      <c r="M48" s="8" t="str">
        <f t="shared" si="0"/>
        <v>-</v>
      </c>
      <c r="N48" s="19" t="str">
        <f t="shared" si="3"/>
        <v/>
      </c>
      <c r="O48" s="23">
        <f t="shared" si="4"/>
        <v>0</v>
      </c>
      <c r="P48" s="39" t="str">
        <f>T3</f>
        <v>N</v>
      </c>
      <c r="Q48" s="39">
        <f t="shared" si="5"/>
        <v>0</v>
      </c>
    </row>
    <row r="49" spans="1:17" ht="22.5" thickTop="1" thickBot="1" x14ac:dyDescent="0.4">
      <c r="A49" s="40" t="str">
        <f>R3</f>
        <v>Red</v>
      </c>
      <c r="B49" s="40">
        <f ca="1">Master!$AX$1</f>
        <v>45965</v>
      </c>
      <c r="C49" s="6">
        <v>0.97916666666666696</v>
      </c>
      <c r="D49" s="7">
        <f ca="1">Master!AM50</f>
        <v>35</v>
      </c>
      <c r="E49" s="8">
        <f>Master!K50</f>
        <v>0</v>
      </c>
      <c r="F49" s="9" t="str">
        <f t="shared" si="1"/>
        <v/>
      </c>
      <c r="G49" s="9">
        <f>Master!D50</f>
        <v>0</v>
      </c>
      <c r="H49" s="19">
        <f t="shared" si="2"/>
        <v>0</v>
      </c>
      <c r="I49" s="8">
        <f>IFERROR(((Master!AF50*3600*24)*((Master!R50/100)/Master!K50)),0)</f>
        <v>0</v>
      </c>
      <c r="J49" s="8">
        <f>Master!R50</f>
        <v>0</v>
      </c>
      <c r="K49" s="8">
        <f ca="1">(D49*Validation!$M$6/1800)/IF(Validation!$N$6="",(IF(OR(NOT(ISNUMBER(J49)),J49=0),1,J49%)),Validation!$N$6)</f>
        <v>8.0065359477124183</v>
      </c>
      <c r="L49" s="8">
        <f>Master!Y50</f>
        <v>0</v>
      </c>
      <c r="M49" s="8" t="str">
        <f t="shared" si="0"/>
        <v>-</v>
      </c>
      <c r="N49" s="19" t="str">
        <f t="shared" si="3"/>
        <v/>
      </c>
      <c r="O49" s="23">
        <f t="shared" si="4"/>
        <v>0</v>
      </c>
      <c r="P49" s="39" t="str">
        <f>T3</f>
        <v>N</v>
      </c>
      <c r="Q49" s="39">
        <f t="shared" si="5"/>
        <v>0</v>
      </c>
    </row>
    <row r="50" spans="1:17" ht="22.5" thickTop="1" thickBot="1" x14ac:dyDescent="0.4">
      <c r="A50" s="40" t="str">
        <f>R3</f>
        <v>Red</v>
      </c>
      <c r="B50" s="40">
        <f ca="1">Master!$AX$1</f>
        <v>45965</v>
      </c>
      <c r="C50" s="6" t="s">
        <v>15</v>
      </c>
      <c r="D50" s="7">
        <f ca="1">SUMIF(E2:E49,"&gt;0",D2:D49)</f>
        <v>844</v>
      </c>
      <c r="E50" s="8">
        <f>SUM(E2:E49)</f>
        <v>625</v>
      </c>
      <c r="F50" s="9">
        <f ca="1">IF(T3="n",E50/D50,O50/D50)</f>
        <v>0.74052132701421802</v>
      </c>
      <c r="G50" s="8"/>
      <c r="H50" s="19">
        <f>SUM(H2:H49)</f>
        <v>204980.4</v>
      </c>
      <c r="I50" s="8">
        <f>H50/E50</f>
        <v>327.96863999999999</v>
      </c>
      <c r="J50" s="8"/>
      <c r="K50" s="8"/>
      <c r="L50" s="8"/>
      <c r="M50" s="8"/>
      <c r="N50" s="19">
        <f ca="1">COUNTIF(N2:N49,"LOST")</f>
        <v>0</v>
      </c>
      <c r="O50" s="23">
        <f ca="1">SUM(O2:O49)</f>
        <v>773.5</v>
      </c>
      <c r="P50" s="39" t="str">
        <f>T3</f>
        <v>N</v>
      </c>
      <c r="Q50" s="39">
        <f t="shared" si="5"/>
        <v>0</v>
      </c>
    </row>
    <row r="51" spans="1:17" ht="21.75" thickTop="1" x14ac:dyDescent="0.35"/>
  </sheetData>
  <mergeCells count="4">
    <mergeCell ref="R2:S2"/>
    <mergeCell ref="R3:S4"/>
    <mergeCell ref="T2:U2"/>
    <mergeCell ref="T3:U4"/>
  </mergeCells>
  <conditionalFormatting sqref="A2:B50">
    <cfRule type="cellIs" dxfId="187" priority="7" operator="equal">
      <formula>"Lost"</formula>
    </cfRule>
  </conditionalFormatting>
  <conditionalFormatting sqref="A1:C1">
    <cfRule type="cellIs" dxfId="186" priority="9" operator="equal">
      <formula>"Lost"</formula>
    </cfRule>
  </conditionalFormatting>
  <conditionalFormatting sqref="C50:G50">
    <cfRule type="cellIs" dxfId="185" priority="25" operator="equal">
      <formula>"Lost"</formula>
    </cfRule>
  </conditionalFormatting>
  <conditionalFormatting sqref="D1:G1 C2:F49">
    <cfRule type="cellIs" dxfId="184" priority="90" operator="equal">
      <formula>"Lost"</formula>
    </cfRule>
  </conditionalFormatting>
  <conditionalFormatting sqref="F2:F49">
    <cfRule type="cellIs" dxfId="183" priority="83" operator="greaterThan">
      <formula>0.9801</formula>
    </cfRule>
  </conditionalFormatting>
  <conditionalFormatting sqref="F2:F50">
    <cfRule type="cellIs" dxfId="182" priority="23" operator="greaterThan">
      <formula>0.981</formula>
    </cfRule>
    <cfRule type="cellIs" dxfId="181" priority="24" operator="lessThan">
      <formula>0.98</formula>
    </cfRule>
  </conditionalFormatting>
  <conditionalFormatting sqref="G1">
    <cfRule type="cellIs" dxfId="180" priority="88" operator="lessThan">
      <formula>0.75</formula>
    </cfRule>
    <cfRule type="colorScale" priority="8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9">
    <cfRule type="cellIs" dxfId="179" priority="86" operator="greaterThan">
      <formula>0.8</formula>
    </cfRule>
    <cfRule type="cellIs" dxfId="178" priority="87" operator="lessThan">
      <formula>0.8</formula>
    </cfRule>
  </conditionalFormatting>
  <conditionalFormatting sqref="H1:H50">
    <cfRule type="cellIs" dxfId="177" priority="29" operator="equal">
      <formula>"Lost"</formula>
    </cfRule>
  </conditionalFormatting>
  <conditionalFormatting sqref="H2:H50">
    <cfRule type="cellIs" dxfId="176" priority="28" operator="equal">
      <formula>"Achived"</formula>
    </cfRule>
  </conditionalFormatting>
  <conditionalFormatting sqref="I1:M50">
    <cfRule type="cellIs" dxfId="175" priority="47" operator="equal">
      <formula>"Lost"</formula>
    </cfRule>
  </conditionalFormatting>
  <conditionalFormatting sqref="I1:O1">
    <cfRule type="cellIs" dxfId="174" priority="16" operator="equal">
      <formula>"Lost"</formula>
    </cfRule>
  </conditionalFormatting>
  <conditionalFormatting sqref="M2:M49">
    <cfRule type="cellIs" dxfId="173" priority="44" operator="lessThan">
      <formula>0</formula>
    </cfRule>
    <cfRule type="cellIs" dxfId="172" priority="45" operator="equal">
      <formula>0</formula>
    </cfRule>
    <cfRule type="cellIs" dxfId="171" priority="46" operator="greaterThan">
      <formula>0</formula>
    </cfRule>
  </conditionalFormatting>
  <conditionalFormatting sqref="N2:N50">
    <cfRule type="cellIs" dxfId="170" priority="37" operator="equal">
      <formula>"Wait"</formula>
    </cfRule>
  </conditionalFormatting>
  <conditionalFormatting sqref="N2:O50">
    <cfRule type="cellIs" dxfId="169" priority="18" operator="equal">
      <formula>"Lost"</formula>
    </cfRule>
  </conditionalFormatting>
  <conditionalFormatting sqref="N2:Q50">
    <cfRule type="cellIs" dxfId="168" priority="2" operator="equal">
      <formula>"Achived"</formula>
    </cfRule>
  </conditionalFormatting>
  <conditionalFormatting sqref="P1:Q50">
    <cfRule type="cellIs" dxfId="167" priority="1" operator="equal">
      <formula>"Lost"</formula>
    </cfRule>
  </conditionalFormatting>
  <conditionalFormatting sqref="R2:R3">
    <cfRule type="cellIs" dxfId="166" priority="75" operator="equal">
      <formula>"-"</formula>
    </cfRule>
  </conditionalFormatting>
  <conditionalFormatting sqref="T2:T3">
    <cfRule type="cellIs" dxfId="165" priority="65" operator="equal">
      <formula>"-"</formula>
    </cfRule>
  </conditionalFormatting>
  <pageMargins left="0.7" right="0.7" top="0.75" bottom="0.75" header="0.3" footer="0.3"/>
  <headerFooter>
    <oddFooter>&amp;L_x000D_&amp;1#&amp;"Calibri"&amp;7&amp;K000000 C2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Z51"/>
  <sheetViews>
    <sheetView topLeftCell="C1" zoomScale="50" zoomScaleNormal="50" workbookViewId="0">
      <selection activeCell="R33" sqref="R33"/>
    </sheetView>
  </sheetViews>
  <sheetFormatPr defaultColWidth="9.140625" defaultRowHeight="21" x14ac:dyDescent="0.35"/>
  <cols>
    <col min="1" max="1" width="16.7109375" style="3" hidden="1" customWidth="1"/>
    <col min="2" max="2" width="20" style="3" hidden="1" customWidth="1"/>
    <col min="3" max="3" width="15.42578125" style="3" bestFit="1" customWidth="1"/>
    <col min="4" max="4" width="10.85546875" style="3" bestFit="1" customWidth="1"/>
    <col min="5" max="5" width="17.140625" style="3" bestFit="1" customWidth="1"/>
    <col min="6" max="6" width="16.42578125" style="3" bestFit="1" customWidth="1"/>
    <col min="7" max="7" width="10.5703125" style="3" bestFit="1" customWidth="1"/>
    <col min="8" max="8" width="25.28515625" style="3" bestFit="1" customWidth="1"/>
    <col min="9" max="10" width="10.5703125" style="3" bestFit="1" customWidth="1"/>
    <col min="11" max="11" width="19.140625" style="3" bestFit="1" customWidth="1"/>
    <col min="12" max="12" width="21.7109375" style="3" bestFit="1" customWidth="1"/>
    <col min="13" max="13" width="7.7109375" style="3" bestFit="1" customWidth="1"/>
    <col min="14" max="14" width="16.42578125" style="3" bestFit="1" customWidth="1"/>
    <col min="15" max="15" width="20.28515625" style="3" bestFit="1" customWidth="1"/>
    <col min="16" max="16" width="16.42578125" style="3" hidden="1" customWidth="1"/>
    <col min="17" max="17" width="20.28515625" style="3" hidden="1" customWidth="1"/>
    <col min="18" max="22" width="9.140625" style="3"/>
    <col min="23" max="23" width="9.140625" style="3" customWidth="1"/>
    <col min="24" max="24" width="13.85546875" style="3" customWidth="1"/>
    <col min="25" max="25" width="9.140625" style="3"/>
    <col min="26" max="26" width="8.85546875" customWidth="1"/>
    <col min="27" max="16384" width="9.140625" style="3"/>
  </cols>
  <sheetData>
    <row r="1" spans="1:21" ht="22.5" thickTop="1" thickBot="1" x14ac:dyDescent="0.4">
      <c r="A1" s="4" t="s">
        <v>16</v>
      </c>
      <c r="B1" s="4" t="s">
        <v>39</v>
      </c>
      <c r="C1" s="4" t="s">
        <v>0</v>
      </c>
      <c r="D1" s="5">
        <f ca="1">SUM(D2:D49)</f>
        <v>1963</v>
      </c>
      <c r="E1" s="5" t="s">
        <v>1</v>
      </c>
      <c r="F1" s="5" t="s">
        <v>2</v>
      </c>
      <c r="G1" s="5" t="s">
        <v>3</v>
      </c>
      <c r="H1" s="5" t="s">
        <v>30</v>
      </c>
      <c r="I1" s="5" t="s">
        <v>21</v>
      </c>
      <c r="J1" s="5" t="s">
        <v>19</v>
      </c>
      <c r="K1" s="5" t="s">
        <v>26</v>
      </c>
      <c r="L1" s="5" t="s">
        <v>4</v>
      </c>
      <c r="M1" s="5" t="s">
        <v>27</v>
      </c>
      <c r="N1" s="5" t="s">
        <v>5</v>
      </c>
      <c r="O1" s="5" t="s">
        <v>22</v>
      </c>
      <c r="P1" s="5" t="s">
        <v>24</v>
      </c>
      <c r="Q1" s="38" t="s">
        <v>20</v>
      </c>
    </row>
    <row r="2" spans="1:21" ht="22.5" thickTop="1" thickBot="1" x14ac:dyDescent="0.4">
      <c r="A2" s="40" t="str">
        <f>R3</f>
        <v>Aspiring</v>
      </c>
      <c r="B2" s="40">
        <f ca="1">Master!$AX$1</f>
        <v>45965</v>
      </c>
      <c r="C2" s="6">
        <v>0</v>
      </c>
      <c r="D2" s="7">
        <f ca="1">Master!AN3</f>
        <v>36</v>
      </c>
      <c r="E2" s="8">
        <f>Master!L3</f>
        <v>54</v>
      </c>
      <c r="F2" s="9">
        <f ca="1">IFERROR(IF(OR(E2="-",E2=0),"",E2/D2),0)</f>
        <v>1.5</v>
      </c>
      <c r="G2" s="9">
        <f>Master!E3</f>
        <v>0.47</v>
      </c>
      <c r="H2" s="19">
        <f>IFERROR(E2*I2,0)</f>
        <v>18695.999999999996</v>
      </c>
      <c r="I2" s="8">
        <f>IFERROR(((Master!AG3*3600*24)*((Master!S3/100)/Master!L3)),0)</f>
        <v>346.22222222222217</v>
      </c>
      <c r="J2" s="8">
        <f>Master!S3</f>
        <v>95</v>
      </c>
      <c r="K2" s="8">
        <f ca="1">D2*Validation!$M$7/1800/IF(Validation!$N$7="",(IF(OR(NOT(ISNUMBER(J2)),J2=0),1,J2%)),Validation!$N$7)</f>
        <v>9.4117647058823533</v>
      </c>
      <c r="L2" s="8">
        <f>Master!Z3</f>
        <v>12</v>
      </c>
      <c r="M2" s="8">
        <f t="shared" ref="M2:M49" ca="1" si="0">IF(AND(ISNUMBER(L2),L2&gt;0),L2-K2,"-")</f>
        <v>2.5882352941176467</v>
      </c>
      <c r="N2" s="19" t="str">
        <f ca="1">IF(OR(E2=0,E2="-"),"",IF(F2&gt;=98%,"Achived",IF(G2&gt;=80%,"Wait","Lost")))</f>
        <v>Achived</v>
      </c>
      <c r="O2" s="23">
        <f ca="1">IF(E2=0,0,IF(N2="Wait",D2*0.9,IF($T$3="Y",E2,IF(AND(N2="achived",F2&lt;=1.1),E2,IF(F2&gt;=1.1,D2*1.1,IF(N2="Lost",E2,"ER"))))))</f>
        <v>39.6</v>
      </c>
      <c r="P2" s="39" t="str">
        <f>T3</f>
        <v>N</v>
      </c>
      <c r="Q2" s="39">
        <f>IFERROR((I2*E2)/((J2/100)*86400),0)</f>
        <v>0.22777777777777775</v>
      </c>
      <c r="R2" s="60" t="s">
        <v>16</v>
      </c>
      <c r="S2" s="61"/>
      <c r="T2" s="60" t="s">
        <v>24</v>
      </c>
      <c r="U2" s="61"/>
    </row>
    <row r="3" spans="1:21" ht="22.5" thickTop="1" thickBot="1" x14ac:dyDescent="0.4">
      <c r="A3" s="40" t="str">
        <f>R3</f>
        <v>Aspiring</v>
      </c>
      <c r="B3" s="40">
        <f ca="1">Master!$AX$1</f>
        <v>45965</v>
      </c>
      <c r="C3" s="6">
        <v>2.0833333333333332E-2</v>
      </c>
      <c r="D3" s="7">
        <f ca="1">Master!AN4</f>
        <v>32</v>
      </c>
      <c r="E3" s="8">
        <f>Master!L4</f>
        <v>38</v>
      </c>
      <c r="F3" s="9">
        <f t="shared" ref="F3:F49" ca="1" si="1">IFERROR(IF(OR(E3="-",E3=0),"",E3/D3),0)</f>
        <v>1.1875</v>
      </c>
      <c r="G3" s="9">
        <f>Master!E4</f>
        <v>1</v>
      </c>
      <c r="H3" s="19">
        <f t="shared" ref="H3:H49" si="2">IFERROR(E3*I3,0)</f>
        <v>17344.799999999996</v>
      </c>
      <c r="I3" s="8">
        <f>IFERROR(((Master!AG4*3600*24)*((Master!S4/100)/Master!L4)),0)</f>
        <v>456.44210526315783</v>
      </c>
      <c r="J3" s="8">
        <f>Master!S4</f>
        <v>73</v>
      </c>
      <c r="K3" s="8">
        <f ca="1">D3*Validation!$M$7/1800/IF(Validation!$N$7="",(IF(OR(NOT(ISNUMBER(J3)),J3=0),1,J3%)),Validation!$N$7)</f>
        <v>8.3660130718954253</v>
      </c>
      <c r="L3" s="8">
        <f>Master!Z4</f>
        <v>13</v>
      </c>
      <c r="M3" s="8">
        <f t="shared" ca="1" si="0"/>
        <v>4.6339869281045747</v>
      </c>
      <c r="N3" s="19" t="str">
        <f t="shared" ref="N3:N49" ca="1" si="3">IF(OR(E3=0,E3="-"),"",IF(F3&gt;=98%,"Achived",IF(G3&gt;=80%,"Wait","Lost")))</f>
        <v>Achived</v>
      </c>
      <c r="O3" s="23">
        <f t="shared" ref="O3:O49" ca="1" si="4">IF(E3=0,0,IF(N3="Wait",D3*0.9,IF($T$3="Y",E3,IF(AND(N3="achived",F3&lt;=1.1),E3,IF(F3&gt;=1.1,D3*1.1,IF(N3="Lost",E3,"ER"))))))</f>
        <v>35.200000000000003</v>
      </c>
      <c r="P3" s="39" t="str">
        <f>T3</f>
        <v>N</v>
      </c>
      <c r="Q3" s="39">
        <f t="shared" ref="Q3:Q50" si="5">IFERROR((I3*E3)/((J3/100)*86400),0)</f>
        <v>0.27499999999999991</v>
      </c>
      <c r="R3" s="66" t="s">
        <v>18</v>
      </c>
      <c r="S3" s="67"/>
      <c r="T3" s="62" t="str">
        <f>Validation!L7</f>
        <v>N</v>
      </c>
      <c r="U3" s="63"/>
    </row>
    <row r="4" spans="1:21" ht="22.5" thickTop="1" thickBot="1" x14ac:dyDescent="0.4">
      <c r="A4" s="40" t="str">
        <f>R3</f>
        <v>Aspiring</v>
      </c>
      <c r="B4" s="40">
        <f ca="1">Master!$AX$1</f>
        <v>45965</v>
      </c>
      <c r="C4" s="6">
        <v>4.1666666666666664E-2</v>
      </c>
      <c r="D4" s="7">
        <f ca="1">Master!AN5</f>
        <v>16</v>
      </c>
      <c r="E4" s="8">
        <f>Master!L5</f>
        <v>23</v>
      </c>
      <c r="F4" s="9">
        <f t="shared" ca="1" si="1"/>
        <v>1.4375</v>
      </c>
      <c r="G4" s="9">
        <f>Master!E5</f>
        <v>0.78</v>
      </c>
      <c r="H4" s="19">
        <f t="shared" si="2"/>
        <v>13296</v>
      </c>
      <c r="I4" s="8">
        <f>IFERROR(((Master!AG5*3600*24)*((Master!S5/100)/Master!L5)),0)</f>
        <v>578.08695652173913</v>
      </c>
      <c r="J4" s="8">
        <f>Master!S5</f>
        <v>80</v>
      </c>
      <c r="K4" s="8">
        <f ca="1">D4*Validation!$M$7/1800/IF(Validation!$N$7="",(IF(OR(NOT(ISNUMBER(J4)),J4=0),1,J4%)),Validation!$N$7)</f>
        <v>4.1830065359477127</v>
      </c>
      <c r="L4" s="8">
        <f>Master!Z5</f>
        <v>10</v>
      </c>
      <c r="M4" s="8">
        <f t="shared" ca="1" si="0"/>
        <v>5.8169934640522873</v>
      </c>
      <c r="N4" s="19" t="str">
        <f t="shared" ca="1" si="3"/>
        <v>Achived</v>
      </c>
      <c r="O4" s="23">
        <f t="shared" ca="1" si="4"/>
        <v>17.600000000000001</v>
      </c>
      <c r="P4" s="39" t="str">
        <f>T3</f>
        <v>N</v>
      </c>
      <c r="Q4" s="39">
        <f t="shared" si="5"/>
        <v>0.19236111111111112</v>
      </c>
      <c r="R4" s="68"/>
      <c r="S4" s="69"/>
      <c r="T4" s="64"/>
      <c r="U4" s="65"/>
    </row>
    <row r="5" spans="1:21" ht="22.5" thickTop="1" thickBot="1" x14ac:dyDescent="0.4">
      <c r="A5" s="40" t="str">
        <f>R3</f>
        <v>Aspiring</v>
      </c>
      <c r="B5" s="40">
        <f ca="1">Master!$AX$1</f>
        <v>45965</v>
      </c>
      <c r="C5" s="6">
        <v>6.25E-2</v>
      </c>
      <c r="D5" s="7">
        <f ca="1">Master!AN6</f>
        <v>18</v>
      </c>
      <c r="E5" s="8">
        <f>Master!L6</f>
        <v>10</v>
      </c>
      <c r="F5" s="9">
        <f t="shared" ca="1" si="1"/>
        <v>0.55555555555555558</v>
      </c>
      <c r="G5" s="9">
        <f>Master!E6</f>
        <v>1</v>
      </c>
      <c r="H5" s="19">
        <f t="shared" si="2"/>
        <v>11873.4</v>
      </c>
      <c r="I5" s="8">
        <f>IFERROR(((Master!AG6*3600*24)*((Master!S6/100)/Master!L6)),0)</f>
        <v>1187.3399999999999</v>
      </c>
      <c r="J5" s="8">
        <f>Master!S6</f>
        <v>77</v>
      </c>
      <c r="K5" s="8">
        <f ca="1">D5*Validation!$M$7/1800/IF(Validation!$N$7="",(IF(OR(NOT(ISNUMBER(J5)),J5=0),1,J5%)),Validation!$N$7)</f>
        <v>4.7058823529411766</v>
      </c>
      <c r="L5" s="8">
        <f>Master!Z6</f>
        <v>9</v>
      </c>
      <c r="M5" s="8">
        <f t="shared" ca="1" si="0"/>
        <v>4.2941176470588234</v>
      </c>
      <c r="N5" s="19" t="str">
        <f t="shared" ca="1" si="3"/>
        <v>Wait</v>
      </c>
      <c r="O5" s="23">
        <f t="shared" ca="1" si="4"/>
        <v>16.2</v>
      </c>
      <c r="P5" s="39" t="str">
        <f>T3</f>
        <v>N</v>
      </c>
      <c r="Q5" s="39">
        <f t="shared" si="5"/>
        <v>0.17847222222222223</v>
      </c>
    </row>
    <row r="6" spans="1:21" ht="22.5" thickTop="1" thickBot="1" x14ac:dyDescent="0.4">
      <c r="A6" s="40" t="str">
        <f>R3</f>
        <v>Aspiring</v>
      </c>
      <c r="B6" s="40">
        <f ca="1">Master!$AX$1</f>
        <v>45965</v>
      </c>
      <c r="C6" s="6">
        <v>8.3333333333333301E-2</v>
      </c>
      <c r="D6" s="7">
        <f ca="1">Master!AN7</f>
        <v>19</v>
      </c>
      <c r="E6" s="8">
        <f>Master!L7</f>
        <v>11</v>
      </c>
      <c r="F6" s="9">
        <f t="shared" ca="1" si="1"/>
        <v>0.57894736842105265</v>
      </c>
      <c r="G6" s="9">
        <f>Master!E7</f>
        <v>1</v>
      </c>
      <c r="H6" s="19">
        <f t="shared" si="2"/>
        <v>11523.599999999999</v>
      </c>
      <c r="I6" s="8">
        <f>IFERROR(((Master!AG7*3600*24)*((Master!S7/100)/Master!L7)),0)</f>
        <v>1047.5999999999999</v>
      </c>
      <c r="J6" s="8">
        <f>Master!S7</f>
        <v>66</v>
      </c>
      <c r="K6" s="8">
        <f ca="1">D6*Validation!$M$7/1800/IF(Validation!$N$7="",(IF(OR(NOT(ISNUMBER(J6)),J6=0),1,J6%)),Validation!$N$7)</f>
        <v>4.9673202614379086</v>
      </c>
      <c r="L6" s="8">
        <f>Master!Z7</f>
        <v>10</v>
      </c>
      <c r="M6" s="8">
        <f t="shared" ca="1" si="0"/>
        <v>5.0326797385620914</v>
      </c>
      <c r="N6" s="19" t="str">
        <f t="shared" ca="1" si="3"/>
        <v>Wait</v>
      </c>
      <c r="O6" s="23">
        <f t="shared" ca="1" si="4"/>
        <v>17.100000000000001</v>
      </c>
      <c r="P6" s="39" t="str">
        <f>T3</f>
        <v>N</v>
      </c>
      <c r="Q6" s="39">
        <f t="shared" si="5"/>
        <v>0.20208333333333331</v>
      </c>
    </row>
    <row r="7" spans="1:21" ht="22.5" thickTop="1" thickBot="1" x14ac:dyDescent="0.4">
      <c r="A7" s="40" t="str">
        <f>R3</f>
        <v>Aspiring</v>
      </c>
      <c r="B7" s="40">
        <f ca="1">Master!$AX$1</f>
        <v>45965</v>
      </c>
      <c r="C7" s="6">
        <v>0.104166666666667</v>
      </c>
      <c r="D7" s="7">
        <f ca="1">Master!AN8</f>
        <v>13</v>
      </c>
      <c r="E7" s="8">
        <f>Master!L8</f>
        <v>5</v>
      </c>
      <c r="F7" s="9">
        <f t="shared" ca="1" si="1"/>
        <v>0.38461538461538464</v>
      </c>
      <c r="G7" s="9">
        <f>Master!E8</f>
        <v>1</v>
      </c>
      <c r="H7" s="19">
        <f t="shared" si="2"/>
        <v>8517.6</v>
      </c>
      <c r="I7" s="8">
        <f>IFERROR(((Master!AG8*3600*24)*((Master!S8/100)/Master!L8)),0)</f>
        <v>1703.5200000000002</v>
      </c>
      <c r="J7" s="8">
        <f>Master!S8</f>
        <v>52</v>
      </c>
      <c r="K7" s="8">
        <f ca="1">D7*Validation!$M$7/1800/IF(Validation!$N$7="",(IF(OR(NOT(ISNUMBER(J7)),J7=0),1,J7%)),Validation!$N$7)</f>
        <v>3.3986928104575163</v>
      </c>
      <c r="L7" s="8">
        <f>Master!Z8</f>
        <v>9</v>
      </c>
      <c r="M7" s="8">
        <f t="shared" ca="1" si="0"/>
        <v>5.6013071895424833</v>
      </c>
      <c r="N7" s="19" t="str">
        <f t="shared" ca="1" si="3"/>
        <v>Wait</v>
      </c>
      <c r="O7" s="23">
        <f t="shared" ca="1" si="4"/>
        <v>11.700000000000001</v>
      </c>
      <c r="P7" s="39" t="str">
        <f>T3</f>
        <v>N</v>
      </c>
      <c r="Q7" s="39">
        <f t="shared" si="5"/>
        <v>0.18958333333333335</v>
      </c>
    </row>
    <row r="8" spans="1:21" ht="22.5" thickTop="1" thickBot="1" x14ac:dyDescent="0.4">
      <c r="A8" s="40" t="str">
        <f>R3</f>
        <v>Aspiring</v>
      </c>
      <c r="B8" s="40">
        <f ca="1">Master!$AX$1</f>
        <v>45965</v>
      </c>
      <c r="C8" s="6">
        <v>0.125</v>
      </c>
      <c r="D8" s="7">
        <f ca="1">Master!AN9</f>
        <v>11</v>
      </c>
      <c r="E8" s="8">
        <f>Master!L9</f>
        <v>6</v>
      </c>
      <c r="F8" s="9">
        <f t="shared" ca="1" si="1"/>
        <v>0.54545454545454541</v>
      </c>
      <c r="G8" s="9">
        <f>Master!E9</f>
        <v>0.8</v>
      </c>
      <c r="H8" s="19">
        <f t="shared" si="2"/>
        <v>4571.9999999999991</v>
      </c>
      <c r="I8" s="8">
        <f>IFERROR(((Master!AG9*3600*24)*((Master!S9/100)/Master!L9)),0)</f>
        <v>761.99999999999989</v>
      </c>
      <c r="J8" s="8">
        <f>Master!S9</f>
        <v>60</v>
      </c>
      <c r="K8" s="8">
        <f ca="1">D8*Validation!$M$7/1800/IF(Validation!$N$7="",(IF(OR(NOT(ISNUMBER(J8)),J8=0),1,J8%)),Validation!$N$7)</f>
        <v>2.8758169934640527</v>
      </c>
      <c r="L8" s="8">
        <f>Master!Z9</f>
        <v>5</v>
      </c>
      <c r="M8" s="8">
        <f t="shared" ca="1" si="0"/>
        <v>2.1241830065359473</v>
      </c>
      <c r="N8" s="19" t="str">
        <f t="shared" ca="1" si="3"/>
        <v>Wait</v>
      </c>
      <c r="O8" s="23">
        <f t="shared" ca="1" si="4"/>
        <v>9.9</v>
      </c>
      <c r="P8" s="39" t="str">
        <f>T3</f>
        <v>N</v>
      </c>
      <c r="Q8" s="39">
        <f t="shared" si="5"/>
        <v>8.8194444444444423E-2</v>
      </c>
    </row>
    <row r="9" spans="1:21" ht="22.5" thickTop="1" thickBot="1" x14ac:dyDescent="0.4">
      <c r="A9" s="40" t="str">
        <f>R3</f>
        <v>Aspiring</v>
      </c>
      <c r="B9" s="40">
        <f ca="1">Master!$AX$1</f>
        <v>45965</v>
      </c>
      <c r="C9" s="6">
        <v>0.14583333333333301</v>
      </c>
      <c r="D9" s="7">
        <f ca="1">Master!AN10</f>
        <v>7</v>
      </c>
      <c r="E9" s="8">
        <f>Master!L10</f>
        <v>8</v>
      </c>
      <c r="F9" s="9">
        <f t="shared" ca="1" si="1"/>
        <v>1.1428571428571428</v>
      </c>
      <c r="G9" s="9">
        <f>Master!E10</f>
        <v>0.84</v>
      </c>
      <c r="H9" s="19">
        <f t="shared" si="2"/>
        <v>6161.4</v>
      </c>
      <c r="I9" s="8">
        <f>IFERROR(((Master!AG10*3600*24)*((Master!S10/100)/Master!L10)),0)</f>
        <v>770.17499999999995</v>
      </c>
      <c r="J9" s="8">
        <f>Master!S10</f>
        <v>63</v>
      </c>
      <c r="K9" s="8">
        <f ca="1">D9*Validation!$M$7/1800/IF(Validation!$N$7="",(IF(OR(NOT(ISNUMBER(J9)),J9=0),1,J9%)),Validation!$N$7)</f>
        <v>1.8300653594771243</v>
      </c>
      <c r="L9" s="8">
        <f>Master!Z10</f>
        <v>5</v>
      </c>
      <c r="M9" s="8">
        <f t="shared" ca="1" si="0"/>
        <v>3.1699346405228757</v>
      </c>
      <c r="N9" s="19" t="str">
        <f t="shared" ca="1" si="3"/>
        <v>Achived</v>
      </c>
      <c r="O9" s="23">
        <f t="shared" ca="1" si="4"/>
        <v>7.7000000000000011</v>
      </c>
      <c r="P9" s="39" t="str">
        <f>T3</f>
        <v>N</v>
      </c>
      <c r="Q9" s="39">
        <f t="shared" si="5"/>
        <v>0.11319444444444443</v>
      </c>
    </row>
    <row r="10" spans="1:21" ht="22.5" thickTop="1" thickBot="1" x14ac:dyDescent="0.4">
      <c r="A10" s="40" t="str">
        <f>R3</f>
        <v>Aspiring</v>
      </c>
      <c r="B10" s="40">
        <f ca="1">Master!$AX$1</f>
        <v>45965</v>
      </c>
      <c r="C10" s="6">
        <v>0.16666666666666699</v>
      </c>
      <c r="D10" s="7">
        <f ca="1">Master!AN11</f>
        <v>9</v>
      </c>
      <c r="E10" s="8">
        <f>Master!L11</f>
        <v>7</v>
      </c>
      <c r="F10" s="9">
        <f t="shared" ca="1" si="1"/>
        <v>0.77777777777777779</v>
      </c>
      <c r="G10" s="9">
        <f>Master!E11</f>
        <v>1</v>
      </c>
      <c r="H10" s="19">
        <f t="shared" si="2"/>
        <v>4738.2000000000007</v>
      </c>
      <c r="I10" s="8">
        <f>IFERROR(((Master!AG11*3600*24)*((Master!S11/100)/Master!L11)),0)</f>
        <v>676.88571428571436</v>
      </c>
      <c r="J10" s="8">
        <f>Master!S11</f>
        <v>53</v>
      </c>
      <c r="K10" s="8">
        <f ca="1">D10*Validation!$M$7/1800/IF(Validation!$N$7="",(IF(OR(NOT(ISNUMBER(J10)),J10=0),1,J10%)),Validation!$N$7)</f>
        <v>2.3529411764705883</v>
      </c>
      <c r="L10" s="8">
        <f>Master!Z11</f>
        <v>5</v>
      </c>
      <c r="M10" s="8">
        <f t="shared" ca="1" si="0"/>
        <v>2.6470588235294117</v>
      </c>
      <c r="N10" s="19" t="str">
        <f t="shared" ca="1" si="3"/>
        <v>Wait</v>
      </c>
      <c r="O10" s="23">
        <f t="shared" ca="1" si="4"/>
        <v>8.1</v>
      </c>
      <c r="P10" s="39" t="str">
        <f>T3</f>
        <v>N</v>
      </c>
      <c r="Q10" s="39">
        <f t="shared" si="5"/>
        <v>0.10347222222222224</v>
      </c>
    </row>
    <row r="11" spans="1:21" ht="22.5" thickTop="1" thickBot="1" x14ac:dyDescent="0.4">
      <c r="A11" s="40" t="str">
        <f>R3</f>
        <v>Aspiring</v>
      </c>
      <c r="B11" s="40">
        <f ca="1">Master!$AX$1</f>
        <v>45965</v>
      </c>
      <c r="C11" s="6">
        <v>0.1875</v>
      </c>
      <c r="D11" s="7">
        <f ca="1">Master!AN12</f>
        <v>2</v>
      </c>
      <c r="E11" s="8">
        <f>Master!L12</f>
        <v>3</v>
      </c>
      <c r="F11" s="9">
        <f t="shared" ca="1" si="1"/>
        <v>1.5</v>
      </c>
      <c r="G11" s="9">
        <f>Master!E12</f>
        <v>1</v>
      </c>
      <c r="H11" s="19">
        <f t="shared" si="2"/>
        <v>5339.9999999999991</v>
      </c>
      <c r="I11" s="8">
        <f>IFERROR(((Master!AG12*3600*24)*((Master!S12/100)/Master!L12)),0)</f>
        <v>1779.9999999999998</v>
      </c>
      <c r="J11" s="8">
        <f>Master!S12</f>
        <v>89</v>
      </c>
      <c r="K11" s="8">
        <f ca="1">D11*Validation!$M$7/1800/IF(Validation!$N$7="",(IF(OR(NOT(ISNUMBER(J11)),J11=0),1,J11%)),Validation!$N$7)</f>
        <v>0.52287581699346408</v>
      </c>
      <c r="L11" s="8">
        <f>Master!Z12</f>
        <v>4</v>
      </c>
      <c r="M11" s="8">
        <f t="shared" ca="1" si="0"/>
        <v>3.477124183006536</v>
      </c>
      <c r="N11" s="19" t="str">
        <f t="shared" ca="1" si="3"/>
        <v>Achived</v>
      </c>
      <c r="O11" s="23">
        <f t="shared" ca="1" si="4"/>
        <v>2.2000000000000002</v>
      </c>
      <c r="P11" s="39" t="str">
        <f>T3</f>
        <v>N</v>
      </c>
      <c r="Q11" s="39">
        <f t="shared" si="5"/>
        <v>6.9444444444444434E-2</v>
      </c>
    </row>
    <row r="12" spans="1:21" ht="22.5" thickTop="1" thickBot="1" x14ac:dyDescent="0.4">
      <c r="A12" s="40" t="str">
        <f>R3</f>
        <v>Aspiring</v>
      </c>
      <c r="B12" s="40">
        <f ca="1">Master!$AX$1</f>
        <v>45965</v>
      </c>
      <c r="C12" s="6">
        <v>0.20833333333333301</v>
      </c>
      <c r="D12" s="7">
        <f ca="1">Master!AN13</f>
        <v>3</v>
      </c>
      <c r="E12" s="8">
        <f>Master!L13</f>
        <v>6</v>
      </c>
      <c r="F12" s="9">
        <f t="shared" ca="1" si="1"/>
        <v>2</v>
      </c>
      <c r="G12" s="9">
        <f>Master!E13</f>
        <v>1</v>
      </c>
      <c r="H12" s="19">
        <f t="shared" si="2"/>
        <v>4057.2</v>
      </c>
      <c r="I12" s="8">
        <f>IFERROR(((Master!AG13*3600*24)*((Master!S13/100)/Master!L13)),0)</f>
        <v>676.19999999999993</v>
      </c>
      <c r="J12" s="8">
        <f>Master!S13</f>
        <v>49</v>
      </c>
      <c r="K12" s="8">
        <f ca="1">D12*Validation!$M$7/1800/IF(Validation!$N$7="",(IF(OR(NOT(ISNUMBER(J12)),J12=0),1,J12%)),Validation!$N$7)</f>
        <v>0.78431372549019607</v>
      </c>
      <c r="L12" s="8">
        <f>Master!Z13</f>
        <v>5</v>
      </c>
      <c r="M12" s="8">
        <f t="shared" ca="1" si="0"/>
        <v>4.215686274509804</v>
      </c>
      <c r="N12" s="19" t="str">
        <f t="shared" ca="1" si="3"/>
        <v>Achived</v>
      </c>
      <c r="O12" s="23">
        <f t="shared" ca="1" si="4"/>
        <v>3.3000000000000003</v>
      </c>
      <c r="P12" s="39" t="str">
        <f>T3</f>
        <v>N</v>
      </c>
      <c r="Q12" s="39">
        <f t="shared" si="5"/>
        <v>9.5833333333333326E-2</v>
      </c>
    </row>
    <row r="13" spans="1:21" ht="22.5" thickTop="1" thickBot="1" x14ac:dyDescent="0.4">
      <c r="A13" s="40" t="str">
        <f>R3</f>
        <v>Aspiring</v>
      </c>
      <c r="B13" s="40">
        <f ca="1">Master!$AX$1</f>
        <v>45965</v>
      </c>
      <c r="C13" s="6">
        <v>0.22916666666666699</v>
      </c>
      <c r="D13" s="7">
        <f ca="1">Master!AN14</f>
        <v>6</v>
      </c>
      <c r="E13" s="8">
        <f>Master!L14</f>
        <v>5</v>
      </c>
      <c r="F13" s="9">
        <f t="shared" ca="1" si="1"/>
        <v>0.83333333333333337</v>
      </c>
      <c r="G13" s="9">
        <f>Master!E14</f>
        <v>1</v>
      </c>
      <c r="H13" s="19">
        <f t="shared" si="2"/>
        <v>3844.2</v>
      </c>
      <c r="I13" s="8">
        <f>IFERROR(((Master!AG14*3600*24)*((Master!S14/100)/Master!L14)),0)</f>
        <v>768.83999999999992</v>
      </c>
      <c r="J13" s="8">
        <f>Master!S14</f>
        <v>43</v>
      </c>
      <c r="K13" s="8">
        <f ca="1">D13*Validation!$M$7/1800/IF(Validation!$N$7="",(IF(OR(NOT(ISNUMBER(J13)),J13=0),1,J13%)),Validation!$N$7)</f>
        <v>1.5686274509803921</v>
      </c>
      <c r="L13" s="8">
        <f>Master!Z14</f>
        <v>5</v>
      </c>
      <c r="M13" s="8">
        <f t="shared" ca="1" si="0"/>
        <v>3.4313725490196081</v>
      </c>
      <c r="N13" s="19" t="str">
        <f t="shared" ca="1" si="3"/>
        <v>Wait</v>
      </c>
      <c r="O13" s="23">
        <f t="shared" ca="1" si="4"/>
        <v>5.4</v>
      </c>
      <c r="P13" s="39" t="str">
        <f>T3</f>
        <v>N</v>
      </c>
      <c r="Q13" s="39">
        <f t="shared" si="5"/>
        <v>0.10347222222222222</v>
      </c>
    </row>
    <row r="14" spans="1:21" ht="22.5" thickTop="1" thickBot="1" x14ac:dyDescent="0.4">
      <c r="A14" s="40" t="str">
        <f>R3</f>
        <v>Aspiring</v>
      </c>
      <c r="B14" s="40">
        <f ca="1">Master!$AX$1</f>
        <v>45965</v>
      </c>
      <c r="C14" s="6">
        <v>0.25</v>
      </c>
      <c r="D14" s="7">
        <f ca="1">Master!AN15</f>
        <v>10</v>
      </c>
      <c r="E14" s="8">
        <f>Master!L15</f>
        <v>3</v>
      </c>
      <c r="F14" s="9">
        <f t="shared" ca="1" si="1"/>
        <v>0.3</v>
      </c>
      <c r="G14" s="9">
        <f>Master!E15</f>
        <v>1</v>
      </c>
      <c r="H14" s="19">
        <f t="shared" si="2"/>
        <v>3600.0000000000009</v>
      </c>
      <c r="I14" s="8">
        <f>IFERROR(((Master!AG15*3600*24)*((Master!S15/100)/Master!L15)),0)</f>
        <v>1200.0000000000002</v>
      </c>
      <c r="J14" s="8">
        <f>Master!S15</f>
        <v>48</v>
      </c>
      <c r="K14" s="8">
        <f ca="1">D14*Validation!$M$7/1800/IF(Validation!$N$7="",(IF(OR(NOT(ISNUMBER(J14)),J14=0),1,J14%)),Validation!$N$7)</f>
        <v>2.6143790849673203</v>
      </c>
      <c r="L14" s="8">
        <f>Master!Z15</f>
        <v>4</v>
      </c>
      <c r="M14" s="8">
        <f t="shared" ca="1" si="0"/>
        <v>1.3856209150326797</v>
      </c>
      <c r="N14" s="19" t="str">
        <f t="shared" ca="1" si="3"/>
        <v>Wait</v>
      </c>
      <c r="O14" s="23">
        <f t="shared" ca="1" si="4"/>
        <v>9</v>
      </c>
      <c r="P14" s="39" t="str">
        <f>T3</f>
        <v>N</v>
      </c>
      <c r="Q14" s="39">
        <f t="shared" si="5"/>
        <v>8.680555555555558E-2</v>
      </c>
    </row>
    <row r="15" spans="1:21" ht="22.5" thickTop="1" thickBot="1" x14ac:dyDescent="0.4">
      <c r="A15" s="40" t="str">
        <f>R3</f>
        <v>Aspiring</v>
      </c>
      <c r="B15" s="40">
        <f ca="1">Master!$AX$1</f>
        <v>45965</v>
      </c>
      <c r="C15" s="6">
        <v>0.27083333333333298</v>
      </c>
      <c r="D15" s="7">
        <f ca="1">Master!AN16</f>
        <v>6</v>
      </c>
      <c r="E15" s="8">
        <f>Master!L16</f>
        <v>12</v>
      </c>
      <c r="F15" s="9">
        <f t="shared" ca="1" si="1"/>
        <v>2</v>
      </c>
      <c r="G15" s="9">
        <f>Master!E16</f>
        <v>0.66</v>
      </c>
      <c r="H15" s="19">
        <f t="shared" si="2"/>
        <v>4355.3999999999996</v>
      </c>
      <c r="I15" s="8">
        <f>IFERROR(((Master!AG16*3600*24)*((Master!S16/100)/Master!L16)),0)</f>
        <v>362.95</v>
      </c>
      <c r="J15" s="8">
        <f>Master!S16</f>
        <v>61</v>
      </c>
      <c r="K15" s="8">
        <f ca="1">D15*Validation!$M$7/1800/IF(Validation!$N$7="",(IF(OR(NOT(ISNUMBER(J15)),J15=0),1,J15%)),Validation!$N$7)</f>
        <v>1.5686274509803921</v>
      </c>
      <c r="L15" s="8">
        <f>Master!Z16</f>
        <v>4</v>
      </c>
      <c r="M15" s="8">
        <f t="shared" ca="1" si="0"/>
        <v>2.4313725490196081</v>
      </c>
      <c r="N15" s="19" t="str">
        <f t="shared" ca="1" si="3"/>
        <v>Achived</v>
      </c>
      <c r="O15" s="23">
        <f t="shared" ca="1" si="4"/>
        <v>6.6000000000000005</v>
      </c>
      <c r="P15" s="39" t="str">
        <f>T3</f>
        <v>N</v>
      </c>
      <c r="Q15" s="39">
        <f t="shared" si="5"/>
        <v>8.2638888888888887E-2</v>
      </c>
    </row>
    <row r="16" spans="1:21" ht="22.5" thickTop="1" thickBot="1" x14ac:dyDescent="0.4">
      <c r="A16" s="40" t="str">
        <f>R3</f>
        <v>Aspiring</v>
      </c>
      <c r="B16" s="40">
        <f ca="1">Master!$AX$1</f>
        <v>45965</v>
      </c>
      <c r="C16" s="6">
        <v>0.29166666666666702</v>
      </c>
      <c r="D16" s="7">
        <f ca="1">Master!AN17</f>
        <v>15</v>
      </c>
      <c r="E16" s="8">
        <f>Master!L17</f>
        <v>17</v>
      </c>
      <c r="F16" s="9">
        <f t="shared" ca="1" si="1"/>
        <v>1.1333333333333333</v>
      </c>
      <c r="G16" s="9">
        <f>Master!E17</f>
        <v>0.89</v>
      </c>
      <c r="H16" s="19">
        <f t="shared" si="2"/>
        <v>8235</v>
      </c>
      <c r="I16" s="8">
        <f>IFERROR(((Master!AG17*3600*24)*((Master!S17/100)/Master!L17)),0)</f>
        <v>484.41176470588238</v>
      </c>
      <c r="J16" s="8">
        <f>Master!S17</f>
        <v>75</v>
      </c>
      <c r="K16" s="8">
        <f ca="1">D16*Validation!$M$7/1800/IF(Validation!$N$7="",(IF(OR(NOT(ISNUMBER(J16)),J16=0),1,J16%)),Validation!$N$7)</f>
        <v>3.9215686274509807</v>
      </c>
      <c r="L16" s="8">
        <f>Master!Z17</f>
        <v>7</v>
      </c>
      <c r="M16" s="8">
        <f t="shared" ca="1" si="0"/>
        <v>3.0784313725490193</v>
      </c>
      <c r="N16" s="19" t="str">
        <f t="shared" ca="1" si="3"/>
        <v>Achived</v>
      </c>
      <c r="O16" s="23">
        <f t="shared" ca="1" si="4"/>
        <v>16.5</v>
      </c>
      <c r="P16" s="39" t="str">
        <f>T3</f>
        <v>N</v>
      </c>
      <c r="Q16" s="39">
        <f t="shared" si="5"/>
        <v>0.12708333333333333</v>
      </c>
    </row>
    <row r="17" spans="1:17" ht="22.5" thickTop="1" thickBot="1" x14ac:dyDescent="0.4">
      <c r="A17" s="40" t="str">
        <f>R3</f>
        <v>Aspiring</v>
      </c>
      <c r="B17" s="40">
        <f ca="1">Master!$AX$1</f>
        <v>45965</v>
      </c>
      <c r="C17" s="6">
        <v>0.3125</v>
      </c>
      <c r="D17" s="7">
        <f ca="1">Master!AN18</f>
        <v>19</v>
      </c>
      <c r="E17" s="8">
        <f>Master!L18</f>
        <v>19</v>
      </c>
      <c r="F17" s="9">
        <f t="shared" ca="1" si="1"/>
        <v>1</v>
      </c>
      <c r="G17" s="9">
        <f>Master!E18</f>
        <v>0.94</v>
      </c>
      <c r="H17" s="19">
        <f t="shared" si="2"/>
        <v>0</v>
      </c>
      <c r="I17" s="8">
        <f>IFERROR(((Master!AG18*3600*24)*((Master!S18/100)/Master!L18)),0)</f>
        <v>0</v>
      </c>
      <c r="J17" s="8">
        <f>Master!S18</f>
        <v>72</v>
      </c>
      <c r="K17" s="8">
        <f ca="1">D17*Validation!$M$7/1800/IF(Validation!$N$7="",(IF(OR(NOT(ISNUMBER(J17)),J17=0),1,J17%)),Validation!$N$7)</f>
        <v>4.9673202614379086</v>
      </c>
      <c r="L17" s="8">
        <f>Master!Z18</f>
        <v>10</v>
      </c>
      <c r="M17" s="8">
        <f t="shared" ca="1" si="0"/>
        <v>5.0326797385620914</v>
      </c>
      <c r="N17" s="19" t="str">
        <f t="shared" ca="1" si="3"/>
        <v>Achived</v>
      </c>
      <c r="O17" s="23">
        <f t="shared" ca="1" si="4"/>
        <v>19</v>
      </c>
      <c r="P17" s="39" t="str">
        <f>T3</f>
        <v>N</v>
      </c>
      <c r="Q17" s="39">
        <f t="shared" si="5"/>
        <v>0</v>
      </c>
    </row>
    <row r="18" spans="1:17" ht="22.5" thickTop="1" thickBot="1" x14ac:dyDescent="0.4">
      <c r="A18" s="40" t="str">
        <f>R3</f>
        <v>Aspiring</v>
      </c>
      <c r="B18" s="40">
        <f ca="1">Master!$AX$1</f>
        <v>45965</v>
      </c>
      <c r="C18" s="6">
        <v>0.33333333333333298</v>
      </c>
      <c r="D18" s="7">
        <f ca="1">Master!AN19</f>
        <v>15</v>
      </c>
      <c r="E18" s="8">
        <f>Master!L19</f>
        <v>21</v>
      </c>
      <c r="F18" s="9">
        <f t="shared" ca="1" si="1"/>
        <v>1.4</v>
      </c>
      <c r="G18" s="9">
        <f>Master!E19</f>
        <v>0.95</v>
      </c>
      <c r="H18" s="19">
        <f t="shared" si="2"/>
        <v>11998.800000000001</v>
      </c>
      <c r="I18" s="8">
        <f>IFERROR(((Master!AG19*3600*24)*((Master!S19/100)/Master!L19)),0)</f>
        <v>571.37142857142862</v>
      </c>
      <c r="J18" s="8">
        <f>Master!S19</f>
        <v>66</v>
      </c>
      <c r="K18" s="8">
        <f ca="1">D18*Validation!$M$7/1800/IF(Validation!$N$7="",(IF(OR(NOT(ISNUMBER(J18)),J18=0),1,J18%)),Validation!$N$7)</f>
        <v>3.9215686274509807</v>
      </c>
      <c r="L18" s="8">
        <f>Master!Z19</f>
        <v>11</v>
      </c>
      <c r="M18" s="8">
        <f t="shared" ca="1" si="0"/>
        <v>7.0784313725490193</v>
      </c>
      <c r="N18" s="19" t="str">
        <f t="shared" ca="1" si="3"/>
        <v>Achived</v>
      </c>
      <c r="O18" s="23">
        <f t="shared" ca="1" si="4"/>
        <v>16.5</v>
      </c>
      <c r="P18" s="39" t="str">
        <f>T3</f>
        <v>N</v>
      </c>
      <c r="Q18" s="39">
        <f t="shared" si="5"/>
        <v>0.2104166666666667</v>
      </c>
    </row>
    <row r="19" spans="1:17" ht="22.5" thickTop="1" thickBot="1" x14ac:dyDescent="0.4">
      <c r="A19" s="40" t="str">
        <f>R3</f>
        <v>Aspiring</v>
      </c>
      <c r="B19" s="40">
        <f ca="1">Master!$AX$1</f>
        <v>45965</v>
      </c>
      <c r="C19" s="6">
        <v>0.35416666666666702</v>
      </c>
      <c r="D19" s="7">
        <f ca="1">Master!AN20</f>
        <v>21</v>
      </c>
      <c r="E19" s="8">
        <f>Master!L20</f>
        <v>27</v>
      </c>
      <c r="F19" s="9">
        <f t="shared" ca="1" si="1"/>
        <v>1.2857142857142858</v>
      </c>
      <c r="G19" s="9">
        <f>Master!E20</f>
        <v>1</v>
      </c>
      <c r="H19" s="19">
        <f t="shared" si="2"/>
        <v>14655.599999999999</v>
      </c>
      <c r="I19" s="8">
        <f>IFERROR(((Master!AG20*3600*24)*((Master!S20/100)/Master!L20)),0)</f>
        <v>542.79999999999995</v>
      </c>
      <c r="J19" s="8">
        <f>Master!S20</f>
        <v>69</v>
      </c>
      <c r="K19" s="8">
        <f ca="1">D19*Validation!$M$7/1800/IF(Validation!$N$7="",(IF(OR(NOT(ISNUMBER(J19)),J19=0),1,J19%)),Validation!$N$7)</f>
        <v>5.4901960784313735</v>
      </c>
      <c r="L19" s="8">
        <f>Master!Z20</f>
        <v>13</v>
      </c>
      <c r="M19" s="8">
        <f t="shared" ca="1" si="0"/>
        <v>7.5098039215686265</v>
      </c>
      <c r="N19" s="19" t="str">
        <f t="shared" ca="1" si="3"/>
        <v>Achived</v>
      </c>
      <c r="O19" s="23">
        <f t="shared" ca="1" si="4"/>
        <v>23.1</v>
      </c>
      <c r="P19" s="39" t="str">
        <f>T3</f>
        <v>N</v>
      </c>
      <c r="Q19" s="39">
        <f t="shared" si="5"/>
        <v>0.24583333333333335</v>
      </c>
    </row>
    <row r="20" spans="1:17" ht="22.5" thickTop="1" thickBot="1" x14ac:dyDescent="0.4">
      <c r="A20" s="40" t="str">
        <f>R3</f>
        <v>Aspiring</v>
      </c>
      <c r="B20" s="40">
        <f ca="1">Master!$AX$1</f>
        <v>45965</v>
      </c>
      <c r="C20" s="6">
        <v>0.375</v>
      </c>
      <c r="D20" s="7">
        <f ca="1">Master!AN21</f>
        <v>21</v>
      </c>
      <c r="E20" s="8">
        <f>Master!L21</f>
        <v>24</v>
      </c>
      <c r="F20" s="9">
        <f t="shared" ca="1" si="1"/>
        <v>1.1428571428571428</v>
      </c>
      <c r="G20" s="9">
        <f>Master!E21</f>
        <v>0.95</v>
      </c>
      <c r="H20" s="19">
        <f t="shared" si="2"/>
        <v>14079</v>
      </c>
      <c r="I20" s="8">
        <f>IFERROR(((Master!AG21*3600*24)*((Master!S21/100)/Master!L21)),0)</f>
        <v>586.625</v>
      </c>
      <c r="J20" s="8">
        <f>Master!S21</f>
        <v>65</v>
      </c>
      <c r="K20" s="8">
        <f ca="1">D20*Validation!$M$7/1800/IF(Validation!$N$7="",(IF(OR(NOT(ISNUMBER(J20)),J20=0),1,J20%)),Validation!$N$7)</f>
        <v>5.4901960784313735</v>
      </c>
      <c r="L20" s="8">
        <f>Master!Z21</f>
        <v>14</v>
      </c>
      <c r="M20" s="8">
        <f t="shared" ca="1" si="0"/>
        <v>8.5098039215686256</v>
      </c>
      <c r="N20" s="19" t="str">
        <f t="shared" ca="1" si="3"/>
        <v>Achived</v>
      </c>
      <c r="O20" s="23">
        <f t="shared" ca="1" si="4"/>
        <v>23.1</v>
      </c>
      <c r="P20" s="39" t="str">
        <f>T3</f>
        <v>N</v>
      </c>
      <c r="Q20" s="39">
        <f t="shared" si="5"/>
        <v>0.25069444444444444</v>
      </c>
    </row>
    <row r="21" spans="1:17" ht="22.5" thickTop="1" thickBot="1" x14ac:dyDescent="0.4">
      <c r="A21" s="40" t="str">
        <f>R3</f>
        <v>Aspiring</v>
      </c>
      <c r="B21" s="40">
        <f ca="1">Master!$AX$1</f>
        <v>45965</v>
      </c>
      <c r="C21" s="6">
        <v>0.39583333333333298</v>
      </c>
      <c r="D21" s="7">
        <f ca="1">Master!AN22</f>
        <v>44</v>
      </c>
      <c r="E21" s="8">
        <f>Master!L22</f>
        <v>44</v>
      </c>
      <c r="F21" s="9">
        <f t="shared" ca="1" si="1"/>
        <v>1</v>
      </c>
      <c r="G21" s="9">
        <f>Master!E22</f>
        <v>0.53</v>
      </c>
      <c r="H21" s="19">
        <f t="shared" si="2"/>
        <v>27799.199999999993</v>
      </c>
      <c r="I21" s="8">
        <f>IFERROR(((Master!AG22*3600*24)*((Master!S22/100)/Master!L23)),0)</f>
        <v>631.79999999999984</v>
      </c>
      <c r="J21" s="8">
        <f>Master!S22</f>
        <v>81</v>
      </c>
      <c r="K21" s="8">
        <f ca="1">D21*Validation!$M$7/1800/IF(Validation!$N$7="",(IF(OR(NOT(ISNUMBER(J21)),J21=0),1,J21%)),Validation!$N$7)</f>
        <v>11.503267973856211</v>
      </c>
      <c r="L21" s="8">
        <f>Master!Z22</f>
        <v>17</v>
      </c>
      <c r="M21" s="8">
        <f t="shared" ca="1" si="0"/>
        <v>5.4967320261437891</v>
      </c>
      <c r="N21" s="19" t="str">
        <f t="shared" ca="1" si="3"/>
        <v>Achived</v>
      </c>
      <c r="O21" s="23">
        <f t="shared" ca="1" si="4"/>
        <v>44</v>
      </c>
      <c r="P21" s="39" t="str">
        <f>T3</f>
        <v>N</v>
      </c>
      <c r="Q21" s="39">
        <f t="shared" si="5"/>
        <v>0.39722222222222214</v>
      </c>
    </row>
    <row r="22" spans="1:17" ht="22.5" thickTop="1" thickBot="1" x14ac:dyDescent="0.4">
      <c r="A22" s="40" t="str">
        <f>R3</f>
        <v>Aspiring</v>
      </c>
      <c r="B22" s="40">
        <f ca="1">Master!$AX$1</f>
        <v>45965</v>
      </c>
      <c r="C22" s="6">
        <v>0.41666666666666702</v>
      </c>
      <c r="D22" s="7">
        <f ca="1">Master!AN23</f>
        <v>45</v>
      </c>
      <c r="E22" s="8">
        <f>Master!L23</f>
        <v>38</v>
      </c>
      <c r="F22" s="9">
        <f t="shared" ca="1" si="1"/>
        <v>0.84444444444444444</v>
      </c>
      <c r="G22" s="9">
        <f>Master!E23</f>
        <v>0.97</v>
      </c>
      <c r="H22" s="19">
        <f t="shared" si="2"/>
        <v>0</v>
      </c>
      <c r="I22" s="8">
        <f>IFERROR(((Master!AG23*3600*24)*((Master!S23/100)/Master!#REF!)),0)</f>
        <v>0</v>
      </c>
      <c r="J22" s="8">
        <f>Master!S23</f>
        <v>69</v>
      </c>
      <c r="K22" s="8">
        <f ca="1">D22*Validation!$M$7/1800/IF(Validation!$N$7="",(IF(OR(NOT(ISNUMBER(J22)),J22=0),1,J22%)),Validation!$N$7)</f>
        <v>11.764705882352942</v>
      </c>
      <c r="L22" s="8">
        <f>Master!Z23</f>
        <v>17</v>
      </c>
      <c r="M22" s="8">
        <f t="shared" ca="1" si="0"/>
        <v>5.235294117647058</v>
      </c>
      <c r="N22" s="19" t="str">
        <f t="shared" ca="1" si="3"/>
        <v>Wait</v>
      </c>
      <c r="O22" s="23">
        <f t="shared" ca="1" si="4"/>
        <v>40.5</v>
      </c>
      <c r="P22" s="39" t="str">
        <f>T3</f>
        <v>N</v>
      </c>
      <c r="Q22" s="39">
        <f t="shared" si="5"/>
        <v>0</v>
      </c>
    </row>
    <row r="23" spans="1:17" ht="22.5" thickTop="1" thickBot="1" x14ac:dyDescent="0.4">
      <c r="A23" s="40" t="str">
        <f>R3</f>
        <v>Aspiring</v>
      </c>
      <c r="B23" s="40">
        <f ca="1">Master!$AX$1</f>
        <v>45965</v>
      </c>
      <c r="C23" s="6">
        <v>0.4375</v>
      </c>
      <c r="D23" s="7">
        <f ca="1">Master!AN24</f>
        <v>43</v>
      </c>
      <c r="E23" s="8">
        <f>Master!L24</f>
        <v>47</v>
      </c>
      <c r="F23" s="9">
        <f t="shared" ca="1" si="1"/>
        <v>1.0930232558139534</v>
      </c>
      <c r="G23" s="9">
        <f>Master!E24</f>
        <v>0.83</v>
      </c>
      <c r="H23" s="19">
        <f t="shared" si="2"/>
        <v>24948</v>
      </c>
      <c r="I23" s="8">
        <f>IFERROR(((Master!AG24*3600*24)*((Master!S24/100)/Master!L24)),0)</f>
        <v>530.80851063829789</v>
      </c>
      <c r="J23" s="8">
        <f>Master!S24</f>
        <v>84</v>
      </c>
      <c r="K23" s="8">
        <f ca="1">D23*Validation!$M$7/1800/IF(Validation!$N$7="",(IF(OR(NOT(ISNUMBER(J23)),J23=0),1,J23%)),Validation!$N$7)</f>
        <v>11.241830065359478</v>
      </c>
      <c r="L23" s="8">
        <f>Master!Z24</f>
        <v>18</v>
      </c>
      <c r="M23" s="8">
        <f t="shared" ca="1" si="0"/>
        <v>6.758169934640522</v>
      </c>
      <c r="N23" s="19" t="str">
        <f t="shared" ca="1" si="3"/>
        <v>Achived</v>
      </c>
      <c r="O23" s="23">
        <f t="shared" ca="1" si="4"/>
        <v>47</v>
      </c>
      <c r="P23" s="39" t="str">
        <f>T3</f>
        <v>N</v>
      </c>
      <c r="Q23" s="39">
        <f t="shared" si="5"/>
        <v>0.34375</v>
      </c>
    </row>
    <row r="24" spans="1:17" ht="22.5" thickTop="1" thickBot="1" x14ac:dyDescent="0.4">
      <c r="A24" s="40" t="str">
        <f>R3</f>
        <v>Aspiring</v>
      </c>
      <c r="B24" s="40">
        <f ca="1">Master!$AX$1</f>
        <v>45965</v>
      </c>
      <c r="C24" s="6">
        <v>0.45833333333333298</v>
      </c>
      <c r="D24" s="7">
        <f ca="1">Master!AN25</f>
        <v>45</v>
      </c>
      <c r="E24" s="8">
        <f>Master!L25</f>
        <v>36</v>
      </c>
      <c r="F24" s="9">
        <f t="shared" ca="1" si="1"/>
        <v>0.8</v>
      </c>
      <c r="G24" s="9">
        <f>Master!E25</f>
        <v>1</v>
      </c>
      <c r="H24" s="19">
        <f t="shared" si="2"/>
        <v>22469.999999999993</v>
      </c>
      <c r="I24" s="8">
        <f>IFERROR(((Master!AG25*3600*24)*((Master!S25/100)/Master!L25)),0)</f>
        <v>624.16666666666652</v>
      </c>
      <c r="J24" s="8">
        <f>Master!S25</f>
        <v>70</v>
      </c>
      <c r="K24" s="8">
        <f ca="1">D24*Validation!$M$7/1800/IF(Validation!$N$7="",(IF(OR(NOT(ISNUMBER(J24)),J24=0),1,J24%)),Validation!$N$7)</f>
        <v>11.764705882352942</v>
      </c>
      <c r="L24" s="8">
        <f>Master!Z25</f>
        <v>19</v>
      </c>
      <c r="M24" s="8">
        <f t="shared" ca="1" si="0"/>
        <v>7.235294117647058</v>
      </c>
      <c r="N24" s="19" t="str">
        <f t="shared" ca="1" si="3"/>
        <v>Wait</v>
      </c>
      <c r="O24" s="23">
        <f t="shared" ca="1" si="4"/>
        <v>40.5</v>
      </c>
      <c r="P24" s="39" t="str">
        <f>T3</f>
        <v>N</v>
      </c>
      <c r="Q24" s="39">
        <f t="shared" si="5"/>
        <v>0.37152777777777768</v>
      </c>
    </row>
    <row r="25" spans="1:17" ht="22.5" thickTop="1" thickBot="1" x14ac:dyDescent="0.4">
      <c r="A25" s="40" t="str">
        <f>R3</f>
        <v>Aspiring</v>
      </c>
      <c r="B25" s="40">
        <f ca="1">Master!$AX$1</f>
        <v>45965</v>
      </c>
      <c r="C25" s="6">
        <v>0.47916666666666702</v>
      </c>
      <c r="D25" s="7">
        <f ca="1">Master!AN26</f>
        <v>40</v>
      </c>
      <c r="E25" s="8">
        <f>Master!L26</f>
        <v>36</v>
      </c>
      <c r="F25" s="9">
        <f t="shared" ca="1" si="1"/>
        <v>0.9</v>
      </c>
      <c r="G25" s="9">
        <f>Master!E26</f>
        <v>0.85</v>
      </c>
      <c r="H25" s="19">
        <f t="shared" si="2"/>
        <v>23668.2</v>
      </c>
      <c r="I25" s="8">
        <f>IFERROR(((Master!AG26*3600*24)*((Master!S26/100)/Master!L26)),0)</f>
        <v>657.45</v>
      </c>
      <c r="J25" s="8">
        <f>Master!S26</f>
        <v>81</v>
      </c>
      <c r="K25" s="8">
        <f ca="1">D25*Validation!$M$7/1800/IF(Validation!$N$7="",(IF(OR(NOT(ISNUMBER(J25)),J25=0),1,J25%)),Validation!$N$7)</f>
        <v>10.457516339869281</v>
      </c>
      <c r="L25" s="8">
        <f>Master!Z26</f>
        <v>18</v>
      </c>
      <c r="M25" s="8">
        <f t="shared" ca="1" si="0"/>
        <v>7.5424836601307188</v>
      </c>
      <c r="N25" s="19" t="str">
        <f t="shared" ca="1" si="3"/>
        <v>Wait</v>
      </c>
      <c r="O25" s="23">
        <f t="shared" ca="1" si="4"/>
        <v>36</v>
      </c>
      <c r="P25" s="39" t="str">
        <f>T3</f>
        <v>N</v>
      </c>
      <c r="Q25" s="39">
        <f t="shared" si="5"/>
        <v>0.33819444444444446</v>
      </c>
    </row>
    <row r="26" spans="1:17" ht="22.5" thickTop="1" thickBot="1" x14ac:dyDescent="0.4">
      <c r="A26" s="40" t="str">
        <f>R3</f>
        <v>Aspiring</v>
      </c>
      <c r="B26" s="40">
        <f ca="1">Master!$AX$1</f>
        <v>45965</v>
      </c>
      <c r="C26" s="6">
        <v>0.5</v>
      </c>
      <c r="D26" s="7">
        <f ca="1">Master!AN27</f>
        <v>57</v>
      </c>
      <c r="E26" s="8">
        <f>Master!L27</f>
        <v>47</v>
      </c>
      <c r="F26" s="9">
        <f t="shared" ca="1" si="1"/>
        <v>0.82456140350877194</v>
      </c>
      <c r="G26" s="9">
        <f>Master!E27</f>
        <v>1</v>
      </c>
      <c r="H26" s="19">
        <f t="shared" si="2"/>
        <v>27749.999999999996</v>
      </c>
      <c r="I26" s="8">
        <f>IFERROR(((Master!AG27*3600*24)*((Master!S27/100)/Master!L27)),0)</f>
        <v>590.42553191489355</v>
      </c>
      <c r="J26" s="8">
        <f>Master!S27</f>
        <v>74</v>
      </c>
      <c r="K26" s="8">
        <f ca="1">D26*Validation!$M$7/1800/IF(Validation!$N$7="",(IF(OR(NOT(ISNUMBER(J26)),J26=0),1,J26%)),Validation!$N$7)</f>
        <v>14.901960784313726</v>
      </c>
      <c r="L26" s="8">
        <f>Master!Z27</f>
        <v>21</v>
      </c>
      <c r="M26" s="8">
        <f t="shared" ca="1" si="0"/>
        <v>6.0980392156862742</v>
      </c>
      <c r="N26" s="19" t="str">
        <f t="shared" ca="1" si="3"/>
        <v>Wait</v>
      </c>
      <c r="O26" s="23">
        <f t="shared" ca="1" si="4"/>
        <v>51.300000000000004</v>
      </c>
      <c r="P26" s="39" t="str">
        <f>T3</f>
        <v>N</v>
      </c>
      <c r="Q26" s="39">
        <f t="shared" si="5"/>
        <v>0.43402777777777773</v>
      </c>
    </row>
    <row r="27" spans="1:17" ht="22.5" thickTop="1" thickBot="1" x14ac:dyDescent="0.4">
      <c r="A27" s="40" t="str">
        <f>R3</f>
        <v>Aspiring</v>
      </c>
      <c r="B27" s="40">
        <f ca="1">Master!$AX$1</f>
        <v>45965</v>
      </c>
      <c r="C27" s="6">
        <v>0.52083333333333304</v>
      </c>
      <c r="D27" s="7">
        <f ca="1">Master!AN28</f>
        <v>52</v>
      </c>
      <c r="E27" s="8">
        <f>Master!L28</f>
        <v>61</v>
      </c>
      <c r="F27" s="9">
        <f t="shared" ca="1" si="1"/>
        <v>1.1730769230769231</v>
      </c>
      <c r="G27" s="9">
        <f>Master!E28</f>
        <v>0.81</v>
      </c>
      <c r="H27" s="19">
        <f t="shared" si="2"/>
        <v>32416.199999999993</v>
      </c>
      <c r="I27" s="8">
        <f>IFERROR(((Master!AG28*3600*24)*((Master!S28/100)/Master!L28)),0)</f>
        <v>531.41311475409827</v>
      </c>
      <c r="J27" s="8">
        <f>Master!S28</f>
        <v>87</v>
      </c>
      <c r="K27" s="8">
        <f ca="1">D27*Validation!$M$7/1800/IF(Validation!$N$7="",(IF(OR(NOT(ISNUMBER(J27)),J27=0),1,J27%)),Validation!$N$7)</f>
        <v>13.594771241830065</v>
      </c>
      <c r="L27" s="8">
        <f>Master!Z28</f>
        <v>23</v>
      </c>
      <c r="M27" s="8">
        <f t="shared" ca="1" si="0"/>
        <v>9.405228758169935</v>
      </c>
      <c r="N27" s="19" t="str">
        <f t="shared" ca="1" si="3"/>
        <v>Achived</v>
      </c>
      <c r="O27" s="23">
        <f t="shared" ca="1" si="4"/>
        <v>57.2</v>
      </c>
      <c r="P27" s="39" t="str">
        <f>T3</f>
        <v>N</v>
      </c>
      <c r="Q27" s="39">
        <f t="shared" si="5"/>
        <v>0.43124999999999991</v>
      </c>
    </row>
    <row r="28" spans="1:17" ht="22.5" thickTop="1" thickBot="1" x14ac:dyDescent="0.4">
      <c r="A28" s="40" t="str">
        <f>R3</f>
        <v>Aspiring</v>
      </c>
      <c r="B28" s="40">
        <f ca="1">Master!$AX$1</f>
        <v>45965</v>
      </c>
      <c r="C28" s="6">
        <v>0.54166666666666696</v>
      </c>
      <c r="D28" s="7">
        <f ca="1">Master!AN29</f>
        <v>54</v>
      </c>
      <c r="E28" s="8">
        <f>Master!L29</f>
        <v>50</v>
      </c>
      <c r="F28" s="9">
        <f t="shared" ca="1" si="1"/>
        <v>0.92592592592592593</v>
      </c>
      <c r="G28" s="9">
        <f>Master!E29</f>
        <v>0.96</v>
      </c>
      <c r="H28" s="19">
        <f t="shared" si="2"/>
        <v>30945.599999999995</v>
      </c>
      <c r="I28" s="8">
        <f>IFERROR(((Master!AG29*3600*24)*((Master!S29/100)/Master!L29)),0)</f>
        <v>618.91199999999992</v>
      </c>
      <c r="J28" s="8">
        <f>Master!S29</f>
        <v>84</v>
      </c>
      <c r="K28" s="8">
        <f ca="1">D28*Validation!$M$7/1800/IF(Validation!$N$7="",(IF(OR(NOT(ISNUMBER(J28)),J28=0),1,J28%)),Validation!$N$7)</f>
        <v>14.117647058823529</v>
      </c>
      <c r="L28" s="8">
        <f>Master!Z29</f>
        <v>20</v>
      </c>
      <c r="M28" s="8">
        <f t="shared" ca="1" si="0"/>
        <v>5.882352941176471</v>
      </c>
      <c r="N28" s="19" t="str">
        <f t="shared" ca="1" si="3"/>
        <v>Wait</v>
      </c>
      <c r="O28" s="23">
        <f t="shared" ca="1" si="4"/>
        <v>48.6</v>
      </c>
      <c r="P28" s="39" t="str">
        <f>T3</f>
        <v>N</v>
      </c>
      <c r="Q28" s="39">
        <f t="shared" si="5"/>
        <v>0.42638888888888882</v>
      </c>
    </row>
    <row r="29" spans="1:17" ht="22.5" thickTop="1" thickBot="1" x14ac:dyDescent="0.4">
      <c r="A29" s="40" t="str">
        <f>R3</f>
        <v>Aspiring</v>
      </c>
      <c r="B29" s="40">
        <f ca="1">Master!$AX$1</f>
        <v>45965</v>
      </c>
      <c r="C29" s="6">
        <v>0.5625</v>
      </c>
      <c r="D29" s="7">
        <f ca="1">Master!AN30</f>
        <v>55</v>
      </c>
      <c r="E29" s="8">
        <f>Master!L30</f>
        <v>50</v>
      </c>
      <c r="F29" s="9">
        <f t="shared" ca="1" si="1"/>
        <v>0.90909090909090906</v>
      </c>
      <c r="G29" s="9">
        <f>Master!E30</f>
        <v>0.82</v>
      </c>
      <c r="H29" s="19">
        <f t="shared" si="2"/>
        <v>28880.399999999998</v>
      </c>
      <c r="I29" s="8">
        <f>IFERROR(((Master!AG30*3600*24)*((Master!S30/100)/Master!L30)),0)</f>
        <v>577.60799999999995</v>
      </c>
      <c r="J29" s="8">
        <f>Master!S30</f>
        <v>82</v>
      </c>
      <c r="K29" s="8">
        <f ca="1">D29*Validation!$M$7/1800/IF(Validation!$N$7="",(IF(OR(NOT(ISNUMBER(J29)),J29=0),1,J29%)),Validation!$N$7)</f>
        <v>14.37908496732026</v>
      </c>
      <c r="L29" s="8">
        <f>Master!Z30</f>
        <v>21</v>
      </c>
      <c r="M29" s="8">
        <f t="shared" ca="1" si="0"/>
        <v>6.6209150326797399</v>
      </c>
      <c r="N29" s="19" t="str">
        <f t="shared" ca="1" si="3"/>
        <v>Wait</v>
      </c>
      <c r="O29" s="23">
        <f t="shared" ca="1" si="4"/>
        <v>49.5</v>
      </c>
      <c r="P29" s="39" t="str">
        <f>T3</f>
        <v>N</v>
      </c>
      <c r="Q29" s="39">
        <f t="shared" si="5"/>
        <v>0.40763888888888888</v>
      </c>
    </row>
    <row r="30" spans="1:17" ht="22.5" thickTop="1" thickBot="1" x14ac:dyDescent="0.4">
      <c r="A30" s="40" t="str">
        <f>R3</f>
        <v>Aspiring</v>
      </c>
      <c r="B30" s="40">
        <f ca="1">Master!$AX$1</f>
        <v>45965</v>
      </c>
      <c r="C30" s="6">
        <v>0.58333333333333304</v>
      </c>
      <c r="D30" s="7">
        <f ca="1">Master!AN31</f>
        <v>58</v>
      </c>
      <c r="E30" s="8">
        <f>Master!L31</f>
        <v>55</v>
      </c>
      <c r="F30" s="9">
        <f t="shared" ca="1" si="1"/>
        <v>0.94827586206896552</v>
      </c>
      <c r="G30" s="9">
        <f>Master!E31</f>
        <v>0.73</v>
      </c>
      <c r="H30" s="19">
        <f t="shared" si="2"/>
        <v>30132</v>
      </c>
      <c r="I30" s="8">
        <f>IFERROR(((Master!AG31*3600*24)*((Master!S31/100)/Master!L31)),0)</f>
        <v>547.85454545454547</v>
      </c>
      <c r="J30" s="8">
        <f>Master!S31</f>
        <v>90</v>
      </c>
      <c r="K30" s="8">
        <f ca="1">D30*Validation!$M$7/1800/IF(Validation!$N$7="",(IF(OR(NOT(ISNUMBER(J30)),J30=0),1,J30%)),Validation!$N$7)</f>
        <v>15.163398692810459</v>
      </c>
      <c r="L30" s="8">
        <f>Master!Z31</f>
        <v>21</v>
      </c>
      <c r="M30" s="8">
        <f t="shared" ca="1" si="0"/>
        <v>5.8366013071895413</v>
      </c>
      <c r="N30" s="19" t="str">
        <f t="shared" ca="1" si="3"/>
        <v>Lost</v>
      </c>
      <c r="O30" s="23">
        <f t="shared" ca="1" si="4"/>
        <v>55</v>
      </c>
      <c r="P30" s="39" t="str">
        <f>T3</f>
        <v>N</v>
      </c>
      <c r="Q30" s="39">
        <f t="shared" si="5"/>
        <v>0.38750000000000001</v>
      </c>
    </row>
    <row r="31" spans="1:17" ht="22.5" thickTop="1" thickBot="1" x14ac:dyDescent="0.4">
      <c r="A31" s="40" t="str">
        <f>R3</f>
        <v>Aspiring</v>
      </c>
      <c r="B31" s="40">
        <f ca="1">Master!$AX$1</f>
        <v>45965</v>
      </c>
      <c r="C31" s="6">
        <v>0.60416666666666696</v>
      </c>
      <c r="D31" s="7">
        <f ca="1">Master!AN32</f>
        <v>67</v>
      </c>
      <c r="E31" s="8">
        <f>Master!L32</f>
        <v>42</v>
      </c>
      <c r="F31" s="9">
        <f t="shared" ca="1" si="1"/>
        <v>0.62686567164179108</v>
      </c>
      <c r="G31" s="9">
        <f>Master!E32</f>
        <v>1</v>
      </c>
      <c r="H31" s="19">
        <f t="shared" si="2"/>
        <v>29385</v>
      </c>
      <c r="I31" s="8">
        <f>IFERROR(((Master!AG32*3600*24)*((Master!S32/100)/Master!L32)),0)</f>
        <v>699.64285714285711</v>
      </c>
      <c r="J31" s="8">
        <f>Master!S32</f>
        <v>75</v>
      </c>
      <c r="K31" s="8">
        <f ca="1">D31*Validation!$M$7/1800/IF(Validation!$N$7="",(IF(OR(NOT(ISNUMBER(J31)),J31=0),1,J31%)),Validation!$N$7)</f>
        <v>17.516339869281047</v>
      </c>
      <c r="L31" s="8">
        <f>Master!Z32</f>
        <v>23</v>
      </c>
      <c r="M31" s="8">
        <f t="shared" ca="1" si="0"/>
        <v>5.4836601307189525</v>
      </c>
      <c r="N31" s="19" t="str">
        <f t="shared" ca="1" si="3"/>
        <v>Wait</v>
      </c>
      <c r="O31" s="23">
        <f t="shared" ca="1" si="4"/>
        <v>60.300000000000004</v>
      </c>
      <c r="P31" s="39" t="str">
        <f>T3</f>
        <v>N</v>
      </c>
      <c r="Q31" s="39">
        <f t="shared" si="5"/>
        <v>0.45347222222222222</v>
      </c>
    </row>
    <row r="32" spans="1:17" ht="22.5" thickTop="1" thickBot="1" x14ac:dyDescent="0.4">
      <c r="A32" s="40" t="str">
        <f>R3</f>
        <v>Aspiring</v>
      </c>
      <c r="B32" s="40">
        <f ca="1">Master!$AX$1</f>
        <v>45965</v>
      </c>
      <c r="C32" s="6">
        <v>0.625</v>
      </c>
      <c r="D32" s="7">
        <f ca="1">Master!AN33</f>
        <v>67</v>
      </c>
      <c r="E32" s="8">
        <f>Master!L33</f>
        <v>58</v>
      </c>
      <c r="F32" s="9">
        <f t="shared" ca="1" si="1"/>
        <v>0.86567164179104472</v>
      </c>
      <c r="G32" s="9">
        <f>Master!E33</f>
        <v>0.93</v>
      </c>
      <c r="H32" s="19">
        <f t="shared" si="2"/>
        <v>34686</v>
      </c>
      <c r="I32" s="8">
        <f>IFERROR(((Master!AG33*3600*24)*((Master!S33/100)/Master!L33)),0)</f>
        <v>598.0344827586207</v>
      </c>
      <c r="J32" s="8">
        <f>Master!S33</f>
        <v>82</v>
      </c>
      <c r="K32" s="8">
        <f ca="1">D32*Validation!$M$7/1800/IF(Validation!$N$7="",(IF(OR(NOT(ISNUMBER(J32)),J32=0),1,J32%)),Validation!$N$7)</f>
        <v>17.516339869281047</v>
      </c>
      <c r="L32" s="8">
        <f>Master!Z33</f>
        <v>23</v>
      </c>
      <c r="M32" s="8">
        <f t="shared" ca="1" si="0"/>
        <v>5.4836601307189525</v>
      </c>
      <c r="N32" s="19" t="str">
        <f t="shared" ca="1" si="3"/>
        <v>Wait</v>
      </c>
      <c r="O32" s="23">
        <f t="shared" ca="1" si="4"/>
        <v>60.300000000000004</v>
      </c>
      <c r="P32" s="39" t="str">
        <f>T3</f>
        <v>N</v>
      </c>
      <c r="Q32" s="39">
        <f t="shared" si="5"/>
        <v>0.48958333333333331</v>
      </c>
    </row>
    <row r="33" spans="1:17" ht="22.5" thickTop="1" thickBot="1" x14ac:dyDescent="0.4">
      <c r="A33" s="40" t="str">
        <f>R3</f>
        <v>Aspiring</v>
      </c>
      <c r="B33" s="40">
        <f ca="1">Master!$AX$1</f>
        <v>45965</v>
      </c>
      <c r="C33" s="6">
        <v>0.64583333333333304</v>
      </c>
      <c r="D33" s="7">
        <f ca="1">Master!AN34</f>
        <v>74</v>
      </c>
      <c r="E33" s="8">
        <f>Master!L34</f>
        <v>60</v>
      </c>
      <c r="F33" s="9">
        <f t="shared" ca="1" si="1"/>
        <v>0.81081081081081086</v>
      </c>
      <c r="G33" s="9">
        <f>Master!E34</f>
        <v>0.96</v>
      </c>
      <c r="H33" s="19">
        <f t="shared" si="2"/>
        <v>36159</v>
      </c>
      <c r="I33" s="8">
        <f>IFERROR(((Master!AG34*3600*24)*((Master!S34/100)/Master!L34)),0)</f>
        <v>602.65</v>
      </c>
      <c r="J33" s="8">
        <f>Master!S34</f>
        <v>85</v>
      </c>
      <c r="K33" s="8">
        <f ca="1">D33*Validation!$M$7/1800/IF(Validation!$N$7="",(IF(OR(NOT(ISNUMBER(J33)),J33=0),1,J33%)),Validation!$N$7)</f>
        <v>19.346405228758169</v>
      </c>
      <c r="L33" s="8">
        <f>Master!Z34</f>
        <v>25</v>
      </c>
      <c r="M33" s="8">
        <f t="shared" ca="1" si="0"/>
        <v>5.6535947712418313</v>
      </c>
      <c r="N33" s="19" t="str">
        <f t="shared" ca="1" si="3"/>
        <v>Wait</v>
      </c>
      <c r="O33" s="23">
        <f t="shared" ca="1" si="4"/>
        <v>66.600000000000009</v>
      </c>
      <c r="P33" s="39" t="str">
        <f>T3</f>
        <v>N</v>
      </c>
      <c r="Q33" s="39">
        <f t="shared" si="5"/>
        <v>0.49236111111111114</v>
      </c>
    </row>
    <row r="34" spans="1:17" ht="22.5" thickTop="1" thickBot="1" x14ac:dyDescent="0.4">
      <c r="A34" s="40" t="str">
        <f>R3</f>
        <v>Aspiring</v>
      </c>
      <c r="B34" s="40">
        <f ca="1">Master!$AX$1</f>
        <v>45965</v>
      </c>
      <c r="C34" s="6">
        <v>0.66666666666666696</v>
      </c>
      <c r="D34" s="7">
        <f ca="1">Master!AN35</f>
        <v>58</v>
      </c>
      <c r="E34" s="8">
        <f>Master!L35</f>
        <v>55</v>
      </c>
      <c r="F34" s="9">
        <f t="shared" ca="1" si="1"/>
        <v>0.94827586206896552</v>
      </c>
      <c r="G34" s="9">
        <f>Master!E35</f>
        <v>0.86</v>
      </c>
      <c r="H34" s="19">
        <f t="shared" si="2"/>
        <v>36321.599999999991</v>
      </c>
      <c r="I34" s="8">
        <f>IFERROR(((Master!AG35*3600*24)*((Master!S35/100)/Master!L35)),0)</f>
        <v>660.39272727272714</v>
      </c>
      <c r="J34" s="8">
        <f>Master!S35</f>
        <v>94</v>
      </c>
      <c r="K34" s="8">
        <f ca="1">D34*Validation!$M$7/1800/IF(Validation!$N$7="",(IF(OR(NOT(ISNUMBER(J34)),J34=0),1,J34%)),Validation!$N$7)</f>
        <v>15.163398692810459</v>
      </c>
      <c r="L34" s="8">
        <f>Master!Z35</f>
        <v>22</v>
      </c>
      <c r="M34" s="8">
        <f t="shared" ca="1" si="0"/>
        <v>6.8366013071895413</v>
      </c>
      <c r="N34" s="19" t="str">
        <f t="shared" ca="1" si="3"/>
        <v>Wait</v>
      </c>
      <c r="O34" s="23">
        <f t="shared" ca="1" si="4"/>
        <v>52.2</v>
      </c>
      <c r="P34" s="39" t="str">
        <f>T3</f>
        <v>N</v>
      </c>
      <c r="Q34" s="39">
        <f t="shared" si="5"/>
        <v>0.44722222222222213</v>
      </c>
    </row>
    <row r="35" spans="1:17" ht="22.5" thickTop="1" thickBot="1" x14ac:dyDescent="0.4">
      <c r="A35" s="40" t="str">
        <f>R3</f>
        <v>Aspiring</v>
      </c>
      <c r="B35" s="40">
        <f ca="1">Master!$AX$1</f>
        <v>45965</v>
      </c>
      <c r="C35" s="6">
        <v>0.6875</v>
      </c>
      <c r="D35" s="7">
        <f ca="1">Master!AN36</f>
        <v>56</v>
      </c>
      <c r="E35" s="8">
        <f>Master!L36</f>
        <v>0</v>
      </c>
      <c r="F35" s="9" t="str">
        <f t="shared" si="1"/>
        <v/>
      </c>
      <c r="G35" s="9">
        <f>Master!E36</f>
        <v>0</v>
      </c>
      <c r="H35" s="19">
        <f t="shared" si="2"/>
        <v>0</v>
      </c>
      <c r="I35" s="8">
        <f>IFERROR(((Master!AG36*3600*24)*((Master!S36/100)/Master!L36)),0)</f>
        <v>0</v>
      </c>
      <c r="J35" s="8">
        <f>Master!S36</f>
        <v>0</v>
      </c>
      <c r="K35" s="8">
        <f ca="1">D35*Validation!$M$7/1800/IF(Validation!$N$7="",(IF(OR(NOT(ISNUMBER(J35)),J35=0),1,J35%)),Validation!$N$7)</f>
        <v>14.640522875816995</v>
      </c>
      <c r="L35" s="8">
        <f>Master!Z36</f>
        <v>0</v>
      </c>
      <c r="M35" s="8" t="str">
        <f t="shared" si="0"/>
        <v>-</v>
      </c>
      <c r="N35" s="19" t="str">
        <f t="shared" si="3"/>
        <v/>
      </c>
      <c r="O35" s="23">
        <f t="shared" si="4"/>
        <v>0</v>
      </c>
      <c r="P35" s="39" t="str">
        <f>T3</f>
        <v>N</v>
      </c>
      <c r="Q35" s="39">
        <f t="shared" si="5"/>
        <v>0</v>
      </c>
    </row>
    <row r="36" spans="1:17" ht="22.5" thickTop="1" thickBot="1" x14ac:dyDescent="0.4">
      <c r="A36" s="40" t="str">
        <f>R3</f>
        <v>Aspiring</v>
      </c>
      <c r="B36" s="40">
        <f ca="1">Master!$AX$1</f>
        <v>45965</v>
      </c>
      <c r="C36" s="6">
        <v>0.70833333333333304</v>
      </c>
      <c r="D36" s="7">
        <f ca="1">Master!AN37</f>
        <v>59</v>
      </c>
      <c r="E36" s="8">
        <f>Master!L37</f>
        <v>0</v>
      </c>
      <c r="F36" s="9" t="str">
        <f t="shared" si="1"/>
        <v/>
      </c>
      <c r="G36" s="9">
        <f>Master!E37</f>
        <v>0</v>
      </c>
      <c r="H36" s="19">
        <f t="shared" si="2"/>
        <v>0</v>
      </c>
      <c r="I36" s="8">
        <f>IFERROR(((Master!AG37*3600*24)*((Master!S37/100)/Master!L37)),0)</f>
        <v>0</v>
      </c>
      <c r="J36" s="8">
        <f>Master!S37</f>
        <v>0</v>
      </c>
      <c r="K36" s="8">
        <f ca="1">D36*Validation!$M$7/1800/IF(Validation!$N$7="",(IF(OR(NOT(ISNUMBER(J36)),J36=0),1,J36%)),Validation!$N$7)</f>
        <v>15.42483660130719</v>
      </c>
      <c r="L36" s="8">
        <f>Master!Z37</f>
        <v>0</v>
      </c>
      <c r="M36" s="8" t="str">
        <f t="shared" si="0"/>
        <v>-</v>
      </c>
      <c r="N36" s="19" t="str">
        <f t="shared" si="3"/>
        <v/>
      </c>
      <c r="O36" s="23">
        <f t="shared" si="4"/>
        <v>0</v>
      </c>
      <c r="P36" s="39" t="str">
        <f>T3</f>
        <v>N</v>
      </c>
      <c r="Q36" s="39">
        <f t="shared" si="5"/>
        <v>0</v>
      </c>
    </row>
    <row r="37" spans="1:17" ht="22.5" thickTop="1" thickBot="1" x14ac:dyDescent="0.4">
      <c r="A37" s="40" t="str">
        <f>R3</f>
        <v>Aspiring</v>
      </c>
      <c r="B37" s="40">
        <f ca="1">Master!$AX$1</f>
        <v>45965</v>
      </c>
      <c r="C37" s="6">
        <v>0.72916666666666696</v>
      </c>
      <c r="D37" s="7">
        <f ca="1">Master!AN38</f>
        <v>74</v>
      </c>
      <c r="E37" s="8">
        <f>Master!L38</f>
        <v>0</v>
      </c>
      <c r="F37" s="9" t="str">
        <f t="shared" si="1"/>
        <v/>
      </c>
      <c r="G37" s="9">
        <f>Master!E38</f>
        <v>0</v>
      </c>
      <c r="H37" s="19">
        <f t="shared" si="2"/>
        <v>0</v>
      </c>
      <c r="I37" s="8">
        <f>IFERROR(((Master!AG38*3600*24)*((Master!S38/100)/Master!L38)),0)</f>
        <v>0</v>
      </c>
      <c r="J37" s="8">
        <f>Master!S38</f>
        <v>0</v>
      </c>
      <c r="K37" s="8">
        <f ca="1">D37*Validation!$M$7/1800/IF(Validation!$N$7="",(IF(OR(NOT(ISNUMBER(J37)),J37=0),1,J37%)),Validation!$N$7)</f>
        <v>19.346405228758169</v>
      </c>
      <c r="L37" s="8">
        <f>Master!Z38</f>
        <v>0</v>
      </c>
      <c r="M37" s="8" t="str">
        <f t="shared" si="0"/>
        <v>-</v>
      </c>
      <c r="N37" s="19" t="str">
        <f t="shared" si="3"/>
        <v/>
      </c>
      <c r="O37" s="23">
        <f t="shared" si="4"/>
        <v>0</v>
      </c>
      <c r="P37" s="39" t="str">
        <f>T3</f>
        <v>N</v>
      </c>
      <c r="Q37" s="39">
        <f t="shared" si="5"/>
        <v>0</v>
      </c>
    </row>
    <row r="38" spans="1:17" ht="22.5" thickTop="1" thickBot="1" x14ac:dyDescent="0.4">
      <c r="A38" s="40" t="str">
        <f>R3</f>
        <v>Aspiring</v>
      </c>
      <c r="B38" s="40">
        <f ca="1">Master!$AX$1</f>
        <v>45965</v>
      </c>
      <c r="C38" s="6">
        <v>0.75</v>
      </c>
      <c r="D38" s="7">
        <f ca="1">Master!AN39</f>
        <v>66</v>
      </c>
      <c r="E38" s="8">
        <f>Master!L39</f>
        <v>0</v>
      </c>
      <c r="F38" s="9" t="str">
        <f t="shared" si="1"/>
        <v/>
      </c>
      <c r="G38" s="9">
        <f>Master!E39</f>
        <v>0</v>
      </c>
      <c r="H38" s="19">
        <f t="shared" si="2"/>
        <v>0</v>
      </c>
      <c r="I38" s="8">
        <f>IFERROR(((Master!AG39*3600*24)*((Master!S39/100)/Master!L39)),0)</f>
        <v>0</v>
      </c>
      <c r="J38" s="8">
        <f>Master!S39</f>
        <v>0</v>
      </c>
      <c r="K38" s="8">
        <f ca="1">D38*Validation!$M$7/1800/IF(Validation!$N$7="",(IF(OR(NOT(ISNUMBER(J38)),J38=0),1,J38%)),Validation!$N$7)</f>
        <v>17.254901960784313</v>
      </c>
      <c r="L38" s="8">
        <f>Master!Z39</f>
        <v>0</v>
      </c>
      <c r="M38" s="8" t="str">
        <f t="shared" si="0"/>
        <v>-</v>
      </c>
      <c r="N38" s="19" t="str">
        <f t="shared" si="3"/>
        <v/>
      </c>
      <c r="O38" s="23">
        <f t="shared" si="4"/>
        <v>0</v>
      </c>
      <c r="P38" s="39" t="str">
        <f>T3</f>
        <v>N</v>
      </c>
      <c r="Q38" s="39">
        <f t="shared" si="5"/>
        <v>0</v>
      </c>
    </row>
    <row r="39" spans="1:17" ht="22.5" thickTop="1" thickBot="1" x14ac:dyDescent="0.4">
      <c r="A39" s="40" t="str">
        <f>R3</f>
        <v>Aspiring</v>
      </c>
      <c r="B39" s="40">
        <f ca="1">Master!$AX$1</f>
        <v>45965</v>
      </c>
      <c r="C39" s="6">
        <v>0.77083333333333304</v>
      </c>
      <c r="D39" s="7">
        <f ca="1">Master!AN40</f>
        <v>64</v>
      </c>
      <c r="E39" s="8">
        <f>Master!L40</f>
        <v>0</v>
      </c>
      <c r="F39" s="9" t="str">
        <f t="shared" si="1"/>
        <v/>
      </c>
      <c r="G39" s="9">
        <f>Master!E40</f>
        <v>0</v>
      </c>
      <c r="H39" s="19">
        <f t="shared" si="2"/>
        <v>0</v>
      </c>
      <c r="I39" s="8">
        <f>IFERROR(((Master!AG40*3600*24)*((Master!S40/100)/Master!L40)),0)</f>
        <v>0</v>
      </c>
      <c r="J39" s="8">
        <f>Master!S40</f>
        <v>0</v>
      </c>
      <c r="K39" s="8">
        <f ca="1">D39*Validation!$M$7/1800/IF(Validation!$N$7="",(IF(OR(NOT(ISNUMBER(J39)),J39=0),1,J39%)),Validation!$N$7)</f>
        <v>16.732026143790851</v>
      </c>
      <c r="L39" s="8">
        <f>Master!Z40</f>
        <v>0</v>
      </c>
      <c r="M39" s="8" t="str">
        <f t="shared" si="0"/>
        <v>-</v>
      </c>
      <c r="N39" s="19" t="str">
        <f t="shared" si="3"/>
        <v/>
      </c>
      <c r="O39" s="23">
        <f t="shared" si="4"/>
        <v>0</v>
      </c>
      <c r="P39" s="39" t="str">
        <f>T3</f>
        <v>N</v>
      </c>
      <c r="Q39" s="39">
        <f t="shared" si="5"/>
        <v>0</v>
      </c>
    </row>
    <row r="40" spans="1:17" ht="22.5" thickTop="1" thickBot="1" x14ac:dyDescent="0.4">
      <c r="A40" s="40" t="str">
        <f>R3</f>
        <v>Aspiring</v>
      </c>
      <c r="B40" s="40">
        <f ca="1">Master!$AX$1</f>
        <v>45965</v>
      </c>
      <c r="C40" s="6">
        <v>0.79166666666666696</v>
      </c>
      <c r="D40" s="7">
        <f ca="1">Master!AN41</f>
        <v>68</v>
      </c>
      <c r="E40" s="8">
        <f>Master!L41</f>
        <v>0</v>
      </c>
      <c r="F40" s="9" t="str">
        <f t="shared" si="1"/>
        <v/>
      </c>
      <c r="G40" s="9">
        <f>Master!E41</f>
        <v>0</v>
      </c>
      <c r="H40" s="19">
        <f t="shared" si="2"/>
        <v>0</v>
      </c>
      <c r="I40" s="8">
        <f>IFERROR(((Master!AG41*3600*24)*((Master!S41/100)/Master!L41)),0)</f>
        <v>0</v>
      </c>
      <c r="J40" s="8">
        <f>Master!S41</f>
        <v>0</v>
      </c>
      <c r="K40" s="8">
        <f ca="1">D40*Validation!$M$7/1800/IF(Validation!$N$7="",(IF(OR(NOT(ISNUMBER(J40)),J40=0),1,J40%)),Validation!$N$7)</f>
        <v>17.777777777777779</v>
      </c>
      <c r="L40" s="8">
        <f>Master!Z41</f>
        <v>0</v>
      </c>
      <c r="M40" s="8" t="str">
        <f t="shared" si="0"/>
        <v>-</v>
      </c>
      <c r="N40" s="19" t="str">
        <f t="shared" si="3"/>
        <v/>
      </c>
      <c r="O40" s="23">
        <f t="shared" si="4"/>
        <v>0</v>
      </c>
      <c r="P40" s="39" t="str">
        <f>T3</f>
        <v>N</v>
      </c>
      <c r="Q40" s="39">
        <f t="shared" si="5"/>
        <v>0</v>
      </c>
    </row>
    <row r="41" spans="1:17" ht="22.5" thickTop="1" thickBot="1" x14ac:dyDescent="0.4">
      <c r="A41" s="40" t="str">
        <f>R3</f>
        <v>Aspiring</v>
      </c>
      <c r="B41" s="40">
        <f ca="1">Master!$AX$1</f>
        <v>45965</v>
      </c>
      <c r="C41" s="6">
        <v>0.8125</v>
      </c>
      <c r="D41" s="7">
        <f ca="1">Master!AN42</f>
        <v>69</v>
      </c>
      <c r="E41" s="8">
        <f>Master!L42</f>
        <v>0</v>
      </c>
      <c r="F41" s="9" t="str">
        <f t="shared" si="1"/>
        <v/>
      </c>
      <c r="G41" s="9">
        <f>Master!E42</f>
        <v>0</v>
      </c>
      <c r="H41" s="19">
        <f t="shared" si="2"/>
        <v>0</v>
      </c>
      <c r="I41" s="8">
        <f>IFERROR(((Master!AG42*3600*24)*((Master!S42/100)/Master!L42)),0)</f>
        <v>0</v>
      </c>
      <c r="J41" s="8">
        <f>Master!S42</f>
        <v>0</v>
      </c>
      <c r="K41" s="8">
        <f ca="1">D41*Validation!$M$7/1800/IF(Validation!$N$7="",(IF(OR(NOT(ISNUMBER(J41)),J41=0),1,J41%)),Validation!$N$7)</f>
        <v>18.03921568627451</v>
      </c>
      <c r="L41" s="8">
        <f>Master!Z42</f>
        <v>0</v>
      </c>
      <c r="M41" s="8" t="str">
        <f t="shared" si="0"/>
        <v>-</v>
      </c>
      <c r="N41" s="19" t="str">
        <f t="shared" si="3"/>
        <v/>
      </c>
      <c r="O41" s="23">
        <f t="shared" si="4"/>
        <v>0</v>
      </c>
      <c r="P41" s="39" t="str">
        <f>T3</f>
        <v>N</v>
      </c>
      <c r="Q41" s="39">
        <f t="shared" si="5"/>
        <v>0</v>
      </c>
    </row>
    <row r="42" spans="1:17" ht="22.5" thickTop="1" thickBot="1" x14ac:dyDescent="0.4">
      <c r="A42" s="40" t="str">
        <f>R3</f>
        <v>Aspiring</v>
      </c>
      <c r="B42" s="40">
        <f ca="1">Master!$AX$1</f>
        <v>45965</v>
      </c>
      <c r="C42" s="6">
        <v>0.83333333333333304</v>
      </c>
      <c r="D42" s="7">
        <f ca="1">Master!AN43</f>
        <v>79</v>
      </c>
      <c r="E42" s="8">
        <f>Master!L43</f>
        <v>0</v>
      </c>
      <c r="F42" s="9" t="str">
        <f t="shared" si="1"/>
        <v/>
      </c>
      <c r="G42" s="9">
        <f>Master!E43</f>
        <v>0</v>
      </c>
      <c r="H42" s="19">
        <f t="shared" si="2"/>
        <v>0</v>
      </c>
      <c r="I42" s="8">
        <f>IFERROR(((Master!AG43*3600*24)*((Master!S43/100)/Master!L43)),0)</f>
        <v>0</v>
      </c>
      <c r="J42" s="8">
        <f>Master!S43</f>
        <v>0</v>
      </c>
      <c r="K42" s="8">
        <f ca="1">D42*Validation!$M$7/1800/IF(Validation!$N$7="",(IF(OR(NOT(ISNUMBER(J42)),J42=0),1,J42%)),Validation!$N$7)</f>
        <v>20.653594771241831</v>
      </c>
      <c r="L42" s="8">
        <f>Master!Z43</f>
        <v>0</v>
      </c>
      <c r="M42" s="8" t="str">
        <f t="shared" si="0"/>
        <v>-</v>
      </c>
      <c r="N42" s="19" t="str">
        <f t="shared" si="3"/>
        <v/>
      </c>
      <c r="O42" s="23">
        <f t="shared" si="4"/>
        <v>0</v>
      </c>
      <c r="P42" s="39" t="str">
        <f>T3</f>
        <v>N</v>
      </c>
      <c r="Q42" s="39">
        <f t="shared" si="5"/>
        <v>0</v>
      </c>
    </row>
    <row r="43" spans="1:17" ht="22.5" thickTop="1" thickBot="1" x14ac:dyDescent="0.4">
      <c r="A43" s="40" t="str">
        <f>R3</f>
        <v>Aspiring</v>
      </c>
      <c r="B43" s="40">
        <f ca="1">Master!$AX$1</f>
        <v>45965</v>
      </c>
      <c r="C43" s="6">
        <v>0.85416666666666696</v>
      </c>
      <c r="D43" s="7">
        <f ca="1">Master!AN44</f>
        <v>67</v>
      </c>
      <c r="E43" s="8">
        <f>Master!L44</f>
        <v>0</v>
      </c>
      <c r="F43" s="9" t="str">
        <f t="shared" si="1"/>
        <v/>
      </c>
      <c r="G43" s="9">
        <f>Master!E44</f>
        <v>0</v>
      </c>
      <c r="H43" s="19">
        <f t="shared" si="2"/>
        <v>0</v>
      </c>
      <c r="I43" s="8">
        <f>IFERROR(((Master!AG44*3600*24)*((Master!S44/100)/Master!L44)),0)</f>
        <v>0</v>
      </c>
      <c r="J43" s="8">
        <f>Master!S44</f>
        <v>0</v>
      </c>
      <c r="K43" s="8">
        <f ca="1">D43*Validation!$M$7/1800/IF(Validation!$N$7="",(IF(OR(NOT(ISNUMBER(J43)),J43=0),1,J43%)),Validation!$N$7)</f>
        <v>17.516339869281047</v>
      </c>
      <c r="L43" s="8">
        <f>Master!Z44</f>
        <v>0</v>
      </c>
      <c r="M43" s="8" t="str">
        <f t="shared" si="0"/>
        <v>-</v>
      </c>
      <c r="N43" s="19" t="str">
        <f t="shared" si="3"/>
        <v/>
      </c>
      <c r="O43" s="23">
        <f t="shared" si="4"/>
        <v>0</v>
      </c>
      <c r="P43" s="39" t="str">
        <f>T3</f>
        <v>N</v>
      </c>
      <c r="Q43" s="39">
        <f t="shared" si="5"/>
        <v>0</v>
      </c>
    </row>
    <row r="44" spans="1:17" ht="22.5" thickTop="1" thickBot="1" x14ac:dyDescent="0.4">
      <c r="A44" s="40" t="str">
        <f>R3</f>
        <v>Aspiring</v>
      </c>
      <c r="B44" s="40">
        <f ca="1">Master!$AX$1</f>
        <v>45965</v>
      </c>
      <c r="C44" s="6">
        <v>0.875</v>
      </c>
      <c r="D44" s="7">
        <f ca="1">Master!AN45</f>
        <v>63</v>
      </c>
      <c r="E44" s="8">
        <f>Master!L45</f>
        <v>0</v>
      </c>
      <c r="F44" s="9" t="str">
        <f t="shared" si="1"/>
        <v/>
      </c>
      <c r="G44" s="9">
        <f>Master!E45</f>
        <v>0</v>
      </c>
      <c r="H44" s="19">
        <f t="shared" si="2"/>
        <v>0</v>
      </c>
      <c r="I44" s="8">
        <f>IFERROR(((Master!AG45*3600*24)*((Master!S45/100)/Master!L45)),0)</f>
        <v>0</v>
      </c>
      <c r="J44" s="8">
        <f>Master!S45</f>
        <v>0</v>
      </c>
      <c r="K44" s="8">
        <f ca="1">D44*Validation!$M$7/1800/IF(Validation!$N$7="",(IF(OR(NOT(ISNUMBER(J44)),J44=0),1,J44%)),Validation!$N$7)</f>
        <v>16.47058823529412</v>
      </c>
      <c r="L44" s="8">
        <f>Master!Z45</f>
        <v>0</v>
      </c>
      <c r="M44" s="8" t="str">
        <f t="shared" si="0"/>
        <v>-</v>
      </c>
      <c r="N44" s="19" t="str">
        <f t="shared" si="3"/>
        <v/>
      </c>
      <c r="O44" s="23">
        <f t="shared" si="4"/>
        <v>0</v>
      </c>
      <c r="P44" s="39" t="str">
        <f>T3</f>
        <v>N</v>
      </c>
      <c r="Q44" s="39">
        <f t="shared" si="5"/>
        <v>0</v>
      </c>
    </row>
    <row r="45" spans="1:17" ht="22.5" thickTop="1" thickBot="1" x14ac:dyDescent="0.4">
      <c r="A45" s="40" t="str">
        <f>R3</f>
        <v>Aspiring</v>
      </c>
      <c r="B45" s="40">
        <f ca="1">Master!$AX$1</f>
        <v>45965</v>
      </c>
      <c r="C45" s="6">
        <v>0.89583333333333304</v>
      </c>
      <c r="D45" s="7">
        <f ca="1">Master!AN46</f>
        <v>66</v>
      </c>
      <c r="E45" s="8">
        <f>Master!L46</f>
        <v>0</v>
      </c>
      <c r="F45" s="9" t="str">
        <f t="shared" si="1"/>
        <v/>
      </c>
      <c r="G45" s="9">
        <f>Master!E46</f>
        <v>0</v>
      </c>
      <c r="H45" s="19">
        <f t="shared" si="2"/>
        <v>0</v>
      </c>
      <c r="I45" s="8">
        <f>IFERROR(((Master!AG46*3600*24)*((Master!S46/100)/Master!L46)),0)</f>
        <v>0</v>
      </c>
      <c r="J45" s="8">
        <f>Master!S46</f>
        <v>0</v>
      </c>
      <c r="K45" s="8">
        <f ca="1">D45*Validation!$M$7/1800/IF(Validation!$N$7="",(IF(OR(NOT(ISNUMBER(J45)),J45=0),1,J45%)),Validation!$N$7)</f>
        <v>17.254901960784313</v>
      </c>
      <c r="L45" s="8">
        <f>Master!Z46</f>
        <v>0</v>
      </c>
      <c r="M45" s="8" t="str">
        <f t="shared" si="0"/>
        <v>-</v>
      </c>
      <c r="N45" s="19" t="str">
        <f t="shared" si="3"/>
        <v/>
      </c>
      <c r="O45" s="23">
        <f t="shared" si="4"/>
        <v>0</v>
      </c>
      <c r="P45" s="39" t="str">
        <f>T3</f>
        <v>N</v>
      </c>
      <c r="Q45" s="39">
        <f t="shared" si="5"/>
        <v>0</v>
      </c>
    </row>
    <row r="46" spans="1:17" ht="22.5" thickTop="1" thickBot="1" x14ac:dyDescent="0.4">
      <c r="A46" s="40" t="str">
        <f>R3</f>
        <v>Aspiring</v>
      </c>
      <c r="B46" s="40">
        <f ca="1">Master!$AX$1</f>
        <v>45965</v>
      </c>
      <c r="C46" s="6">
        <v>0.91666666666666696</v>
      </c>
      <c r="D46" s="7">
        <f ca="1">Master!AN47</f>
        <v>63</v>
      </c>
      <c r="E46" s="8">
        <f>Master!L47</f>
        <v>0</v>
      </c>
      <c r="F46" s="9" t="str">
        <f t="shared" si="1"/>
        <v/>
      </c>
      <c r="G46" s="9">
        <f>Master!E47</f>
        <v>0</v>
      </c>
      <c r="H46" s="19">
        <f t="shared" si="2"/>
        <v>0</v>
      </c>
      <c r="I46" s="8">
        <f>IFERROR(((Master!AG47*3600*24)*((Master!S47/100)/Master!L47)),0)</f>
        <v>0</v>
      </c>
      <c r="J46" s="8">
        <f>Master!S47</f>
        <v>0</v>
      </c>
      <c r="K46" s="8">
        <f ca="1">D46*Validation!$M$7/1800/IF(Validation!$N$7="",(IF(OR(NOT(ISNUMBER(J46)),J46=0),1,J46%)),Validation!$N$7)</f>
        <v>16.47058823529412</v>
      </c>
      <c r="L46" s="8">
        <f>Master!Z47</f>
        <v>0</v>
      </c>
      <c r="M46" s="8" t="str">
        <f t="shared" si="0"/>
        <v>-</v>
      </c>
      <c r="N46" s="19" t="str">
        <f t="shared" si="3"/>
        <v/>
      </c>
      <c r="O46" s="23">
        <f t="shared" si="4"/>
        <v>0</v>
      </c>
      <c r="P46" s="39" t="str">
        <f>T3</f>
        <v>N</v>
      </c>
      <c r="Q46" s="39">
        <f t="shared" si="5"/>
        <v>0</v>
      </c>
    </row>
    <row r="47" spans="1:17" ht="22.5" thickTop="1" thickBot="1" x14ac:dyDescent="0.4">
      <c r="A47" s="40" t="str">
        <f>R3</f>
        <v>Aspiring</v>
      </c>
      <c r="B47" s="40">
        <f ca="1">Master!$AX$1</f>
        <v>45965</v>
      </c>
      <c r="C47" s="6">
        <v>0.9375</v>
      </c>
      <c r="D47" s="7">
        <f ca="1">Master!AN48</f>
        <v>54</v>
      </c>
      <c r="E47" s="8">
        <f>Master!L48</f>
        <v>0</v>
      </c>
      <c r="F47" s="9" t="str">
        <f t="shared" si="1"/>
        <v/>
      </c>
      <c r="G47" s="9">
        <f>Master!E48</f>
        <v>0</v>
      </c>
      <c r="H47" s="19">
        <f t="shared" si="2"/>
        <v>0</v>
      </c>
      <c r="I47" s="8">
        <f>IFERROR(((Master!AG48*3600*24)*((Master!S48/100)/Master!L48)),0)</f>
        <v>0</v>
      </c>
      <c r="J47" s="8">
        <f>Master!S48</f>
        <v>0</v>
      </c>
      <c r="K47" s="8">
        <f ca="1">D47*Validation!$M$7/1800/IF(Validation!$N$7="",(IF(OR(NOT(ISNUMBER(J47)),J47=0),1,J47%)),Validation!$N$7)</f>
        <v>14.117647058823529</v>
      </c>
      <c r="L47" s="8">
        <f>Master!Z48</f>
        <v>0</v>
      </c>
      <c r="M47" s="8" t="str">
        <f t="shared" si="0"/>
        <v>-</v>
      </c>
      <c r="N47" s="19" t="str">
        <f t="shared" si="3"/>
        <v/>
      </c>
      <c r="O47" s="23">
        <f t="shared" si="4"/>
        <v>0</v>
      </c>
      <c r="P47" s="39" t="str">
        <f>T3</f>
        <v>N</v>
      </c>
      <c r="Q47" s="39">
        <f t="shared" si="5"/>
        <v>0</v>
      </c>
    </row>
    <row r="48" spans="1:17" ht="22.5" thickTop="1" thickBot="1" x14ac:dyDescent="0.4">
      <c r="A48" s="40" t="str">
        <f>R3</f>
        <v>Aspiring</v>
      </c>
      <c r="B48" s="40">
        <f ca="1">Master!$AX$1</f>
        <v>45965</v>
      </c>
      <c r="C48" s="6">
        <v>0.95833333333333304</v>
      </c>
      <c r="D48" s="7">
        <f ca="1">Master!AN49</f>
        <v>49</v>
      </c>
      <c r="E48" s="8">
        <f>Master!L49</f>
        <v>0</v>
      </c>
      <c r="F48" s="9" t="str">
        <f t="shared" si="1"/>
        <v/>
      </c>
      <c r="G48" s="9">
        <f>Master!E49</f>
        <v>0</v>
      </c>
      <c r="H48" s="19">
        <f t="shared" si="2"/>
        <v>0</v>
      </c>
      <c r="I48" s="8">
        <f>IFERROR(((Master!AG49*3600*24)*((Master!S49/100)/Master!L49)),0)</f>
        <v>0</v>
      </c>
      <c r="J48" s="8">
        <f>Master!S49</f>
        <v>0</v>
      </c>
      <c r="K48" s="8">
        <f ca="1">D48*Validation!$M$7/1800/IF(Validation!$N$7="",(IF(OR(NOT(ISNUMBER(J48)),J48=0),1,J48%)),Validation!$N$7)</f>
        <v>12.81045751633987</v>
      </c>
      <c r="L48" s="8">
        <f>Master!Z49</f>
        <v>0</v>
      </c>
      <c r="M48" s="8" t="str">
        <f t="shared" si="0"/>
        <v>-</v>
      </c>
      <c r="N48" s="19" t="str">
        <f t="shared" si="3"/>
        <v/>
      </c>
      <c r="O48" s="23">
        <f t="shared" si="4"/>
        <v>0</v>
      </c>
      <c r="P48" s="39" t="str">
        <f>T3</f>
        <v>N</v>
      </c>
      <c r="Q48" s="39">
        <f t="shared" si="5"/>
        <v>0</v>
      </c>
    </row>
    <row r="49" spans="1:17" ht="22.5" thickTop="1" thickBot="1" x14ac:dyDescent="0.4">
      <c r="A49" s="40" t="str">
        <f>R3</f>
        <v>Aspiring</v>
      </c>
      <c r="B49" s="40">
        <f ca="1">Master!$AX$1</f>
        <v>45965</v>
      </c>
      <c r="C49" s="6">
        <v>0.97916666666666696</v>
      </c>
      <c r="D49" s="7">
        <f ca="1">Master!AN50</f>
        <v>28</v>
      </c>
      <c r="E49" s="8">
        <f>Master!L50</f>
        <v>0</v>
      </c>
      <c r="F49" s="9" t="str">
        <f t="shared" si="1"/>
        <v/>
      </c>
      <c r="G49" s="9">
        <f>Master!E50</f>
        <v>0</v>
      </c>
      <c r="H49" s="19">
        <f t="shared" si="2"/>
        <v>0</v>
      </c>
      <c r="I49" s="8">
        <f>IFERROR(((Master!AG50*3600*24)*((Master!S50/100)/Master!L50)),0)</f>
        <v>0</v>
      </c>
      <c r="J49" s="8">
        <f>Master!S50</f>
        <v>0</v>
      </c>
      <c r="K49" s="8">
        <f ca="1">D49*Validation!$M$7/1800/IF(Validation!$N$7="",(IF(OR(NOT(ISNUMBER(J49)),J49=0),1,J49%)),Validation!$N$7)</f>
        <v>7.3202614379084974</v>
      </c>
      <c r="L49" s="8">
        <f>Master!Z50</f>
        <v>0</v>
      </c>
      <c r="M49" s="8" t="str">
        <f t="shared" si="0"/>
        <v>-</v>
      </c>
      <c r="N49" s="19" t="str">
        <f t="shared" si="3"/>
        <v/>
      </c>
      <c r="O49" s="23">
        <f t="shared" si="4"/>
        <v>0</v>
      </c>
      <c r="P49" s="39" t="str">
        <f>T3</f>
        <v>N</v>
      </c>
      <c r="Q49" s="39">
        <f t="shared" si="5"/>
        <v>0</v>
      </c>
    </row>
    <row r="50" spans="1:17" ht="22.5" thickTop="1" thickBot="1" x14ac:dyDescent="0.4">
      <c r="A50" s="40" t="str">
        <f>R3</f>
        <v>Aspiring</v>
      </c>
      <c r="B50" s="40">
        <f ca="1">Master!$AX$1</f>
        <v>45965</v>
      </c>
      <c r="C50" s="6" t="s">
        <v>15</v>
      </c>
      <c r="D50" s="7">
        <f ca="1">SUMIF(E2:E49,"&gt;0",D2:D49)</f>
        <v>1038</v>
      </c>
      <c r="E50" s="8">
        <f>SUM(E2:E49)</f>
        <v>978</v>
      </c>
      <c r="F50" s="9">
        <f ca="1">IF(T3="n",E50/D50,O50/D50)</f>
        <v>0.94219653179190754</v>
      </c>
      <c r="G50" s="8"/>
      <c r="H50" s="19">
        <f>SUM(H2:H49)</f>
        <v>552449.4</v>
      </c>
      <c r="I50" s="8">
        <f>H50/E50</f>
        <v>564.87668711656443</v>
      </c>
      <c r="J50" s="8"/>
      <c r="K50" s="8"/>
      <c r="L50" s="8"/>
      <c r="M50" s="8"/>
      <c r="N50" s="19">
        <f ca="1">COUNTIF(N2:N49,"LOST")</f>
        <v>1</v>
      </c>
      <c r="O50" s="23">
        <f ca="1">SUM(O2:O49)</f>
        <v>996.80000000000007</v>
      </c>
      <c r="P50" s="39" t="str">
        <f>T3</f>
        <v>N</v>
      </c>
      <c r="Q50" s="39">
        <f t="shared" si="5"/>
        <v>0</v>
      </c>
    </row>
    <row r="51" spans="1:17" ht="21.75" thickTop="1" x14ac:dyDescent="0.35"/>
  </sheetData>
  <mergeCells count="4">
    <mergeCell ref="R2:S2"/>
    <mergeCell ref="R3:S4"/>
    <mergeCell ref="T2:U2"/>
    <mergeCell ref="T3:U4"/>
  </mergeCells>
  <conditionalFormatting sqref="A1:B1">
    <cfRule type="cellIs" dxfId="164" priority="11" operator="equal">
      <formula>"Lost"</formula>
    </cfRule>
  </conditionalFormatting>
  <conditionalFormatting sqref="A2:F50">
    <cfRule type="cellIs" dxfId="163" priority="9" operator="equal">
      <formula>"Lost"</formula>
    </cfRule>
  </conditionalFormatting>
  <conditionalFormatting sqref="C50">
    <cfRule type="cellIs" dxfId="162" priority="79" operator="equal">
      <formula>"Lost"</formula>
    </cfRule>
  </conditionalFormatting>
  <conditionalFormatting sqref="C1:G1">
    <cfRule type="cellIs" dxfId="161" priority="89" operator="equal">
      <formula>"Lost"</formula>
    </cfRule>
  </conditionalFormatting>
  <conditionalFormatting sqref="F2:F49">
    <cfRule type="cellIs" dxfId="160" priority="21" operator="greaterThan">
      <formula>0.9801</formula>
    </cfRule>
  </conditionalFormatting>
  <conditionalFormatting sqref="F2:F50">
    <cfRule type="cellIs" dxfId="159" priority="19" operator="greaterThan">
      <formula>0.981</formula>
    </cfRule>
    <cfRule type="cellIs" dxfId="158" priority="20" operator="lessThan">
      <formula>0.98</formula>
    </cfRule>
  </conditionalFormatting>
  <conditionalFormatting sqref="G1">
    <cfRule type="cellIs" dxfId="157" priority="87" operator="lessThan">
      <formula>0.75</formula>
    </cfRule>
    <cfRule type="colorScale" priority="8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9">
    <cfRule type="cellIs" dxfId="156" priority="7" operator="greaterThan">
      <formula>0.8</formula>
    </cfRule>
    <cfRule type="cellIs" dxfId="155" priority="8" operator="lessThan">
      <formula>0.8</formula>
    </cfRule>
  </conditionalFormatting>
  <conditionalFormatting sqref="G50">
    <cfRule type="cellIs" dxfId="154" priority="61" operator="equal">
      <formula>"Lost"</formula>
    </cfRule>
  </conditionalFormatting>
  <conditionalFormatting sqref="H1:H50">
    <cfRule type="cellIs" dxfId="153" priority="36" operator="equal">
      <formula>"Lost"</formula>
    </cfRule>
  </conditionalFormatting>
  <conditionalFormatting sqref="H2:H50">
    <cfRule type="cellIs" dxfId="152" priority="35" operator="equal">
      <formula>"Achived"</formula>
    </cfRule>
  </conditionalFormatting>
  <conditionalFormatting sqref="I1:M50">
    <cfRule type="cellIs" dxfId="151" priority="52" operator="equal">
      <formula>"Lost"</formula>
    </cfRule>
  </conditionalFormatting>
  <conditionalFormatting sqref="I1:O1">
    <cfRule type="cellIs" dxfId="150" priority="18" operator="equal">
      <formula>"Lost"</formula>
    </cfRule>
  </conditionalFormatting>
  <conditionalFormatting sqref="M2:M49">
    <cfRule type="cellIs" dxfId="149" priority="49" operator="lessThan">
      <formula>0</formula>
    </cfRule>
    <cfRule type="cellIs" dxfId="148" priority="50" operator="equal">
      <formula>0</formula>
    </cfRule>
    <cfRule type="cellIs" dxfId="147" priority="51" operator="greaterThan">
      <formula>0</formula>
    </cfRule>
  </conditionalFormatting>
  <conditionalFormatting sqref="N2:N50">
    <cfRule type="cellIs" dxfId="146" priority="42" operator="equal">
      <formula>"Wait"</formula>
    </cfRule>
  </conditionalFormatting>
  <conditionalFormatting sqref="N2:O50">
    <cfRule type="cellIs" dxfId="145" priority="25" operator="equal">
      <formula>"Lost"</formula>
    </cfRule>
  </conditionalFormatting>
  <conditionalFormatting sqref="N2:Q50">
    <cfRule type="cellIs" dxfId="144" priority="2" operator="equal">
      <formula>"Achived"</formula>
    </cfRule>
  </conditionalFormatting>
  <conditionalFormatting sqref="P1:Q50">
    <cfRule type="cellIs" dxfId="143" priority="1" operator="equal">
      <formula>"Lost"</formula>
    </cfRule>
  </conditionalFormatting>
  <conditionalFormatting sqref="R2:R3">
    <cfRule type="cellIs" dxfId="142" priority="77" operator="equal">
      <formula>"-"</formula>
    </cfRule>
  </conditionalFormatting>
  <conditionalFormatting sqref="T2:T3">
    <cfRule type="cellIs" dxfId="141" priority="66" operator="equal">
      <formula>"-"</formula>
    </cfRule>
  </conditionalFormatting>
  <pageMargins left="0.7" right="0.7" top="0.75" bottom="0.75" header="0.3" footer="0.3"/>
  <pageSetup orientation="portrait" r:id="rId1"/>
  <headerFooter>
    <oddFooter>&amp;L_x000D_&amp;1#&amp;"Calibri"&amp;7&amp;K000000 C2 General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B51"/>
  <sheetViews>
    <sheetView topLeftCell="C1" zoomScale="55" zoomScaleNormal="55" workbookViewId="0">
      <selection activeCell="AC30" sqref="AC30"/>
    </sheetView>
  </sheetViews>
  <sheetFormatPr defaultColWidth="9.140625" defaultRowHeight="21" x14ac:dyDescent="0.35"/>
  <cols>
    <col min="1" max="1" width="5.7109375" style="3" hidden="1" customWidth="1"/>
    <col min="2" max="2" width="14.7109375" style="3" hidden="1" customWidth="1"/>
    <col min="3" max="3" width="11.42578125" style="3" bestFit="1" customWidth="1"/>
    <col min="4" max="4" width="8.85546875" style="3" bestFit="1" customWidth="1"/>
    <col min="5" max="5" width="13.140625" style="3" bestFit="1" customWidth="1"/>
    <col min="6" max="6" width="12.28515625" style="3" bestFit="1" customWidth="1"/>
    <col min="7" max="7" width="11.28515625" style="3" bestFit="1" customWidth="1"/>
    <col min="8" max="8" width="18.85546875" style="3" bestFit="1" customWidth="1"/>
    <col min="9" max="9" width="6.7109375" style="3" bestFit="1" customWidth="1"/>
    <col min="10" max="10" width="7" style="3" bestFit="1" customWidth="1"/>
    <col min="11" max="11" width="13.28515625" style="3" bestFit="1" customWidth="1"/>
    <col min="12" max="12" width="15.28515625" style="3" bestFit="1" customWidth="1"/>
    <col min="13" max="13" width="5.7109375" style="3" bestFit="1" customWidth="1"/>
    <col min="14" max="14" width="11.7109375" style="3" bestFit="1" customWidth="1"/>
    <col min="15" max="15" width="13.28515625" style="3" bestFit="1" customWidth="1"/>
    <col min="16" max="16" width="11.7109375" style="3" hidden="1" customWidth="1"/>
    <col min="17" max="17" width="13.28515625" style="3" hidden="1" customWidth="1"/>
    <col min="18" max="22" width="9.140625" style="3"/>
    <col min="23" max="23" width="9.140625" style="3" customWidth="1"/>
    <col min="24" max="24" width="19.140625" style="3" customWidth="1"/>
    <col min="25" max="25" width="9.140625" style="3"/>
    <col min="26" max="26" width="8.85546875" customWidth="1"/>
    <col min="27" max="27" width="9.140625" style="3"/>
    <col min="28" max="28" width="2.28515625" style="3" bestFit="1" customWidth="1"/>
    <col min="29" max="16384" width="9.140625" style="3"/>
  </cols>
  <sheetData>
    <row r="1" spans="1:21" ht="22.5" thickTop="1" thickBot="1" x14ac:dyDescent="0.4">
      <c r="A1" s="4" t="s">
        <v>16</v>
      </c>
      <c r="B1" s="4" t="s">
        <v>39</v>
      </c>
      <c r="C1" s="4" t="s">
        <v>0</v>
      </c>
      <c r="D1" s="5">
        <f ca="1">SUM(D2:D49)</f>
        <v>2567</v>
      </c>
      <c r="E1" s="5" t="s">
        <v>1</v>
      </c>
      <c r="F1" s="5" t="s">
        <v>2</v>
      </c>
      <c r="G1" s="5" t="s">
        <v>3</v>
      </c>
      <c r="H1" s="5" t="s">
        <v>30</v>
      </c>
      <c r="I1" s="5" t="s">
        <v>21</v>
      </c>
      <c r="J1" s="5" t="s">
        <v>19</v>
      </c>
      <c r="K1" s="5" t="s">
        <v>26</v>
      </c>
      <c r="L1" s="5" t="s">
        <v>4</v>
      </c>
      <c r="M1" s="5" t="s">
        <v>27</v>
      </c>
      <c r="N1" s="5" t="s">
        <v>5</v>
      </c>
      <c r="O1" s="5" t="s">
        <v>22</v>
      </c>
      <c r="P1" s="5" t="s">
        <v>24</v>
      </c>
      <c r="Q1" s="38" t="s">
        <v>20</v>
      </c>
    </row>
    <row r="2" spans="1:21" ht="22.5" thickTop="1" thickBot="1" x14ac:dyDescent="0.4">
      <c r="A2" s="40" t="str">
        <f>R3</f>
        <v>ICC</v>
      </c>
      <c r="B2" s="40">
        <f ca="1">Master!$AX$1</f>
        <v>45965</v>
      </c>
      <c r="C2" s="6">
        <v>0</v>
      </c>
      <c r="D2" s="7">
        <f ca="1">Master!AO3</f>
        <v>49</v>
      </c>
      <c r="E2" s="8">
        <f>Master!M3</f>
        <v>59</v>
      </c>
      <c r="F2" s="31">
        <f ca="1">IFERROR(IF(OR(E2="-",E2=0),"",E2/D2),0)</f>
        <v>1.2040816326530612</v>
      </c>
      <c r="G2" s="9">
        <f>Master!F3</f>
        <v>0.15</v>
      </c>
      <c r="H2" s="23">
        <f>IFERROR(E2*I2,0)</f>
        <v>18144</v>
      </c>
      <c r="I2" s="8">
        <f>IFERROR(((Master!AH3*3600*24)*((Master!T3/100)/Master!M3)),0)</f>
        <v>307.52542372881356</v>
      </c>
      <c r="J2" s="8">
        <f>Master!T3</f>
        <v>72</v>
      </c>
      <c r="K2" s="8">
        <f ca="1">D2*Validation!$M$8/1800/IF(Validation!$N$8="",(IF(OR(NOT(ISNUMBER(J2)),J2=0),1,J2%)),Validation!$N$8)</f>
        <v>14.411764705882353</v>
      </c>
      <c r="L2" s="8">
        <f>Master!AA3</f>
        <v>14</v>
      </c>
      <c r="M2" s="8">
        <f t="shared" ref="M2:M49" ca="1" si="0">IF(AND(ISNUMBER(L2),L2&gt;0),L2-K2,"-")</f>
        <v>-0.41176470588235325</v>
      </c>
      <c r="N2" s="19" t="str">
        <f t="shared" ref="N2:N49" ca="1" si="1">IF(OR(E2=0,E2="-"),"",IF(F2&gt;=98%,"Achived",IF(G2&gt;=80%,"Wait","Lost")))</f>
        <v>Achived</v>
      </c>
      <c r="O2" s="23">
        <f ca="1">IF(E2=0,0,IF(N2="Wait",D2*0.9,IF($T$3="Y",E2,IF(AND(N2="achived",F2&lt;=1.1),E2,IF(F2&gt;=1.1,D2*1.1,IF(N2="Lost",E2,"ER"))))))</f>
        <v>53.900000000000006</v>
      </c>
      <c r="P2" s="39" t="str">
        <f>T3</f>
        <v>N</v>
      </c>
      <c r="Q2" s="39">
        <f>IFERROR((I2*E2)/((J2/100)*86400),0)</f>
        <v>0.29166666666666669</v>
      </c>
      <c r="R2" s="70" t="s">
        <v>16</v>
      </c>
      <c r="S2" s="71"/>
      <c r="T2" s="60" t="s">
        <v>24</v>
      </c>
      <c r="U2" s="61"/>
    </row>
    <row r="3" spans="1:21" ht="22.5" customHeight="1" thickTop="1" thickBot="1" x14ac:dyDescent="0.4">
      <c r="A3" s="40" t="str">
        <f>R3</f>
        <v>ICC</v>
      </c>
      <c r="B3" s="40">
        <f ca="1">Master!$AX$1</f>
        <v>45965</v>
      </c>
      <c r="C3" s="6">
        <v>2.0833333333333332E-2</v>
      </c>
      <c r="D3" s="7">
        <f ca="1">Master!AO4</f>
        <v>49</v>
      </c>
      <c r="E3" s="8">
        <f>Master!M4</f>
        <v>54</v>
      </c>
      <c r="F3" s="9">
        <f t="shared" ref="F3:F49" ca="1" si="2">IFERROR(IF(OR(E3="-",E3=0),"",E3/D3),0)</f>
        <v>1.1020408163265305</v>
      </c>
      <c r="G3" s="9">
        <f>Master!F4</f>
        <v>0.34</v>
      </c>
      <c r="H3" s="23">
        <f t="shared" ref="H3:H49" si="3">IFERROR(E3*I3,0)</f>
        <v>28165.200000000001</v>
      </c>
      <c r="I3" s="8">
        <f>IFERROR(((Master!AH4*3600*24)*((Master!T4/100)/Master!M4)),0)</f>
        <v>521.57777777777778</v>
      </c>
      <c r="J3" s="8">
        <f>Master!T4</f>
        <v>98</v>
      </c>
      <c r="K3" s="8">
        <f ca="1">D3*Validation!$M$8/1800/IF(Validation!$N$8="",(IF(OR(NOT(ISNUMBER(J3)),J3=0),1,J3%)),Validation!$N$8)</f>
        <v>14.411764705882353</v>
      </c>
      <c r="L3" s="8">
        <f>Master!AA4</f>
        <v>13</v>
      </c>
      <c r="M3" s="8">
        <f t="shared" ca="1" si="0"/>
        <v>-1.4117647058823533</v>
      </c>
      <c r="N3" s="19" t="str">
        <f t="shared" ca="1" si="1"/>
        <v>Achived</v>
      </c>
      <c r="O3" s="23">
        <f t="shared" ref="O3:O49" ca="1" si="4">IF(E3=0,0,IF(N3="Wait",D3*0.9,IF($T$3="Y",E3,IF(AND(N3="achived",F3&lt;=1.1),E3,IF(F3&gt;=1.1,D3*1.1,IF(N3="Lost",E3,"ER"))))))</f>
        <v>53.900000000000006</v>
      </c>
      <c r="P3" s="39" t="str">
        <f>T3</f>
        <v>N</v>
      </c>
      <c r="Q3" s="39">
        <f t="shared" ref="Q3:Q50" si="5">IFERROR((I3*E3)/((J3/100)*86400),0)</f>
        <v>0.33263888888888887</v>
      </c>
      <c r="R3" s="62" t="s">
        <v>9</v>
      </c>
      <c r="S3" s="63"/>
      <c r="T3" s="62" t="str">
        <f>Validation!L8</f>
        <v>N</v>
      </c>
      <c r="U3" s="63"/>
    </row>
    <row r="4" spans="1:21" ht="22.5" customHeight="1" thickTop="1" thickBot="1" x14ac:dyDescent="0.4">
      <c r="A4" s="40" t="str">
        <f>R3</f>
        <v>ICC</v>
      </c>
      <c r="B4" s="40">
        <f ca="1">Master!$AX$1</f>
        <v>45965</v>
      </c>
      <c r="C4" s="6">
        <v>4.1666666666666664E-2</v>
      </c>
      <c r="D4" s="7">
        <f ca="1">Master!AO5</f>
        <v>40</v>
      </c>
      <c r="E4" s="8">
        <f>Master!M5</f>
        <v>47</v>
      </c>
      <c r="F4" s="9">
        <f t="shared" ca="1" si="2"/>
        <v>1.175</v>
      </c>
      <c r="G4" s="9">
        <f>Master!F5</f>
        <v>0.67</v>
      </c>
      <c r="H4" s="23">
        <f t="shared" si="3"/>
        <v>17384.999999999996</v>
      </c>
      <c r="I4" s="8">
        <f>IFERROR(((Master!AH5*3600*24)*((Master!T5/100)/Master!M5)),0)</f>
        <v>369.89361702127655</v>
      </c>
      <c r="J4" s="8">
        <f>Master!T5</f>
        <v>95</v>
      </c>
      <c r="K4" s="8">
        <f ca="1">D4*Validation!$M$8/1800/IF(Validation!$N$8="",(IF(OR(NOT(ISNUMBER(J4)),J4=0),1,J4%)),Validation!$N$8)</f>
        <v>11.764705882352942</v>
      </c>
      <c r="L4" s="8">
        <f>Master!AA5</f>
        <v>10</v>
      </c>
      <c r="M4" s="8">
        <f t="shared" ca="1" si="0"/>
        <v>-1.764705882352942</v>
      </c>
      <c r="N4" s="19" t="str">
        <f t="shared" ca="1" si="1"/>
        <v>Achived</v>
      </c>
      <c r="O4" s="23">
        <f t="shared" ca="1" si="4"/>
        <v>44</v>
      </c>
      <c r="P4" s="39" t="str">
        <f>T3</f>
        <v>N</v>
      </c>
      <c r="Q4" s="39">
        <f t="shared" si="5"/>
        <v>0.21180555555555552</v>
      </c>
      <c r="R4" s="64"/>
      <c r="S4" s="65"/>
      <c r="T4" s="64"/>
      <c r="U4" s="65"/>
    </row>
    <row r="5" spans="1:21" ht="22.5" thickTop="1" thickBot="1" x14ac:dyDescent="0.4">
      <c r="A5" s="40" t="str">
        <f>R3</f>
        <v>ICC</v>
      </c>
      <c r="B5" s="40">
        <f ca="1">Master!$AX$1</f>
        <v>45965</v>
      </c>
      <c r="C5" s="6">
        <v>6.25E-2</v>
      </c>
      <c r="D5" s="7">
        <f ca="1">Master!AO6</f>
        <v>30</v>
      </c>
      <c r="E5" s="8">
        <f>Master!M6</f>
        <v>34</v>
      </c>
      <c r="F5" s="9">
        <f t="shared" ca="1" si="2"/>
        <v>1.1333333333333333</v>
      </c>
      <c r="G5" s="9">
        <f>Master!F6</f>
        <v>0.98</v>
      </c>
      <c r="H5" s="23">
        <f t="shared" si="3"/>
        <v>16178.4</v>
      </c>
      <c r="I5" s="8">
        <f>IFERROR(((Master!AH6*3600*24)*((Master!T6/100)/Master!M6)),0)</f>
        <v>475.83529411764704</v>
      </c>
      <c r="J5" s="8">
        <f>Master!T6</f>
        <v>84</v>
      </c>
      <c r="K5" s="8">
        <f ca="1">D5*Validation!$M$8/1800/IF(Validation!$N$8="",(IF(OR(NOT(ISNUMBER(J5)),J5=0),1,J5%)),Validation!$N$8)</f>
        <v>8.8235294117647065</v>
      </c>
      <c r="L5" s="8">
        <f>Master!AA6</f>
        <v>11</v>
      </c>
      <c r="M5" s="8">
        <f t="shared" ca="1" si="0"/>
        <v>2.1764705882352935</v>
      </c>
      <c r="N5" s="19" t="str">
        <f t="shared" ca="1" si="1"/>
        <v>Achived</v>
      </c>
      <c r="O5" s="23">
        <f t="shared" ca="1" si="4"/>
        <v>33</v>
      </c>
      <c r="P5" s="39" t="str">
        <f>T3</f>
        <v>N</v>
      </c>
      <c r="Q5" s="39">
        <f t="shared" si="5"/>
        <v>0.22291666666666665</v>
      </c>
    </row>
    <row r="6" spans="1:21" ht="22.5" thickTop="1" thickBot="1" x14ac:dyDescent="0.4">
      <c r="A6" s="40" t="str">
        <f>R3</f>
        <v>ICC</v>
      </c>
      <c r="B6" s="40">
        <f ca="1">Master!$AX$1</f>
        <v>45965</v>
      </c>
      <c r="C6" s="6">
        <v>8.3333333333333301E-2</v>
      </c>
      <c r="D6" s="7">
        <f ca="1">Master!AO7</f>
        <v>24</v>
      </c>
      <c r="E6" s="8">
        <f>Master!M7</f>
        <v>43</v>
      </c>
      <c r="F6" s="9">
        <f t="shared" ca="1" si="2"/>
        <v>1.7916666666666667</v>
      </c>
      <c r="G6" s="9">
        <f>Master!F7</f>
        <v>0.94</v>
      </c>
      <c r="H6" s="23">
        <f t="shared" si="3"/>
        <v>21264</v>
      </c>
      <c r="I6" s="8">
        <f>IFERROR(((Master!AH7*3600*24)*((Master!T7/100)/Master!M7)),0)</f>
        <v>494.51162790697674</v>
      </c>
      <c r="J6" s="8">
        <f>Master!T7</f>
        <v>80</v>
      </c>
      <c r="K6" s="8">
        <f ca="1">D6*Validation!$M$8/1800/IF(Validation!$N$8="",(IF(OR(NOT(ISNUMBER(J6)),J6=0),1,J6%)),Validation!$N$8)</f>
        <v>7.0588235294117645</v>
      </c>
      <c r="L6" s="8">
        <f>Master!AA7</f>
        <v>10</v>
      </c>
      <c r="M6" s="8">
        <f t="shared" ca="1" si="0"/>
        <v>2.9411764705882355</v>
      </c>
      <c r="N6" s="19" t="str">
        <f t="shared" ca="1" si="1"/>
        <v>Achived</v>
      </c>
      <c r="O6" s="23">
        <f t="shared" ca="1" si="4"/>
        <v>26.400000000000002</v>
      </c>
      <c r="P6" s="39" t="str">
        <f>T3</f>
        <v>N</v>
      </c>
      <c r="Q6" s="39">
        <f t="shared" si="5"/>
        <v>0.30763888888888891</v>
      </c>
    </row>
    <row r="7" spans="1:21" ht="22.5" thickTop="1" thickBot="1" x14ac:dyDescent="0.4">
      <c r="A7" s="40" t="str">
        <f>R3</f>
        <v>ICC</v>
      </c>
      <c r="B7" s="40">
        <f ca="1">Master!$AX$1</f>
        <v>45965</v>
      </c>
      <c r="C7" s="6">
        <v>0.104166666666667</v>
      </c>
      <c r="D7" s="7">
        <f ca="1">Master!AO8</f>
        <v>19</v>
      </c>
      <c r="E7" s="8">
        <f>Master!M8</f>
        <v>28</v>
      </c>
      <c r="F7" s="9">
        <f t="shared" ca="1" si="2"/>
        <v>1.4736842105263157</v>
      </c>
      <c r="G7" s="9">
        <f>Master!F8</f>
        <v>1</v>
      </c>
      <c r="H7" s="23">
        <f t="shared" si="3"/>
        <v>16188</v>
      </c>
      <c r="I7" s="8">
        <f>IFERROR(((Master!AH8*3600*24)*((Master!T8/100)/Master!M8)),0)</f>
        <v>578.14285714285711</v>
      </c>
      <c r="J7" s="8">
        <f>Master!T8</f>
        <v>71</v>
      </c>
      <c r="K7" s="8">
        <f ca="1">D7*Validation!$M$8/1800/IF(Validation!$N$8="",(IF(OR(NOT(ISNUMBER(J7)),J7=0),1,J7%)),Validation!$N$8)</f>
        <v>5.5882352941176476</v>
      </c>
      <c r="L7" s="8">
        <f>Master!AA8</f>
        <v>8</v>
      </c>
      <c r="M7" s="8">
        <f t="shared" ca="1" si="0"/>
        <v>2.4117647058823524</v>
      </c>
      <c r="N7" s="19" t="str">
        <f t="shared" ca="1" si="1"/>
        <v>Achived</v>
      </c>
      <c r="O7" s="23">
        <f t="shared" ca="1" si="4"/>
        <v>20.900000000000002</v>
      </c>
      <c r="P7" s="39" t="str">
        <f>T3</f>
        <v>N</v>
      </c>
      <c r="Q7" s="39">
        <f t="shared" si="5"/>
        <v>0.2638888888888889</v>
      </c>
    </row>
    <row r="8" spans="1:21" ht="22.5" hidden="1" thickTop="1" thickBot="1" x14ac:dyDescent="0.4">
      <c r="A8" s="40" t="str">
        <f>R3</f>
        <v>ICC</v>
      </c>
      <c r="B8" s="40">
        <f ca="1">Master!$AX$1</f>
        <v>45965</v>
      </c>
      <c r="C8" s="6">
        <v>0.125</v>
      </c>
      <c r="D8" s="7">
        <f ca="1">Master!AO9</f>
        <v>0</v>
      </c>
      <c r="E8" s="8" t="str">
        <f>Master!M9</f>
        <v>-</v>
      </c>
      <c r="F8" s="9" t="str">
        <f t="shared" si="2"/>
        <v/>
      </c>
      <c r="G8" s="9" t="str">
        <f>Master!F9</f>
        <v>-</v>
      </c>
      <c r="H8" s="23">
        <f t="shared" si="3"/>
        <v>0</v>
      </c>
      <c r="I8" s="8">
        <f>IFERROR(((Master!AH9*3600*24)*((Master!T9/100)/Master!M9)),0)</f>
        <v>0</v>
      </c>
      <c r="J8" s="8" t="str">
        <f>Master!T9</f>
        <v>-</v>
      </c>
      <c r="K8" s="8">
        <f ca="1">D8*Validation!$M$8/1800/IF(Validation!$N$8="",(IF(OR(NOT(ISNUMBER(J8)),J8=0),1,J8%)),Validation!$N$8)</f>
        <v>0</v>
      </c>
      <c r="L8" s="8" t="str">
        <f>Master!AA9</f>
        <v>-</v>
      </c>
      <c r="M8" s="8" t="str">
        <f t="shared" si="0"/>
        <v>-</v>
      </c>
      <c r="N8" s="19" t="str">
        <f t="shared" si="1"/>
        <v/>
      </c>
      <c r="O8" s="23">
        <f t="shared" ca="1" si="4"/>
        <v>0</v>
      </c>
      <c r="P8" s="39" t="str">
        <f>T3</f>
        <v>N</v>
      </c>
      <c r="Q8" s="39">
        <f t="shared" si="5"/>
        <v>0</v>
      </c>
    </row>
    <row r="9" spans="1:21" ht="22.5" hidden="1" thickTop="1" thickBot="1" x14ac:dyDescent="0.4">
      <c r="A9" s="40" t="str">
        <f>R3</f>
        <v>ICC</v>
      </c>
      <c r="B9" s="40">
        <f ca="1">Master!$AX$1</f>
        <v>45965</v>
      </c>
      <c r="C9" s="6">
        <v>0.14583333333333301</v>
      </c>
      <c r="D9" s="7">
        <f ca="1">Master!AO10</f>
        <v>0</v>
      </c>
      <c r="E9" s="8" t="str">
        <f>Master!M10</f>
        <v>-</v>
      </c>
      <c r="F9" s="9" t="str">
        <f t="shared" si="2"/>
        <v/>
      </c>
      <c r="G9" s="9" t="str">
        <f>Master!F10</f>
        <v>-</v>
      </c>
      <c r="H9" s="23">
        <f t="shared" si="3"/>
        <v>0</v>
      </c>
      <c r="I9" s="8">
        <f>IFERROR(((Master!AH10*3600*24)*((Master!T10/100)/Master!M10)),0)</f>
        <v>0</v>
      </c>
      <c r="J9" s="8" t="str">
        <f>Master!T10</f>
        <v>-</v>
      </c>
      <c r="K9" s="8">
        <f ca="1">D9*Validation!$M$8/1800/IF(Validation!$N$8="",(IF(OR(NOT(ISNUMBER(J9)),J9=0),1,J9%)),Validation!$N$8)</f>
        <v>0</v>
      </c>
      <c r="L9" s="8" t="str">
        <f>Master!AA10</f>
        <v>-</v>
      </c>
      <c r="M9" s="8" t="str">
        <f t="shared" si="0"/>
        <v>-</v>
      </c>
      <c r="N9" s="19" t="str">
        <f t="shared" si="1"/>
        <v/>
      </c>
      <c r="O9" s="23">
        <f t="shared" ca="1" si="4"/>
        <v>0</v>
      </c>
      <c r="P9" s="39" t="str">
        <f>T3</f>
        <v>N</v>
      </c>
      <c r="Q9" s="39">
        <f t="shared" si="5"/>
        <v>0</v>
      </c>
    </row>
    <row r="10" spans="1:21" ht="22.5" hidden="1" thickTop="1" thickBot="1" x14ac:dyDescent="0.4">
      <c r="A10" s="40" t="str">
        <f>R3</f>
        <v>ICC</v>
      </c>
      <c r="B10" s="40">
        <f ca="1">Master!$AX$1</f>
        <v>45965</v>
      </c>
      <c r="C10" s="6">
        <v>0.16666666666666699</v>
      </c>
      <c r="D10" s="7">
        <f ca="1">Master!AO11</f>
        <v>0</v>
      </c>
      <c r="E10" s="8" t="str">
        <f>Master!M11</f>
        <v>-</v>
      </c>
      <c r="F10" s="9" t="str">
        <f t="shared" si="2"/>
        <v/>
      </c>
      <c r="G10" s="9" t="str">
        <f>Master!F11</f>
        <v>-</v>
      </c>
      <c r="H10" s="23">
        <f t="shared" si="3"/>
        <v>0</v>
      </c>
      <c r="I10" s="8">
        <f>IFERROR(((Master!AH11*3600*24)*((Master!T11/100)/Master!M11)),0)</f>
        <v>0</v>
      </c>
      <c r="J10" s="8" t="str">
        <f>Master!T11</f>
        <v>-</v>
      </c>
      <c r="K10" s="8">
        <f ca="1">D10*Validation!$M$8/1800/IF(Validation!$N$8="",(IF(OR(NOT(ISNUMBER(J10)),J10=0),1,J10%)),Validation!$N$8)</f>
        <v>0</v>
      </c>
      <c r="L10" s="8" t="str">
        <f>Master!AA11</f>
        <v>-</v>
      </c>
      <c r="M10" s="8" t="str">
        <f t="shared" si="0"/>
        <v>-</v>
      </c>
      <c r="N10" s="19" t="str">
        <f t="shared" si="1"/>
        <v/>
      </c>
      <c r="O10" s="23">
        <f t="shared" ca="1" si="4"/>
        <v>0</v>
      </c>
      <c r="P10" s="39" t="str">
        <f>T3</f>
        <v>N</v>
      </c>
      <c r="Q10" s="39">
        <f t="shared" si="5"/>
        <v>0</v>
      </c>
    </row>
    <row r="11" spans="1:21" ht="22.5" hidden="1" thickTop="1" thickBot="1" x14ac:dyDescent="0.4">
      <c r="A11" s="40" t="str">
        <f>R3</f>
        <v>ICC</v>
      </c>
      <c r="B11" s="40">
        <f ca="1">Master!$AX$1</f>
        <v>45965</v>
      </c>
      <c r="C11" s="6">
        <v>0.1875</v>
      </c>
      <c r="D11" s="7">
        <f ca="1">Master!AO12</f>
        <v>0</v>
      </c>
      <c r="E11" s="8" t="str">
        <f>Master!M12</f>
        <v>-</v>
      </c>
      <c r="F11" s="9" t="str">
        <f t="shared" si="2"/>
        <v/>
      </c>
      <c r="G11" s="9" t="str">
        <f>Master!F12</f>
        <v>-</v>
      </c>
      <c r="H11" s="23">
        <f t="shared" si="3"/>
        <v>0</v>
      </c>
      <c r="I11" s="8">
        <f>IFERROR(((Master!AH12*3600*24)*((Master!T12/100)/Master!M12)),0)</f>
        <v>0</v>
      </c>
      <c r="J11" s="8" t="str">
        <f>Master!T12</f>
        <v>-</v>
      </c>
      <c r="K11" s="8">
        <f ca="1">D11*Validation!$M$8/1800/IF(Validation!$N$8="",(IF(OR(NOT(ISNUMBER(J11)),J11=0),1,J11%)),Validation!$N$8)</f>
        <v>0</v>
      </c>
      <c r="L11" s="8" t="str">
        <f>Master!AA12</f>
        <v>-</v>
      </c>
      <c r="M11" s="8" t="str">
        <f t="shared" si="0"/>
        <v>-</v>
      </c>
      <c r="N11" s="19" t="str">
        <f t="shared" si="1"/>
        <v/>
      </c>
      <c r="O11" s="23">
        <f t="shared" ca="1" si="4"/>
        <v>0</v>
      </c>
      <c r="P11" s="39" t="str">
        <f>T3</f>
        <v>N</v>
      </c>
      <c r="Q11" s="39">
        <f t="shared" si="5"/>
        <v>0</v>
      </c>
    </row>
    <row r="12" spans="1:21" ht="22.5" hidden="1" thickTop="1" thickBot="1" x14ac:dyDescent="0.4">
      <c r="A12" s="40" t="str">
        <f>R3</f>
        <v>ICC</v>
      </c>
      <c r="B12" s="40">
        <f ca="1">Master!$AX$1</f>
        <v>45965</v>
      </c>
      <c r="C12" s="6">
        <v>0.20833333333333301</v>
      </c>
      <c r="D12" s="7">
        <f ca="1">Master!AO13</f>
        <v>0</v>
      </c>
      <c r="E12" s="8" t="str">
        <f>Master!M13</f>
        <v>-</v>
      </c>
      <c r="F12" s="9" t="str">
        <f t="shared" si="2"/>
        <v/>
      </c>
      <c r="G12" s="9" t="str">
        <f>Master!F13</f>
        <v>-</v>
      </c>
      <c r="H12" s="23">
        <f t="shared" si="3"/>
        <v>0</v>
      </c>
      <c r="I12" s="8">
        <f>IFERROR(((Master!AH13*3600*24)*((Master!T13/100)/Master!M13)),0)</f>
        <v>0</v>
      </c>
      <c r="J12" s="8" t="str">
        <f>Master!T13</f>
        <v>-</v>
      </c>
      <c r="K12" s="8">
        <f ca="1">D12*Validation!$M$8/1800/IF(Validation!$N$8="",(IF(OR(NOT(ISNUMBER(J12)),J12=0),1,J12%)),Validation!$N$8)</f>
        <v>0</v>
      </c>
      <c r="L12" s="8" t="str">
        <f>Master!AA13</f>
        <v>-</v>
      </c>
      <c r="M12" s="8" t="str">
        <f t="shared" si="0"/>
        <v>-</v>
      </c>
      <c r="N12" s="19" t="str">
        <f t="shared" si="1"/>
        <v/>
      </c>
      <c r="O12" s="23">
        <f t="shared" ca="1" si="4"/>
        <v>0</v>
      </c>
      <c r="P12" s="39" t="str">
        <f>T3</f>
        <v>N</v>
      </c>
      <c r="Q12" s="39">
        <f t="shared" si="5"/>
        <v>0</v>
      </c>
    </row>
    <row r="13" spans="1:21" ht="22.5" hidden="1" thickTop="1" thickBot="1" x14ac:dyDescent="0.4">
      <c r="A13" s="40" t="str">
        <f>R3</f>
        <v>ICC</v>
      </c>
      <c r="B13" s="40">
        <f ca="1">Master!$AX$1</f>
        <v>45965</v>
      </c>
      <c r="C13" s="6">
        <v>0.22916666666666699</v>
      </c>
      <c r="D13" s="7">
        <f ca="1">Master!AO14</f>
        <v>0</v>
      </c>
      <c r="E13" s="8" t="str">
        <f>Master!M14</f>
        <v>-</v>
      </c>
      <c r="F13" s="9" t="str">
        <f t="shared" si="2"/>
        <v/>
      </c>
      <c r="G13" s="9" t="str">
        <f>Master!F14</f>
        <v>-</v>
      </c>
      <c r="H13" s="23">
        <f t="shared" si="3"/>
        <v>0</v>
      </c>
      <c r="I13" s="8">
        <f>IFERROR(((Master!AH14*3600*24)*((Master!T14/100)/Master!M14)),0)</f>
        <v>0</v>
      </c>
      <c r="J13" s="8" t="str">
        <f>Master!T14</f>
        <v>-</v>
      </c>
      <c r="K13" s="8">
        <f ca="1">D13*Validation!$M$8/1800/IF(Validation!$N$8="",(IF(OR(NOT(ISNUMBER(J13)),J13=0),1,J13%)),Validation!$N$8)</f>
        <v>0</v>
      </c>
      <c r="L13" s="8" t="str">
        <f>Master!AA14</f>
        <v>-</v>
      </c>
      <c r="M13" s="8" t="str">
        <f t="shared" si="0"/>
        <v>-</v>
      </c>
      <c r="N13" s="19" t="str">
        <f t="shared" si="1"/>
        <v/>
      </c>
      <c r="O13" s="23">
        <f t="shared" ca="1" si="4"/>
        <v>0</v>
      </c>
      <c r="P13" s="39" t="str">
        <f>T3</f>
        <v>N</v>
      </c>
      <c r="Q13" s="39">
        <f t="shared" si="5"/>
        <v>0</v>
      </c>
    </row>
    <row r="14" spans="1:21" ht="22.5" hidden="1" thickTop="1" thickBot="1" x14ac:dyDescent="0.4">
      <c r="A14" s="40" t="str">
        <f>R3</f>
        <v>ICC</v>
      </c>
      <c r="B14" s="40">
        <f ca="1">Master!$AX$1</f>
        <v>45965</v>
      </c>
      <c r="C14" s="6">
        <v>0.25</v>
      </c>
      <c r="D14" s="7">
        <f ca="1">Master!AO15</f>
        <v>0</v>
      </c>
      <c r="E14" s="8" t="str">
        <f>Master!M15</f>
        <v>-</v>
      </c>
      <c r="F14" s="9" t="str">
        <f t="shared" si="2"/>
        <v/>
      </c>
      <c r="G14" s="9" t="str">
        <f>Master!F15</f>
        <v>-</v>
      </c>
      <c r="H14" s="23">
        <f t="shared" si="3"/>
        <v>0</v>
      </c>
      <c r="I14" s="8">
        <f>IFERROR(((Master!AH15*3600*24)*((Master!T15/100)/Master!M15)),0)</f>
        <v>0</v>
      </c>
      <c r="J14" s="8" t="str">
        <f>Master!T15</f>
        <v>-</v>
      </c>
      <c r="K14" s="8">
        <f ca="1">D14*Validation!$M$8/1800/IF(Validation!$N$8="",(IF(OR(NOT(ISNUMBER(J14)),J14=0),1,J14%)),Validation!$N$8)</f>
        <v>0</v>
      </c>
      <c r="L14" s="8" t="str">
        <f>Master!AA15</f>
        <v>-</v>
      </c>
      <c r="M14" s="8" t="str">
        <f t="shared" si="0"/>
        <v>-</v>
      </c>
      <c r="N14" s="19" t="str">
        <f t="shared" si="1"/>
        <v/>
      </c>
      <c r="O14" s="23">
        <f t="shared" ca="1" si="4"/>
        <v>0</v>
      </c>
      <c r="P14" s="39" t="str">
        <f>T3</f>
        <v>N</v>
      </c>
      <c r="Q14" s="39">
        <f t="shared" si="5"/>
        <v>0</v>
      </c>
    </row>
    <row r="15" spans="1:21" ht="22.5" hidden="1" thickTop="1" thickBot="1" x14ac:dyDescent="0.4">
      <c r="A15" s="40" t="str">
        <f>R3</f>
        <v>ICC</v>
      </c>
      <c r="B15" s="40">
        <f ca="1">Master!$AX$1</f>
        <v>45965</v>
      </c>
      <c r="C15" s="6">
        <v>0.27083333333333298</v>
      </c>
      <c r="D15" s="7">
        <f ca="1">Master!AO16</f>
        <v>0</v>
      </c>
      <c r="E15" s="8" t="str">
        <f>Master!M16</f>
        <v>-</v>
      </c>
      <c r="F15" s="9" t="str">
        <f t="shared" si="2"/>
        <v/>
      </c>
      <c r="G15" s="9" t="str">
        <f>Master!F16</f>
        <v>-</v>
      </c>
      <c r="H15" s="23">
        <f t="shared" si="3"/>
        <v>0</v>
      </c>
      <c r="I15" s="8">
        <f>IFERROR(((Master!AH16*3600*24)*((Master!T16/100)/Master!M16)),0)</f>
        <v>0</v>
      </c>
      <c r="J15" s="8" t="str">
        <f>Master!T16</f>
        <v>-</v>
      </c>
      <c r="K15" s="8">
        <f ca="1">D15*Validation!$M$8/1800/IF(Validation!$N$8="",(IF(OR(NOT(ISNUMBER(J15)),J15=0),1,J15%)),Validation!$N$8)</f>
        <v>0</v>
      </c>
      <c r="L15" s="8" t="str">
        <f>Master!AA16</f>
        <v>-</v>
      </c>
      <c r="M15" s="8" t="str">
        <f t="shared" si="0"/>
        <v>-</v>
      </c>
      <c r="N15" s="19" t="str">
        <f t="shared" si="1"/>
        <v/>
      </c>
      <c r="O15" s="23">
        <f t="shared" ca="1" si="4"/>
        <v>0</v>
      </c>
      <c r="P15" s="39" t="str">
        <f>T3</f>
        <v>N</v>
      </c>
      <c r="Q15" s="39">
        <f t="shared" si="5"/>
        <v>0</v>
      </c>
    </row>
    <row r="16" spans="1:21" ht="22.5" thickTop="1" thickBot="1" x14ac:dyDescent="0.4">
      <c r="A16" s="40" t="str">
        <f>R3</f>
        <v>ICC</v>
      </c>
      <c r="B16" s="40">
        <f ca="1">Master!$AX$1</f>
        <v>45965</v>
      </c>
      <c r="C16" s="6">
        <v>0.29166666666666702</v>
      </c>
      <c r="D16" s="7">
        <f ca="1">Master!AO17</f>
        <v>11</v>
      </c>
      <c r="E16" s="8">
        <f>Master!M17</f>
        <v>17</v>
      </c>
      <c r="F16" s="9">
        <f t="shared" ca="1" si="2"/>
        <v>1.5454545454545454</v>
      </c>
      <c r="G16" s="9">
        <f>Master!F17</f>
        <v>0.66</v>
      </c>
      <c r="H16" s="23">
        <f t="shared" si="3"/>
        <v>3612</v>
      </c>
      <c r="I16" s="8">
        <f>IFERROR(((Master!AH17*3600*24)*((Master!T17/100)/Master!M17)),0)</f>
        <v>212.47058823529412</v>
      </c>
      <c r="J16" s="8">
        <f>Master!T17</f>
        <v>70</v>
      </c>
      <c r="K16" s="8">
        <f ca="1">D16*Validation!$M$8/1800/IF(Validation!$N$8="",(IF(OR(NOT(ISNUMBER(J16)),J16=0),1,J16%)),Validation!$N$8)</f>
        <v>3.2352941176470589</v>
      </c>
      <c r="L16" s="8">
        <f>Master!AA17</f>
        <v>5</v>
      </c>
      <c r="M16" s="8">
        <f t="shared" ca="1" si="0"/>
        <v>1.7647058823529411</v>
      </c>
      <c r="N16" s="19" t="str">
        <f t="shared" ca="1" si="1"/>
        <v>Achived</v>
      </c>
      <c r="O16" s="23">
        <f t="shared" ca="1" si="4"/>
        <v>12.100000000000001</v>
      </c>
      <c r="P16" s="39" t="str">
        <f>T3</f>
        <v>N</v>
      </c>
      <c r="Q16" s="39">
        <f t="shared" si="5"/>
        <v>5.9722222222222232E-2</v>
      </c>
    </row>
    <row r="17" spans="1:28" ht="22.5" thickTop="1" thickBot="1" x14ac:dyDescent="0.4">
      <c r="A17" s="40" t="str">
        <f>R3</f>
        <v>ICC</v>
      </c>
      <c r="B17" s="40">
        <f ca="1">Master!$AX$1</f>
        <v>45965</v>
      </c>
      <c r="C17" s="6">
        <v>0.3125</v>
      </c>
      <c r="D17" s="7">
        <f ca="1">Master!AO18</f>
        <v>13</v>
      </c>
      <c r="E17" s="8">
        <f>Master!M18</f>
        <v>18</v>
      </c>
      <c r="F17" s="9">
        <f t="shared" ca="1" si="2"/>
        <v>1.3846153846153846</v>
      </c>
      <c r="G17" s="9">
        <f>Master!F18</f>
        <v>0.81</v>
      </c>
      <c r="H17" s="23">
        <f t="shared" si="3"/>
        <v>7903.2000000000016</v>
      </c>
      <c r="I17" s="8">
        <f>IFERROR(((Master!AH18*3600*24)*((Master!T18/100)/Master!M18)),0)</f>
        <v>439.06666666666678</v>
      </c>
      <c r="J17" s="8">
        <f>Master!T18</f>
        <v>89</v>
      </c>
      <c r="K17" s="8">
        <f ca="1">D17*Validation!$M$8/1800/IF(Validation!$N$8="",(IF(OR(NOT(ISNUMBER(J17)),J17=0),1,J17%)),Validation!$N$8)</f>
        <v>3.8235294117647061</v>
      </c>
      <c r="L17" s="8">
        <f>Master!AA18</f>
        <v>5</v>
      </c>
      <c r="M17" s="8">
        <f t="shared" ca="1" si="0"/>
        <v>1.1764705882352939</v>
      </c>
      <c r="N17" s="19" t="str">
        <f t="shared" ca="1" si="1"/>
        <v>Achived</v>
      </c>
      <c r="O17" s="23">
        <f t="shared" ca="1" si="4"/>
        <v>14.3</v>
      </c>
      <c r="P17" s="39" t="str">
        <f>T3</f>
        <v>N</v>
      </c>
      <c r="Q17" s="39">
        <f t="shared" si="5"/>
        <v>0.1027777777777778</v>
      </c>
    </row>
    <row r="18" spans="1:28" ht="22.5" thickTop="1" thickBot="1" x14ac:dyDescent="0.4">
      <c r="A18" s="40" t="str">
        <f>R3</f>
        <v>ICC</v>
      </c>
      <c r="B18" s="40">
        <f ca="1">Master!$AX$1</f>
        <v>45965</v>
      </c>
      <c r="C18" s="6">
        <v>0.33333333333333298</v>
      </c>
      <c r="D18" s="7">
        <f ca="1">Master!AO19</f>
        <v>15</v>
      </c>
      <c r="E18" s="8">
        <f>Master!M19</f>
        <v>15</v>
      </c>
      <c r="F18" s="9">
        <f t="shared" ca="1" si="2"/>
        <v>1</v>
      </c>
      <c r="G18" s="9">
        <f>Master!F19</f>
        <v>1</v>
      </c>
      <c r="H18" s="23">
        <f t="shared" si="3"/>
        <v>7617.6000000000013</v>
      </c>
      <c r="I18" s="8">
        <f>IFERROR(((Master!AH19*3600*24)*((Master!T19/100)/Master!M19)),0)</f>
        <v>507.84000000000009</v>
      </c>
      <c r="J18" s="8">
        <f>Master!T19</f>
        <v>69</v>
      </c>
      <c r="K18" s="8">
        <f ca="1">D18*Validation!$M$8/1800/IF(Validation!$N$8="",(IF(OR(NOT(ISNUMBER(J18)),J18=0),1,J18%)),Validation!$N$8)</f>
        <v>4.4117647058823533</v>
      </c>
      <c r="L18" s="8">
        <f>Master!AA19</f>
        <v>6</v>
      </c>
      <c r="M18" s="8">
        <f t="shared" ca="1" si="0"/>
        <v>1.5882352941176467</v>
      </c>
      <c r="N18" s="19" t="str">
        <f t="shared" ca="1" si="1"/>
        <v>Achived</v>
      </c>
      <c r="O18" s="23">
        <f t="shared" ca="1" si="4"/>
        <v>15</v>
      </c>
      <c r="P18" s="39" t="str">
        <f>T3</f>
        <v>N</v>
      </c>
      <c r="Q18" s="39">
        <f t="shared" si="5"/>
        <v>0.12777777777777782</v>
      </c>
    </row>
    <row r="19" spans="1:28" ht="22.5" thickTop="1" thickBot="1" x14ac:dyDescent="0.4">
      <c r="A19" s="40" t="str">
        <f>R3</f>
        <v>ICC</v>
      </c>
      <c r="B19" s="40">
        <f ca="1">Master!$AX$1</f>
        <v>45965</v>
      </c>
      <c r="C19" s="6">
        <v>0.35416666666666702</v>
      </c>
      <c r="D19" s="7">
        <f ca="1">Master!AO20</f>
        <v>21</v>
      </c>
      <c r="E19" s="8">
        <f>Master!M20</f>
        <v>29</v>
      </c>
      <c r="F19" s="9">
        <f t="shared" ca="1" si="2"/>
        <v>1.3809523809523809</v>
      </c>
      <c r="G19" s="9">
        <f>Master!F20</f>
        <v>0.8</v>
      </c>
      <c r="H19" s="23">
        <f t="shared" si="3"/>
        <v>11961.600000000002</v>
      </c>
      <c r="I19" s="8">
        <f>IFERROR(((Master!AH20*3600*24)*((Master!T20/100)/Master!M20)),0)</f>
        <v>412.46896551724143</v>
      </c>
      <c r="J19" s="8">
        <f>Master!T20</f>
        <v>89</v>
      </c>
      <c r="K19" s="8">
        <f ca="1">D19*Validation!$M$8/1800/IF(Validation!$N$8="",(IF(OR(NOT(ISNUMBER(J19)),J19=0),1,J19%)),Validation!$N$8)</f>
        <v>6.1764705882352944</v>
      </c>
      <c r="L19" s="8">
        <f>Master!AA20</f>
        <v>8</v>
      </c>
      <c r="M19" s="8">
        <f t="shared" ca="1" si="0"/>
        <v>1.8235294117647056</v>
      </c>
      <c r="N19" s="19" t="str">
        <f t="shared" ca="1" si="1"/>
        <v>Achived</v>
      </c>
      <c r="O19" s="23">
        <f t="shared" ca="1" si="4"/>
        <v>23.1</v>
      </c>
      <c r="P19" s="39" t="str">
        <f>T3</f>
        <v>N</v>
      </c>
      <c r="Q19" s="39">
        <f t="shared" si="5"/>
        <v>0.15555555555555559</v>
      </c>
    </row>
    <row r="20" spans="1:28" ht="22.5" thickTop="1" thickBot="1" x14ac:dyDescent="0.4">
      <c r="A20" s="40" t="str">
        <f>R3</f>
        <v>ICC</v>
      </c>
      <c r="B20" s="40">
        <f ca="1">Master!$AX$1</f>
        <v>45965</v>
      </c>
      <c r="C20" s="6">
        <v>0.375</v>
      </c>
      <c r="D20" s="7">
        <f ca="1">Master!AO21</f>
        <v>24</v>
      </c>
      <c r="E20" s="8">
        <f>Master!M21</f>
        <v>14</v>
      </c>
      <c r="F20" s="9">
        <f t="shared" ca="1" si="2"/>
        <v>0.58333333333333337</v>
      </c>
      <c r="G20" s="9">
        <f>Master!F21</f>
        <v>0.8</v>
      </c>
      <c r="H20" s="23">
        <f t="shared" si="3"/>
        <v>14796</v>
      </c>
      <c r="I20" s="8">
        <f>IFERROR(((Master!AH21*3600*24)*((Master!T21/100)/Master!M21)),0)</f>
        <v>1056.8571428571429</v>
      </c>
      <c r="J20" s="8">
        <f>Master!T21</f>
        <v>90</v>
      </c>
      <c r="K20" s="8">
        <f ca="1">D20*Validation!$M$8/1800/IF(Validation!$N$8="",(IF(OR(NOT(ISNUMBER(J20)),J20=0),1,J20%)),Validation!$N$8)</f>
        <v>7.0588235294117645</v>
      </c>
      <c r="L20" s="8">
        <f>Master!AA21</f>
        <v>9</v>
      </c>
      <c r="M20" s="8">
        <f t="shared" ca="1" si="0"/>
        <v>1.9411764705882355</v>
      </c>
      <c r="N20" s="19" t="str">
        <f t="shared" ca="1" si="1"/>
        <v>Wait</v>
      </c>
      <c r="O20" s="23">
        <f t="shared" ca="1" si="4"/>
        <v>21.6</v>
      </c>
      <c r="P20" s="39" t="str">
        <f>T3</f>
        <v>N</v>
      </c>
      <c r="Q20" s="39">
        <f t="shared" si="5"/>
        <v>0.19027777777777777</v>
      </c>
    </row>
    <row r="21" spans="1:28" ht="22.5" thickTop="1" thickBot="1" x14ac:dyDescent="0.4">
      <c r="A21" s="40" t="str">
        <f>R3</f>
        <v>ICC</v>
      </c>
      <c r="B21" s="40">
        <f ca="1">Master!$AX$1</f>
        <v>45965</v>
      </c>
      <c r="C21" s="6">
        <v>0.39583333333333298</v>
      </c>
      <c r="D21" s="7">
        <f ca="1">Master!AO22</f>
        <v>29</v>
      </c>
      <c r="E21" s="8">
        <f>Master!M22</f>
        <v>41</v>
      </c>
      <c r="F21" s="9">
        <f t="shared" ca="1" si="2"/>
        <v>1.4137931034482758</v>
      </c>
      <c r="G21" s="9">
        <f>Master!F22</f>
        <v>0.45</v>
      </c>
      <c r="H21" s="23">
        <f t="shared" si="3"/>
        <v>16430.21052631579</v>
      </c>
      <c r="I21" s="8">
        <f>IFERROR(((Master!AH22*3600*24)*((Master!T22/100)/Master!M23)),0)</f>
        <v>400.73684210526318</v>
      </c>
      <c r="J21" s="8">
        <f>Master!T22</f>
        <v>94</v>
      </c>
      <c r="K21" s="8">
        <f ca="1">D21*Validation!$M$8/1800/IF(Validation!$N$8="",(IF(OR(NOT(ISNUMBER(J21)),J21=0),1,J21%)),Validation!$N$8)</f>
        <v>8.5294117647058822</v>
      </c>
      <c r="L21" s="8">
        <f>Master!AA22</f>
        <v>11</v>
      </c>
      <c r="M21" s="8">
        <f t="shared" ca="1" si="0"/>
        <v>2.4705882352941178</v>
      </c>
      <c r="N21" s="19" t="str">
        <f t="shared" ca="1" si="1"/>
        <v>Achived</v>
      </c>
      <c r="O21" s="23">
        <f t="shared" ca="1" si="4"/>
        <v>31.900000000000002</v>
      </c>
      <c r="P21" s="39" t="str">
        <f>T3</f>
        <v>N</v>
      </c>
      <c r="Q21" s="39">
        <f t="shared" si="5"/>
        <v>0.20230263157894737</v>
      </c>
    </row>
    <row r="22" spans="1:28" ht="22.5" thickTop="1" thickBot="1" x14ac:dyDescent="0.4">
      <c r="A22" s="40" t="str">
        <f>R3</f>
        <v>ICC</v>
      </c>
      <c r="B22" s="40">
        <f ca="1">Master!$AX$1</f>
        <v>45965</v>
      </c>
      <c r="C22" s="6">
        <v>0.41666666666666702</v>
      </c>
      <c r="D22" s="7">
        <f ca="1">Master!AO23</f>
        <v>34</v>
      </c>
      <c r="E22" s="8">
        <f>Master!M23</f>
        <v>38</v>
      </c>
      <c r="F22" s="9">
        <f t="shared" ca="1" si="2"/>
        <v>1.1176470588235294</v>
      </c>
      <c r="G22" s="9">
        <f>Master!F23</f>
        <v>0.66</v>
      </c>
      <c r="H22" s="23">
        <f t="shared" si="3"/>
        <v>19906.472727272725</v>
      </c>
      <c r="I22" s="8">
        <f>IFERROR(((Master!AH23*3600*24)*((Master!T23/100)/Master!M24)),0)</f>
        <v>523.85454545454536</v>
      </c>
      <c r="J22" s="8">
        <f>Master!T23</f>
        <v>98</v>
      </c>
      <c r="K22" s="8">
        <f ca="1">D22*Validation!$M$8/1800/IF(Validation!$N$8="",(IF(OR(NOT(ISNUMBER(J22)),J22=0),1,J22%)),Validation!$N$8)</f>
        <v>10</v>
      </c>
      <c r="L22" s="8">
        <f>Master!AA23</f>
        <v>13</v>
      </c>
      <c r="M22" s="8">
        <f t="shared" ca="1" si="0"/>
        <v>3</v>
      </c>
      <c r="N22" s="19" t="str">
        <f t="shared" ca="1" si="1"/>
        <v>Achived</v>
      </c>
      <c r="O22" s="23">
        <f t="shared" ca="1" si="4"/>
        <v>37.400000000000006</v>
      </c>
      <c r="P22" s="39" t="str">
        <f>T3</f>
        <v>N</v>
      </c>
      <c r="Q22" s="39">
        <f t="shared" si="5"/>
        <v>0.23510101010101006</v>
      </c>
    </row>
    <row r="23" spans="1:28" ht="22.5" thickTop="1" thickBot="1" x14ac:dyDescent="0.4">
      <c r="A23" s="40" t="str">
        <f>R3</f>
        <v>ICC</v>
      </c>
      <c r="B23" s="40">
        <f ca="1">Master!$AX$1</f>
        <v>45965</v>
      </c>
      <c r="C23" s="6">
        <v>0.4375</v>
      </c>
      <c r="D23" s="7">
        <f ca="1">Master!AO24</f>
        <v>41</v>
      </c>
      <c r="E23" s="8">
        <f>Master!M24</f>
        <v>44</v>
      </c>
      <c r="F23" s="9">
        <f t="shared" ca="1" si="2"/>
        <v>1.0731707317073171</v>
      </c>
      <c r="G23" s="9">
        <f>Master!F24</f>
        <v>0.38</v>
      </c>
      <c r="H23" s="23">
        <f t="shared" si="3"/>
        <v>20490.623999999996</v>
      </c>
      <c r="I23" s="8">
        <f>IFERROR(((Master!AH24*3600*24)*((Master!T24/100)/Master!M25)),0)</f>
        <v>465.69599999999991</v>
      </c>
      <c r="J23" s="8">
        <f>Master!T24</f>
        <v>99</v>
      </c>
      <c r="K23" s="8">
        <f ca="1">D23*Validation!$M$8/1800/IF(Validation!$N$8="",(IF(OR(NOT(ISNUMBER(J23)),J23=0),1,J23%)),Validation!$N$8)</f>
        <v>12.058823529411764</v>
      </c>
      <c r="L23" s="8">
        <f>Master!AA24</f>
        <v>14</v>
      </c>
      <c r="M23" s="8">
        <f t="shared" ca="1" si="0"/>
        <v>1.9411764705882355</v>
      </c>
      <c r="N23" s="19" t="str">
        <f t="shared" ca="1" si="1"/>
        <v>Achived</v>
      </c>
      <c r="O23" s="23">
        <f t="shared" ca="1" si="4"/>
        <v>44</v>
      </c>
      <c r="P23" s="39" t="str">
        <f>T3</f>
        <v>N</v>
      </c>
      <c r="Q23" s="39">
        <f t="shared" si="5"/>
        <v>0.23955555555555552</v>
      </c>
    </row>
    <row r="24" spans="1:28" ht="22.5" thickTop="1" thickBot="1" x14ac:dyDescent="0.4">
      <c r="A24" s="40" t="str">
        <f>R3</f>
        <v>ICC</v>
      </c>
      <c r="B24" s="40">
        <f ca="1">Master!$AX$1</f>
        <v>45965</v>
      </c>
      <c r="C24" s="6">
        <v>0.45833333333333298</v>
      </c>
      <c r="D24" s="7">
        <f ca="1">Master!AO25</f>
        <v>46</v>
      </c>
      <c r="E24" s="8">
        <f>Master!M25</f>
        <v>50</v>
      </c>
      <c r="F24" s="9">
        <f t="shared" ca="1" si="2"/>
        <v>1.0869565217391304</v>
      </c>
      <c r="G24" s="9">
        <f>Master!F25</f>
        <v>0.81</v>
      </c>
      <c r="H24" s="23">
        <f t="shared" si="3"/>
        <v>25413.26086956522</v>
      </c>
      <c r="I24" s="8">
        <f>IFERROR(((Master!AH25*3600*24)*((Master!T25/100)/Master!M26)),0)</f>
        <v>508.26521739130436</v>
      </c>
      <c r="J24" s="8">
        <f>Master!T25</f>
        <v>93</v>
      </c>
      <c r="K24" s="8">
        <f ca="1">D24*Validation!$M$8/1800/IF(Validation!$N$8="",(IF(OR(NOT(ISNUMBER(J24)),J24=0),1,J24%)),Validation!$N$8)</f>
        <v>13.529411764705882</v>
      </c>
      <c r="L24" s="8">
        <f>Master!AA25</f>
        <v>13</v>
      </c>
      <c r="M24" s="8">
        <f t="shared" ca="1" si="0"/>
        <v>-0.52941176470588225</v>
      </c>
      <c r="N24" s="19" t="str">
        <f t="shared" ca="1" si="1"/>
        <v>Achived</v>
      </c>
      <c r="O24" s="23">
        <f t="shared" ca="1" si="4"/>
        <v>50</v>
      </c>
      <c r="P24" s="39" t="str">
        <f>T3</f>
        <v>N</v>
      </c>
      <c r="Q24" s="39">
        <f t="shared" si="5"/>
        <v>0.31627415458937203</v>
      </c>
    </row>
    <row r="25" spans="1:28" ht="22.5" thickTop="1" thickBot="1" x14ac:dyDescent="0.4">
      <c r="A25" s="40" t="str">
        <f>R3</f>
        <v>ICC</v>
      </c>
      <c r="B25" s="40">
        <f ca="1">Master!$AX$1</f>
        <v>45965</v>
      </c>
      <c r="C25" s="6">
        <v>0.47916666666666702</v>
      </c>
      <c r="D25" s="7">
        <f ca="1">Master!AO26</f>
        <v>49</v>
      </c>
      <c r="E25" s="8">
        <f>Master!M26</f>
        <v>46</v>
      </c>
      <c r="F25" s="9">
        <f t="shared" ca="1" si="2"/>
        <v>0.93877551020408168</v>
      </c>
      <c r="G25" s="9">
        <f>Master!F26</f>
        <v>0.89</v>
      </c>
      <c r="H25" s="23">
        <f t="shared" si="3"/>
        <v>23598</v>
      </c>
      <c r="I25" s="8">
        <f>IFERROR(((Master!AH26*3600*24)*((Master!T26/100)/Master!M27)),0)</f>
        <v>513</v>
      </c>
      <c r="J25" s="8">
        <f>Master!T26</f>
        <v>95</v>
      </c>
      <c r="K25" s="8">
        <f ca="1">D25*Validation!$M$8/1800/IF(Validation!$N$8="",(IF(OR(NOT(ISNUMBER(J25)),J25=0),1,J25%)),Validation!$N$8)</f>
        <v>14.411764705882353</v>
      </c>
      <c r="L25" s="8">
        <f>Master!AA26</f>
        <v>13</v>
      </c>
      <c r="M25" s="8">
        <f t="shared" ca="1" si="0"/>
        <v>-1.4117647058823533</v>
      </c>
      <c r="N25" s="19" t="str">
        <f t="shared" ca="1" si="1"/>
        <v>Wait</v>
      </c>
      <c r="O25" s="23">
        <f t="shared" ca="1" si="4"/>
        <v>44.1</v>
      </c>
      <c r="P25" s="39" t="str">
        <f>T3</f>
        <v>N</v>
      </c>
      <c r="Q25" s="39">
        <f t="shared" si="5"/>
        <v>0.28749999999999998</v>
      </c>
    </row>
    <row r="26" spans="1:28" ht="22.5" thickTop="1" thickBot="1" x14ac:dyDescent="0.4">
      <c r="A26" s="40" t="str">
        <f>R3</f>
        <v>ICC</v>
      </c>
      <c r="B26" s="40">
        <f ca="1">Master!$AX$1</f>
        <v>45965</v>
      </c>
      <c r="C26" s="6">
        <v>0.5</v>
      </c>
      <c r="D26" s="7">
        <f ca="1">Master!AO27</f>
        <v>57</v>
      </c>
      <c r="E26" s="8">
        <f>Master!M27</f>
        <v>43</v>
      </c>
      <c r="F26" s="9">
        <f t="shared" ca="1" si="2"/>
        <v>0.75438596491228072</v>
      </c>
      <c r="G26" s="9">
        <f>Master!F27</f>
        <v>0.94</v>
      </c>
      <c r="H26" s="23">
        <f t="shared" si="3"/>
        <v>17229.062068965519</v>
      </c>
      <c r="I26" s="8">
        <f>IFERROR(((Master!AH27*3600*24)*((Master!T27/100)/Master!M28)),0)</f>
        <v>400.67586206896556</v>
      </c>
      <c r="J26" s="8">
        <f>Master!T27</f>
        <v>92</v>
      </c>
      <c r="K26" s="8">
        <f ca="1">D26*Validation!$M$8/1800/IF(Validation!$N$8="",(IF(OR(NOT(ISNUMBER(J26)),J26=0),1,J26%)),Validation!$N$8)</f>
        <v>16.764705882352942</v>
      </c>
      <c r="L26" s="8">
        <f>Master!AA27</f>
        <v>14</v>
      </c>
      <c r="M26" s="8">
        <f t="shared" ca="1" si="0"/>
        <v>-2.764705882352942</v>
      </c>
      <c r="N26" s="19" t="str">
        <f t="shared" ca="1" si="1"/>
        <v>Wait</v>
      </c>
      <c r="O26" s="23">
        <f t="shared" ca="1" si="4"/>
        <v>51.300000000000004</v>
      </c>
      <c r="P26" s="39" t="str">
        <f>T3</f>
        <v>N</v>
      </c>
      <c r="Q26" s="39">
        <f t="shared" si="5"/>
        <v>0.21675047892720309</v>
      </c>
      <c r="AB26" s="3" t="s">
        <v>40</v>
      </c>
    </row>
    <row r="27" spans="1:28" ht="22.5" thickTop="1" thickBot="1" x14ac:dyDescent="0.4">
      <c r="A27" s="40" t="str">
        <f>R3</f>
        <v>ICC</v>
      </c>
      <c r="B27" s="40">
        <f ca="1">Master!$AX$1</f>
        <v>45965</v>
      </c>
      <c r="C27" s="6">
        <v>0.52083333333333304</v>
      </c>
      <c r="D27" s="7">
        <f ca="1">Master!AO28</f>
        <v>54</v>
      </c>
      <c r="E27" s="8">
        <f>Master!M28</f>
        <v>58</v>
      </c>
      <c r="F27" s="9">
        <f t="shared" ca="1" si="2"/>
        <v>1.0740740740740742</v>
      </c>
      <c r="G27" s="9">
        <f>Master!F28</f>
        <v>0.35</v>
      </c>
      <c r="H27" s="23">
        <f t="shared" si="3"/>
        <v>26824.107692307691</v>
      </c>
      <c r="I27" s="8">
        <f>IFERROR(((Master!AH28*3600*24)*((Master!T28/100)/Master!M29)),0)</f>
        <v>462.48461538461538</v>
      </c>
      <c r="J27" s="8">
        <f>Master!T28</f>
        <v>98</v>
      </c>
      <c r="K27" s="8">
        <f ca="1">D27*Validation!$M$8/1800/IF(Validation!$N$8="",(IF(OR(NOT(ISNUMBER(J27)),J27=0),1,J27%)),Validation!$N$8)</f>
        <v>15.882352941176471</v>
      </c>
      <c r="L27" s="8">
        <f>Master!AA28</f>
        <v>14</v>
      </c>
      <c r="M27" s="8">
        <f t="shared" ca="1" si="0"/>
        <v>-1.882352941176471</v>
      </c>
      <c r="N27" s="19" t="str">
        <f t="shared" ca="1" si="1"/>
        <v>Achived</v>
      </c>
      <c r="O27" s="23">
        <f t="shared" ca="1" si="4"/>
        <v>58</v>
      </c>
      <c r="P27" s="39" t="str">
        <f>T3</f>
        <v>N</v>
      </c>
      <c r="Q27" s="39">
        <f t="shared" si="5"/>
        <v>0.31680021367521366</v>
      </c>
      <c r="T27" s="36"/>
    </row>
    <row r="28" spans="1:28" ht="22.5" thickTop="1" thickBot="1" x14ac:dyDescent="0.4">
      <c r="A28" s="40" t="str">
        <f>R3</f>
        <v>ICC</v>
      </c>
      <c r="B28" s="40">
        <f ca="1">Master!$AX$1</f>
        <v>45965</v>
      </c>
      <c r="C28" s="6">
        <v>0.54166666666666696</v>
      </c>
      <c r="D28" s="7">
        <f ca="1">Master!AO29</f>
        <v>68</v>
      </c>
      <c r="E28" s="8">
        <f>Master!M29</f>
        <v>52</v>
      </c>
      <c r="F28" s="9">
        <f t="shared" ca="1" si="2"/>
        <v>0.76470588235294112</v>
      </c>
      <c r="G28" s="9">
        <f>Master!F29</f>
        <v>0.91</v>
      </c>
      <c r="H28" s="23">
        <f t="shared" si="3"/>
        <v>19084.452173913043</v>
      </c>
      <c r="I28" s="8">
        <f>IFERROR(((Master!AH29*3600*24)*((Master!T29/100)/Master!M30)),0)</f>
        <v>367.00869565217391</v>
      </c>
      <c r="J28" s="8">
        <f>Master!T29</f>
        <v>94</v>
      </c>
      <c r="K28" s="8">
        <f ca="1">D28*Validation!$M$8/1800/IF(Validation!$N$8="",(IF(OR(NOT(ISNUMBER(J28)),J28=0),1,J28%)),Validation!$N$8)</f>
        <v>20</v>
      </c>
      <c r="L28" s="8">
        <f>Master!AA29</f>
        <v>16</v>
      </c>
      <c r="M28" s="8">
        <f t="shared" ca="1" si="0"/>
        <v>-4</v>
      </c>
      <c r="N28" s="19" t="str">
        <f t="shared" ca="1" si="1"/>
        <v>Wait</v>
      </c>
      <c r="O28" s="23">
        <f t="shared" ca="1" si="4"/>
        <v>61.2</v>
      </c>
      <c r="P28" s="39" t="str">
        <f>T3</f>
        <v>N</v>
      </c>
      <c r="Q28" s="39">
        <f t="shared" si="5"/>
        <v>0.23498389694041869</v>
      </c>
    </row>
    <row r="29" spans="1:28" ht="22.5" thickTop="1" thickBot="1" x14ac:dyDescent="0.4">
      <c r="A29" s="40" t="str">
        <f>R3</f>
        <v>ICC</v>
      </c>
      <c r="B29" s="40">
        <f ca="1">Master!$AX$1</f>
        <v>45965</v>
      </c>
      <c r="C29" s="6">
        <v>0.5625</v>
      </c>
      <c r="D29" s="7">
        <f ca="1">Master!AO30</f>
        <v>64</v>
      </c>
      <c r="E29" s="8">
        <f>Master!M30</f>
        <v>69</v>
      </c>
      <c r="F29" s="9">
        <f t="shared" ca="1" si="2"/>
        <v>1.078125</v>
      </c>
      <c r="G29" s="9">
        <f>Master!F30</f>
        <v>0.81</v>
      </c>
      <c r="H29" s="23">
        <f t="shared" si="3"/>
        <v>27307.439999999999</v>
      </c>
      <c r="I29" s="8">
        <f>IFERROR(((Master!AH30*3600*24)*((Master!T30/100)/Master!M31)),0)</f>
        <v>395.76</v>
      </c>
      <c r="J29" s="8">
        <f>Master!T30</f>
        <v>97</v>
      </c>
      <c r="K29" s="8">
        <f ca="1">D29*Validation!$M$8/1800/IF(Validation!$N$8="",(IF(OR(NOT(ISNUMBER(J29)),J29=0),1,J29%)),Validation!$N$8)</f>
        <v>18.823529411764707</v>
      </c>
      <c r="L29" s="8">
        <f>Master!AA30</f>
        <v>19</v>
      </c>
      <c r="M29" s="8">
        <f t="shared" ca="1" si="0"/>
        <v>0.17647058823529349</v>
      </c>
      <c r="N29" s="19" t="str">
        <f t="shared" ca="1" si="1"/>
        <v>Achived</v>
      </c>
      <c r="O29" s="23">
        <f t="shared" ca="1" si="4"/>
        <v>69</v>
      </c>
      <c r="P29" s="39" t="str">
        <f>T3</f>
        <v>N</v>
      </c>
      <c r="Q29" s="39">
        <f t="shared" si="5"/>
        <v>0.32583333333333331</v>
      </c>
    </row>
    <row r="30" spans="1:28" ht="22.5" thickTop="1" thickBot="1" x14ac:dyDescent="0.4">
      <c r="A30" s="40" t="str">
        <f>R3</f>
        <v>ICC</v>
      </c>
      <c r="B30" s="40">
        <f ca="1">Master!$AX$1</f>
        <v>45965</v>
      </c>
      <c r="C30" s="6">
        <v>0.58333333333333304</v>
      </c>
      <c r="D30" s="7">
        <f ca="1">Master!AO31</f>
        <v>85</v>
      </c>
      <c r="E30" s="8">
        <f>Master!M31</f>
        <v>80</v>
      </c>
      <c r="F30" s="9">
        <f t="shared" ca="1" si="2"/>
        <v>0.94117647058823528</v>
      </c>
      <c r="G30" s="9">
        <f>Master!F31</f>
        <v>0.45</v>
      </c>
      <c r="H30" s="23">
        <f t="shared" si="3"/>
        <v>31553.797752808987</v>
      </c>
      <c r="I30" s="8">
        <f>IFERROR(((Master!AH31*3600*24)*((Master!T31/100)/Master!M32)),0)</f>
        <v>394.42247191011234</v>
      </c>
      <c r="J30" s="8">
        <f>Master!T31</f>
        <v>98</v>
      </c>
      <c r="K30" s="8">
        <f ca="1">D30*Validation!$M$8/1800/IF(Validation!$N$8="",(IF(OR(NOT(ISNUMBER(J30)),J30=0),1,J30%)),Validation!$N$8)</f>
        <v>25</v>
      </c>
      <c r="L30" s="8">
        <f>Master!AA31</f>
        <v>20</v>
      </c>
      <c r="M30" s="8">
        <f t="shared" ca="1" si="0"/>
        <v>-5</v>
      </c>
      <c r="N30" s="19" t="str">
        <f t="shared" ca="1" si="1"/>
        <v>Lost</v>
      </c>
      <c r="O30" s="23">
        <f t="shared" ca="1" si="4"/>
        <v>80</v>
      </c>
      <c r="P30" s="39" t="str">
        <f>T3</f>
        <v>N</v>
      </c>
      <c r="Q30" s="39">
        <f t="shared" si="5"/>
        <v>0.37265917602996251</v>
      </c>
    </row>
    <row r="31" spans="1:28" ht="22.5" thickTop="1" thickBot="1" x14ac:dyDescent="0.4">
      <c r="A31" s="40" t="str">
        <f>R3</f>
        <v>ICC</v>
      </c>
      <c r="B31" s="40">
        <f ca="1">Master!$AX$1</f>
        <v>45965</v>
      </c>
      <c r="C31" s="6">
        <v>0.60416666666666696</v>
      </c>
      <c r="D31" s="7">
        <f ca="1">Master!AO32</f>
        <v>81</v>
      </c>
      <c r="E31" s="8">
        <f>Master!M32</f>
        <v>89</v>
      </c>
      <c r="F31" s="9">
        <f t="shared" ca="1" si="2"/>
        <v>1.0987654320987654</v>
      </c>
      <c r="G31" s="9">
        <f>Master!F32</f>
        <v>0.52</v>
      </c>
      <c r="H31" s="23">
        <f t="shared" si="3"/>
        <v>33699.169411764706</v>
      </c>
      <c r="I31" s="8">
        <f>IFERROR(((Master!AH32*3600*24)*((Master!T32/100)/Master!M33)),0)</f>
        <v>378.64235294117645</v>
      </c>
      <c r="J31" s="8">
        <f>Master!T32</f>
        <v>97</v>
      </c>
      <c r="K31" s="8">
        <f ca="1">D31*Validation!$M$8/1800/IF(Validation!$N$8="",(IF(OR(NOT(ISNUMBER(J31)),J31=0),1,J31%)),Validation!$N$8)</f>
        <v>23.823529411764707</v>
      </c>
      <c r="L31" s="8">
        <f>Master!AA32</f>
        <v>19</v>
      </c>
      <c r="M31" s="8">
        <f t="shared" ca="1" si="0"/>
        <v>-4.8235294117647065</v>
      </c>
      <c r="N31" s="19" t="str">
        <f t="shared" ca="1" si="1"/>
        <v>Achived</v>
      </c>
      <c r="O31" s="23">
        <f t="shared" ca="1" si="4"/>
        <v>89</v>
      </c>
      <c r="P31" s="39" t="str">
        <f>T3</f>
        <v>N</v>
      </c>
      <c r="Q31" s="39">
        <f t="shared" si="5"/>
        <v>0.40209967320261436</v>
      </c>
    </row>
    <row r="32" spans="1:28" ht="22.5" thickTop="1" thickBot="1" x14ac:dyDescent="0.4">
      <c r="A32" s="40" t="str">
        <f>R3</f>
        <v>ICC</v>
      </c>
      <c r="B32" s="40">
        <f ca="1">Master!$AX$1</f>
        <v>45965</v>
      </c>
      <c r="C32" s="6">
        <v>0.625</v>
      </c>
      <c r="D32" s="7">
        <f ca="1">Master!AO33</f>
        <v>77</v>
      </c>
      <c r="E32" s="8">
        <f>Master!M33</f>
        <v>85</v>
      </c>
      <c r="F32" s="9">
        <f t="shared" ca="1" si="2"/>
        <v>1.1038961038961039</v>
      </c>
      <c r="G32" s="9">
        <f>Master!F33</f>
        <v>0.73</v>
      </c>
      <c r="H32" s="23">
        <f t="shared" si="3"/>
        <v>37886.780487804877</v>
      </c>
      <c r="I32" s="8">
        <f>IFERROR(((Master!AH33*3600*24)*((Master!T33/100)/Master!M34)),0)</f>
        <v>445.7268292682927</v>
      </c>
      <c r="J32" s="8">
        <f>Master!T33</f>
        <v>97</v>
      </c>
      <c r="K32" s="8">
        <f ca="1">D32*Validation!$M$8/1800/IF(Validation!$N$8="",(IF(OR(NOT(ISNUMBER(J32)),J32=0),1,J32%)),Validation!$N$8)</f>
        <v>22.647058823529413</v>
      </c>
      <c r="L32" s="8">
        <f>Master!AA33</f>
        <v>22</v>
      </c>
      <c r="M32" s="8">
        <f t="shared" ca="1" si="0"/>
        <v>-0.64705882352941302</v>
      </c>
      <c r="N32" s="19" t="str">
        <f t="shared" ca="1" si="1"/>
        <v>Achived</v>
      </c>
      <c r="O32" s="23">
        <f t="shared" ca="1" si="4"/>
        <v>84.7</v>
      </c>
      <c r="P32" s="39" t="str">
        <f>T3</f>
        <v>N</v>
      </c>
      <c r="Q32" s="39">
        <f t="shared" si="5"/>
        <v>0.45206639566395662</v>
      </c>
      <c r="V32" s="30"/>
    </row>
    <row r="33" spans="1:19" ht="22.5" thickTop="1" thickBot="1" x14ac:dyDescent="0.4">
      <c r="A33" s="40" t="str">
        <f>R3</f>
        <v>ICC</v>
      </c>
      <c r="B33" s="40">
        <f ca="1">Master!$AX$1</f>
        <v>45965</v>
      </c>
      <c r="C33" s="6">
        <v>0.64583333333333304</v>
      </c>
      <c r="D33" s="7">
        <f ca="1">Master!AO34</f>
        <v>73</v>
      </c>
      <c r="E33" s="8">
        <f>Master!M34</f>
        <v>82</v>
      </c>
      <c r="F33" s="9">
        <f t="shared" ca="1" si="2"/>
        <v>1.1232876712328768</v>
      </c>
      <c r="G33" s="9">
        <f>Master!F34</f>
        <v>0.48</v>
      </c>
      <c r="H33" s="23">
        <f t="shared" si="3"/>
        <v>31620.725581395345</v>
      </c>
      <c r="I33" s="8">
        <f>IFERROR(((Master!AH34*3600*24)*((Master!T34/100)/Master!M35)),0)</f>
        <v>385.61860465116274</v>
      </c>
      <c r="J33" s="8">
        <f>Master!T34</f>
        <v>98</v>
      </c>
      <c r="K33" s="8">
        <f ca="1">D33*Validation!$M$8/1800/IF(Validation!$N$8="",(IF(OR(NOT(ISNUMBER(J33)),J33=0),1,J33%)),Validation!$N$8)</f>
        <v>21.47058823529412</v>
      </c>
      <c r="L33" s="8">
        <f>Master!AA34</f>
        <v>18</v>
      </c>
      <c r="M33" s="8">
        <f t="shared" ca="1" si="0"/>
        <v>-3.4705882352941195</v>
      </c>
      <c r="N33" s="19" t="str">
        <f t="shared" ca="1" si="1"/>
        <v>Achived</v>
      </c>
      <c r="O33" s="23">
        <f t="shared" ca="1" si="4"/>
        <v>80.300000000000011</v>
      </c>
      <c r="P33" s="39" t="str">
        <f>T3</f>
        <v>N</v>
      </c>
      <c r="Q33" s="39">
        <f t="shared" si="5"/>
        <v>0.37344961240310071</v>
      </c>
    </row>
    <row r="34" spans="1:19" ht="22.5" thickTop="1" thickBot="1" x14ac:dyDescent="0.4">
      <c r="A34" s="40" t="str">
        <f>R3</f>
        <v>ICC</v>
      </c>
      <c r="B34" s="40">
        <f ca="1">Master!$AX$1</f>
        <v>45965</v>
      </c>
      <c r="C34" s="6">
        <v>0.66666666666666696</v>
      </c>
      <c r="D34" s="7">
        <f ca="1">Master!AO35</f>
        <v>80</v>
      </c>
      <c r="E34" s="8">
        <f>Master!M35</f>
        <v>86</v>
      </c>
      <c r="F34" s="9">
        <f t="shared" ca="1" si="2"/>
        <v>1.075</v>
      </c>
      <c r="G34" s="9">
        <f>Master!F35</f>
        <v>0.31</v>
      </c>
      <c r="H34" s="23">
        <f t="shared" si="3"/>
        <v>0</v>
      </c>
      <c r="I34" s="8">
        <f>IFERROR(((Master!AH35*3600*24)*((Master!T35/100)/Master!M36)),0)</f>
        <v>0</v>
      </c>
      <c r="J34" s="8">
        <f>Master!T35</f>
        <v>98</v>
      </c>
      <c r="K34" s="8">
        <f ca="1">D34*Validation!$M$8/1800/IF(Validation!$N$8="",(IF(OR(NOT(ISNUMBER(J34)),J34=0),1,J34%)),Validation!$N$8)</f>
        <v>23.529411764705884</v>
      </c>
      <c r="L34" s="8">
        <f>Master!AA35</f>
        <v>23</v>
      </c>
      <c r="M34" s="8">
        <f t="shared" ca="1" si="0"/>
        <v>-0.52941176470588402</v>
      </c>
      <c r="N34" s="19" t="str">
        <f t="shared" ca="1" si="1"/>
        <v>Achived</v>
      </c>
      <c r="O34" s="23">
        <f t="shared" ca="1" si="4"/>
        <v>86</v>
      </c>
      <c r="P34" s="39" t="str">
        <f>T3</f>
        <v>N</v>
      </c>
      <c r="Q34" s="39">
        <f t="shared" si="5"/>
        <v>0</v>
      </c>
    </row>
    <row r="35" spans="1:19" ht="22.5" thickTop="1" thickBot="1" x14ac:dyDescent="0.4">
      <c r="A35" s="40" t="str">
        <f>R3</f>
        <v>ICC</v>
      </c>
      <c r="B35" s="40">
        <f ca="1">Master!$AX$1</f>
        <v>45965</v>
      </c>
      <c r="C35" s="6">
        <v>0.6875</v>
      </c>
      <c r="D35" s="7">
        <f ca="1">Master!AO36</f>
        <v>86</v>
      </c>
      <c r="E35" s="8">
        <f>Master!M36</f>
        <v>0</v>
      </c>
      <c r="F35" s="9" t="str">
        <f t="shared" si="2"/>
        <v/>
      </c>
      <c r="G35" s="9">
        <f>Master!F36</f>
        <v>0</v>
      </c>
      <c r="H35" s="23">
        <f t="shared" si="3"/>
        <v>0</v>
      </c>
      <c r="I35" s="8">
        <f>IFERROR(((Master!AH36*3600*24)*((Master!T36/100)/Master!M37)),0)</f>
        <v>0</v>
      </c>
      <c r="J35" s="8">
        <f>Master!T36</f>
        <v>0</v>
      </c>
      <c r="K35" s="8">
        <f ca="1">D35*Validation!$M$8/1800/IF(Validation!$N$8="",(IF(OR(NOT(ISNUMBER(J35)),J35=0),1,J35%)),Validation!$N$8)</f>
        <v>25.294117647058822</v>
      </c>
      <c r="L35" s="8">
        <f>Master!AA36</f>
        <v>0</v>
      </c>
      <c r="M35" s="8" t="str">
        <f t="shared" si="0"/>
        <v>-</v>
      </c>
      <c r="N35" s="19" t="str">
        <f t="shared" si="1"/>
        <v/>
      </c>
      <c r="O35" s="23">
        <f t="shared" si="4"/>
        <v>0</v>
      </c>
      <c r="P35" s="39" t="str">
        <f>T3</f>
        <v>N</v>
      </c>
      <c r="Q35" s="39">
        <f t="shared" si="5"/>
        <v>0</v>
      </c>
    </row>
    <row r="36" spans="1:19" ht="22.5" thickTop="1" thickBot="1" x14ac:dyDescent="0.4">
      <c r="A36" s="40" t="str">
        <f>R3</f>
        <v>ICC</v>
      </c>
      <c r="B36" s="40">
        <f ca="1">Master!$AX$1</f>
        <v>45965</v>
      </c>
      <c r="C36" s="6">
        <v>0.70833333333333304</v>
      </c>
      <c r="D36" s="7">
        <f ca="1">Master!AO37</f>
        <v>89</v>
      </c>
      <c r="E36" s="8">
        <f>Master!M37</f>
        <v>0</v>
      </c>
      <c r="F36" s="9" t="str">
        <f t="shared" si="2"/>
        <v/>
      </c>
      <c r="G36" s="9">
        <f>Master!F37</f>
        <v>0</v>
      </c>
      <c r="H36" s="23">
        <f t="shared" si="3"/>
        <v>0</v>
      </c>
      <c r="I36" s="8">
        <f>IFERROR(((Master!AH37*3600*24)*((Master!T37/100)/Master!M38)),0)</f>
        <v>0</v>
      </c>
      <c r="J36" s="8">
        <f>Master!T37</f>
        <v>0</v>
      </c>
      <c r="K36" s="8">
        <f ca="1">D36*Validation!$M$8/1800/IF(Validation!$N$8="",(IF(OR(NOT(ISNUMBER(J36)),J36=0),1,J36%)),Validation!$N$8)</f>
        <v>26.176470588235293</v>
      </c>
      <c r="L36" s="8">
        <f>Master!AA37</f>
        <v>0</v>
      </c>
      <c r="M36" s="8" t="str">
        <f t="shared" si="0"/>
        <v>-</v>
      </c>
      <c r="N36" s="19" t="str">
        <f t="shared" si="1"/>
        <v/>
      </c>
      <c r="O36" s="23">
        <f t="shared" si="4"/>
        <v>0</v>
      </c>
      <c r="P36" s="39" t="str">
        <f>T3</f>
        <v>N</v>
      </c>
      <c r="Q36" s="39">
        <f t="shared" si="5"/>
        <v>0</v>
      </c>
    </row>
    <row r="37" spans="1:19" ht="22.5" thickTop="1" thickBot="1" x14ac:dyDescent="0.4">
      <c r="A37" s="40" t="str">
        <f>R3</f>
        <v>ICC</v>
      </c>
      <c r="B37" s="40">
        <f ca="1">Master!$AX$1</f>
        <v>45965</v>
      </c>
      <c r="C37" s="6">
        <v>0.72916666666666696</v>
      </c>
      <c r="D37" s="7">
        <f ca="1">Master!AO38</f>
        <v>97</v>
      </c>
      <c r="E37" s="8">
        <f>Master!M38</f>
        <v>0</v>
      </c>
      <c r="F37" s="9" t="str">
        <f t="shared" si="2"/>
        <v/>
      </c>
      <c r="G37" s="9">
        <f>Master!F38</f>
        <v>0</v>
      </c>
      <c r="H37" s="23">
        <f t="shared" si="3"/>
        <v>0</v>
      </c>
      <c r="I37" s="8">
        <f>IFERROR(((Master!AH38*3600*24)*((Master!T38/100)/Master!M39)),0)</f>
        <v>0</v>
      </c>
      <c r="J37" s="8">
        <f>Master!T38</f>
        <v>0</v>
      </c>
      <c r="K37" s="8">
        <f ca="1">D37*Validation!$M$8/1800/IF(Validation!$N$8="",(IF(OR(NOT(ISNUMBER(J37)),J37=0),1,J37%)),Validation!$N$8)</f>
        <v>28.529411764705884</v>
      </c>
      <c r="L37" s="8">
        <f>Master!AA38</f>
        <v>0</v>
      </c>
      <c r="M37" s="8" t="str">
        <f t="shared" si="0"/>
        <v>-</v>
      </c>
      <c r="N37" s="19" t="str">
        <f t="shared" si="1"/>
        <v/>
      </c>
      <c r="O37" s="23">
        <f t="shared" si="4"/>
        <v>0</v>
      </c>
      <c r="P37" s="39" t="str">
        <f>T3</f>
        <v>N</v>
      </c>
      <c r="Q37" s="39">
        <f t="shared" si="5"/>
        <v>0</v>
      </c>
      <c r="S37" s="35"/>
    </row>
    <row r="38" spans="1:19" ht="22.5" thickTop="1" thickBot="1" x14ac:dyDescent="0.4">
      <c r="A38" s="40" t="str">
        <f>R3</f>
        <v>ICC</v>
      </c>
      <c r="B38" s="40">
        <f ca="1">Master!$AX$1</f>
        <v>45965</v>
      </c>
      <c r="C38" s="6">
        <v>0.75</v>
      </c>
      <c r="D38" s="7">
        <f ca="1">Master!AO39</f>
        <v>99</v>
      </c>
      <c r="E38" s="8">
        <f>Master!M39</f>
        <v>0</v>
      </c>
      <c r="F38" s="9" t="str">
        <f t="shared" si="2"/>
        <v/>
      </c>
      <c r="G38" s="9">
        <f>Master!F39</f>
        <v>0</v>
      </c>
      <c r="H38" s="23">
        <f t="shared" si="3"/>
        <v>0</v>
      </c>
      <c r="I38" s="8">
        <f>IFERROR(((Master!AH39*3600*24)*((Master!T39/100)/Master!M40)),0)</f>
        <v>0</v>
      </c>
      <c r="J38" s="8">
        <f>Master!T39</f>
        <v>0</v>
      </c>
      <c r="K38" s="8">
        <f ca="1">D38*Validation!$M$8/1800/IF(Validation!$N$8="",(IF(OR(NOT(ISNUMBER(J38)),J38=0),1,J38%)),Validation!$N$8)</f>
        <v>29.117647058823529</v>
      </c>
      <c r="L38" s="8">
        <f>Master!AA39</f>
        <v>0</v>
      </c>
      <c r="M38" s="8" t="str">
        <f t="shared" si="0"/>
        <v>-</v>
      </c>
      <c r="N38" s="19" t="str">
        <f t="shared" si="1"/>
        <v/>
      </c>
      <c r="O38" s="23">
        <f t="shared" si="4"/>
        <v>0</v>
      </c>
      <c r="P38" s="39" t="str">
        <f>T3</f>
        <v>N</v>
      </c>
      <c r="Q38" s="39">
        <f t="shared" si="5"/>
        <v>0</v>
      </c>
    </row>
    <row r="39" spans="1:19" ht="22.5" thickTop="1" thickBot="1" x14ac:dyDescent="0.4">
      <c r="A39" s="40" t="str">
        <f>R3</f>
        <v>ICC</v>
      </c>
      <c r="B39" s="40">
        <f ca="1">Master!$AX$1</f>
        <v>45965</v>
      </c>
      <c r="C39" s="6">
        <v>0.77083333333333304</v>
      </c>
      <c r="D39" s="7">
        <f ca="1">Master!AO40</f>
        <v>100</v>
      </c>
      <c r="E39" s="8">
        <f>Master!M40</f>
        <v>0</v>
      </c>
      <c r="F39" s="9" t="str">
        <f t="shared" si="2"/>
        <v/>
      </c>
      <c r="G39" s="9">
        <f>Master!F40</f>
        <v>0</v>
      </c>
      <c r="H39" s="23">
        <f t="shared" si="3"/>
        <v>0</v>
      </c>
      <c r="I39" s="8">
        <f>IFERROR(((Master!AH40*3600*24)*((Master!T40/100)/Master!M41)),0)</f>
        <v>0</v>
      </c>
      <c r="J39" s="8">
        <f>Master!T40</f>
        <v>0</v>
      </c>
      <c r="K39" s="8">
        <f ca="1">D39*Validation!$M$8/1800/IF(Validation!$N$8="",(IF(OR(NOT(ISNUMBER(J39)),J39=0),1,J39%)),Validation!$N$8)</f>
        <v>29.411764705882355</v>
      </c>
      <c r="L39" s="8">
        <f>Master!AA40</f>
        <v>0</v>
      </c>
      <c r="M39" s="8" t="str">
        <f t="shared" si="0"/>
        <v>-</v>
      </c>
      <c r="N39" s="19" t="str">
        <f t="shared" si="1"/>
        <v/>
      </c>
      <c r="O39" s="23">
        <f t="shared" si="4"/>
        <v>0</v>
      </c>
      <c r="P39" s="39" t="str">
        <f>T3</f>
        <v>N</v>
      </c>
      <c r="Q39" s="39">
        <f t="shared" si="5"/>
        <v>0</v>
      </c>
    </row>
    <row r="40" spans="1:19" ht="22.5" thickTop="1" thickBot="1" x14ac:dyDescent="0.4">
      <c r="A40" s="40" t="str">
        <f>R3</f>
        <v>ICC</v>
      </c>
      <c r="B40" s="40">
        <f ca="1">Master!$AX$1</f>
        <v>45965</v>
      </c>
      <c r="C40" s="6">
        <v>0.79166666666666696</v>
      </c>
      <c r="D40" s="7">
        <f ca="1">Master!AO41</f>
        <v>100</v>
      </c>
      <c r="E40" s="8">
        <f>Master!M41</f>
        <v>0</v>
      </c>
      <c r="F40" s="9" t="str">
        <f t="shared" si="2"/>
        <v/>
      </c>
      <c r="G40" s="9">
        <f>Master!F41</f>
        <v>0</v>
      </c>
      <c r="H40" s="23">
        <f t="shared" si="3"/>
        <v>0</v>
      </c>
      <c r="I40" s="8">
        <f>IFERROR(((Master!AH41*3600*24)*((Master!T41/100)/Master!M42)),0)</f>
        <v>0</v>
      </c>
      <c r="J40" s="8">
        <f>Master!T41</f>
        <v>0</v>
      </c>
      <c r="K40" s="8">
        <f ca="1">D40*Validation!$M$8/1800/IF(Validation!$N$8="",(IF(OR(NOT(ISNUMBER(J40)),J40=0),1,J40%)),Validation!$N$8)</f>
        <v>29.411764705882355</v>
      </c>
      <c r="L40" s="8">
        <f>Master!AA41</f>
        <v>0</v>
      </c>
      <c r="M40" s="8" t="str">
        <f t="shared" si="0"/>
        <v>-</v>
      </c>
      <c r="N40" s="19" t="str">
        <f t="shared" si="1"/>
        <v/>
      </c>
      <c r="O40" s="23">
        <f t="shared" si="4"/>
        <v>0</v>
      </c>
      <c r="P40" s="39" t="str">
        <f>T3</f>
        <v>N</v>
      </c>
      <c r="Q40" s="39">
        <f t="shared" si="5"/>
        <v>0</v>
      </c>
    </row>
    <row r="41" spans="1:19" ht="22.5" thickTop="1" thickBot="1" x14ac:dyDescent="0.4">
      <c r="A41" s="40" t="str">
        <f>R3</f>
        <v>ICC</v>
      </c>
      <c r="B41" s="40">
        <f ca="1">Master!$AX$1</f>
        <v>45965</v>
      </c>
      <c r="C41" s="6">
        <v>0.8125</v>
      </c>
      <c r="D41" s="7">
        <f ca="1">Master!AO42</f>
        <v>110</v>
      </c>
      <c r="E41" s="8">
        <f>Master!M42</f>
        <v>0</v>
      </c>
      <c r="F41" s="9" t="str">
        <f t="shared" si="2"/>
        <v/>
      </c>
      <c r="G41" s="9">
        <f>Master!F42</f>
        <v>0</v>
      </c>
      <c r="H41" s="23">
        <f t="shared" si="3"/>
        <v>0</v>
      </c>
      <c r="I41" s="8">
        <f>IFERROR(((Master!AH42*3600*24)*((Master!T42/100)/Master!M43)),0)</f>
        <v>0</v>
      </c>
      <c r="J41" s="8">
        <f>Master!T42</f>
        <v>0</v>
      </c>
      <c r="K41" s="8">
        <f ca="1">D41*Validation!$M$8/1800/IF(Validation!$N$8="",(IF(OR(NOT(ISNUMBER(J41)),J41=0),1,J41%)),Validation!$N$8)</f>
        <v>32.352941176470587</v>
      </c>
      <c r="L41" s="8">
        <f>Master!AA42</f>
        <v>0</v>
      </c>
      <c r="M41" s="8" t="str">
        <f t="shared" si="0"/>
        <v>-</v>
      </c>
      <c r="N41" s="19" t="str">
        <f t="shared" si="1"/>
        <v/>
      </c>
      <c r="O41" s="23">
        <f t="shared" si="4"/>
        <v>0</v>
      </c>
      <c r="P41" s="39" t="str">
        <f>T3</f>
        <v>N</v>
      </c>
      <c r="Q41" s="39">
        <f t="shared" si="5"/>
        <v>0</v>
      </c>
    </row>
    <row r="42" spans="1:19" ht="22.5" thickTop="1" thickBot="1" x14ac:dyDescent="0.4">
      <c r="A42" s="40" t="str">
        <f>R3</f>
        <v>ICC</v>
      </c>
      <c r="B42" s="40">
        <f ca="1">Master!$AX$1</f>
        <v>45965</v>
      </c>
      <c r="C42" s="6">
        <v>0.83333333333333337</v>
      </c>
      <c r="D42" s="7">
        <f ca="1">Master!AO43</f>
        <v>110</v>
      </c>
      <c r="E42" s="8">
        <f>Master!M43</f>
        <v>0</v>
      </c>
      <c r="F42" s="9" t="str">
        <f t="shared" si="2"/>
        <v/>
      </c>
      <c r="G42" s="9">
        <f>Master!F43</f>
        <v>0</v>
      </c>
      <c r="H42" s="23">
        <f t="shared" si="3"/>
        <v>0</v>
      </c>
      <c r="I42" s="8">
        <f>IFERROR(((Master!AH43*3600*24)*((Master!T43/100)/Master!M44)),0)</f>
        <v>0</v>
      </c>
      <c r="J42" s="8">
        <f>Master!T43</f>
        <v>0</v>
      </c>
      <c r="K42" s="8">
        <f ca="1">D42*Validation!$M$8/1800/IF(Validation!$N$8="",(IF(OR(NOT(ISNUMBER(J42)),J42=0),1,J42%)),Validation!$N$8)</f>
        <v>32.352941176470587</v>
      </c>
      <c r="L42" s="8">
        <f>Master!AA43</f>
        <v>0</v>
      </c>
      <c r="M42" s="8" t="str">
        <f t="shared" si="0"/>
        <v>-</v>
      </c>
      <c r="N42" s="19" t="str">
        <f t="shared" si="1"/>
        <v/>
      </c>
      <c r="O42" s="23">
        <f t="shared" si="4"/>
        <v>0</v>
      </c>
      <c r="P42" s="39" t="str">
        <f>T3</f>
        <v>N</v>
      </c>
      <c r="Q42" s="39">
        <f t="shared" si="5"/>
        <v>0</v>
      </c>
    </row>
    <row r="43" spans="1:19" ht="22.5" thickTop="1" thickBot="1" x14ac:dyDescent="0.4">
      <c r="A43" s="40" t="str">
        <f>R3</f>
        <v>ICC</v>
      </c>
      <c r="B43" s="40">
        <f ca="1">Master!$AX$1</f>
        <v>45965</v>
      </c>
      <c r="C43" s="6">
        <v>0.85416666666666696</v>
      </c>
      <c r="D43" s="7">
        <f ca="1">Master!AO44</f>
        <v>105</v>
      </c>
      <c r="E43" s="8">
        <f>Master!M44</f>
        <v>0</v>
      </c>
      <c r="F43" s="9" t="str">
        <f t="shared" si="2"/>
        <v/>
      </c>
      <c r="G43" s="9">
        <f>Master!F44</f>
        <v>0</v>
      </c>
      <c r="H43" s="23">
        <f t="shared" si="3"/>
        <v>0</v>
      </c>
      <c r="I43" s="8">
        <f>IFERROR(((Master!AH44*3600*24)*((Master!T44/100)/Master!M45)),0)</f>
        <v>0</v>
      </c>
      <c r="J43" s="8">
        <f>Master!T44</f>
        <v>0</v>
      </c>
      <c r="K43" s="8">
        <f ca="1">D43*Validation!$M$8/1800/IF(Validation!$N$8="",(IF(OR(NOT(ISNUMBER(J43)),J43=0),1,J43%)),Validation!$N$8)</f>
        <v>30.882352941176471</v>
      </c>
      <c r="L43" s="8">
        <f>Master!AA44</f>
        <v>0</v>
      </c>
      <c r="M43" s="8" t="str">
        <f t="shared" si="0"/>
        <v>-</v>
      </c>
      <c r="N43" s="19" t="str">
        <f t="shared" si="1"/>
        <v/>
      </c>
      <c r="O43" s="23">
        <f t="shared" si="4"/>
        <v>0</v>
      </c>
      <c r="P43" s="39" t="str">
        <f>T3</f>
        <v>N</v>
      </c>
      <c r="Q43" s="39">
        <f t="shared" si="5"/>
        <v>0</v>
      </c>
    </row>
    <row r="44" spans="1:19" ht="22.5" thickTop="1" thickBot="1" x14ac:dyDescent="0.4">
      <c r="A44" s="40" t="str">
        <f>R3</f>
        <v>ICC</v>
      </c>
      <c r="B44" s="40">
        <f ca="1">Master!$AX$1</f>
        <v>45965</v>
      </c>
      <c r="C44" s="6">
        <v>0.875</v>
      </c>
      <c r="D44" s="7">
        <f ca="1">Master!AO45</f>
        <v>104</v>
      </c>
      <c r="E44" s="8">
        <f>Master!M45</f>
        <v>0</v>
      </c>
      <c r="F44" s="9" t="str">
        <f t="shared" si="2"/>
        <v/>
      </c>
      <c r="G44" s="9">
        <f>Master!F45</f>
        <v>0</v>
      </c>
      <c r="H44" s="23">
        <f t="shared" si="3"/>
        <v>0</v>
      </c>
      <c r="I44" s="8">
        <f>IFERROR(((Master!AH45*3600*24)*((Master!T45/100)/Master!M46)),0)</f>
        <v>0</v>
      </c>
      <c r="J44" s="8">
        <f>Master!T45</f>
        <v>0</v>
      </c>
      <c r="K44" s="8">
        <f ca="1">D44*Validation!$M$8/1800/IF(Validation!$N$8="",(IF(OR(NOT(ISNUMBER(J44)),J44=0),1,J44%)),Validation!$N$8)</f>
        <v>30.588235294117649</v>
      </c>
      <c r="L44" s="8">
        <f>Master!AA45</f>
        <v>0</v>
      </c>
      <c r="M44" s="8" t="str">
        <f t="shared" si="0"/>
        <v>-</v>
      </c>
      <c r="N44" s="19" t="str">
        <f t="shared" si="1"/>
        <v/>
      </c>
      <c r="O44" s="23">
        <f t="shared" si="4"/>
        <v>0</v>
      </c>
      <c r="P44" s="39" t="str">
        <f>T3</f>
        <v>N</v>
      </c>
      <c r="Q44" s="39">
        <f t="shared" si="5"/>
        <v>0</v>
      </c>
    </row>
    <row r="45" spans="1:19" ht="22.5" thickTop="1" thickBot="1" x14ac:dyDescent="0.4">
      <c r="A45" s="40" t="str">
        <f>R3</f>
        <v>ICC</v>
      </c>
      <c r="B45" s="40">
        <f ca="1">Master!$AX$1</f>
        <v>45965</v>
      </c>
      <c r="C45" s="6">
        <v>0.89583333333333304</v>
      </c>
      <c r="D45" s="7">
        <f ca="1">Master!AO46</f>
        <v>100</v>
      </c>
      <c r="E45" s="8">
        <f>Master!M46</f>
        <v>0</v>
      </c>
      <c r="F45" s="9" t="str">
        <f t="shared" si="2"/>
        <v/>
      </c>
      <c r="G45" s="9">
        <f>Master!F46</f>
        <v>0</v>
      </c>
      <c r="H45" s="23">
        <f t="shared" si="3"/>
        <v>0</v>
      </c>
      <c r="I45" s="8">
        <f>IFERROR(((Master!AH46*3600*24)*((Master!T46/100)/Master!M47)),0)</f>
        <v>0</v>
      </c>
      <c r="J45" s="8">
        <f>Master!T46</f>
        <v>0</v>
      </c>
      <c r="K45" s="8">
        <f ca="1">D45*Validation!$M$8/1800/IF(Validation!$N$8="",(IF(OR(NOT(ISNUMBER(J45)),J45=0),1,J45%)),Validation!$N$8)</f>
        <v>29.411764705882355</v>
      </c>
      <c r="L45" s="8">
        <f>Master!AA46</f>
        <v>0</v>
      </c>
      <c r="M45" s="8" t="str">
        <f t="shared" si="0"/>
        <v>-</v>
      </c>
      <c r="N45" s="19" t="str">
        <f t="shared" si="1"/>
        <v/>
      </c>
      <c r="O45" s="23">
        <f t="shared" si="4"/>
        <v>0</v>
      </c>
      <c r="P45" s="39" t="str">
        <f>T3</f>
        <v>N</v>
      </c>
      <c r="Q45" s="39">
        <f t="shared" si="5"/>
        <v>0</v>
      </c>
    </row>
    <row r="46" spans="1:19" ht="22.5" thickTop="1" thickBot="1" x14ac:dyDescent="0.4">
      <c r="A46" s="40" t="str">
        <f>R3</f>
        <v>ICC</v>
      </c>
      <c r="B46" s="40">
        <f ca="1">Master!$AX$1</f>
        <v>45965</v>
      </c>
      <c r="C46" s="6">
        <v>0.91666666666666696</v>
      </c>
      <c r="D46" s="7">
        <f ca="1">Master!AO47</f>
        <v>100</v>
      </c>
      <c r="E46" s="8">
        <f>Master!M47</f>
        <v>0</v>
      </c>
      <c r="F46" s="9" t="str">
        <f t="shared" si="2"/>
        <v/>
      </c>
      <c r="G46" s="9">
        <f>Master!F47</f>
        <v>0</v>
      </c>
      <c r="H46" s="23">
        <f t="shared" si="3"/>
        <v>0</v>
      </c>
      <c r="I46" s="8">
        <f>IFERROR(((Master!AH47*3600*24)*((Master!T47/100)/Master!M48)),0)</f>
        <v>0</v>
      </c>
      <c r="J46" s="8">
        <f>Master!T47</f>
        <v>0</v>
      </c>
      <c r="K46" s="8">
        <f ca="1">D46*Validation!$M$8/1800/IF(Validation!$N$8="",(IF(OR(NOT(ISNUMBER(J46)),J46=0),1,J46%)),Validation!$N$8)</f>
        <v>29.411764705882355</v>
      </c>
      <c r="L46" s="8">
        <f>Master!AA47</f>
        <v>0</v>
      </c>
      <c r="M46" s="8" t="str">
        <f t="shared" si="0"/>
        <v>-</v>
      </c>
      <c r="N46" s="19" t="str">
        <f t="shared" si="1"/>
        <v/>
      </c>
      <c r="O46" s="23">
        <f t="shared" si="4"/>
        <v>0</v>
      </c>
      <c r="P46" s="39" t="str">
        <f>T3</f>
        <v>N</v>
      </c>
      <c r="Q46" s="39">
        <f t="shared" si="5"/>
        <v>0</v>
      </c>
    </row>
    <row r="47" spans="1:19" ht="22.5" thickTop="1" thickBot="1" x14ac:dyDescent="0.4">
      <c r="A47" s="40" t="str">
        <f>R3</f>
        <v>ICC</v>
      </c>
      <c r="B47" s="40">
        <f ca="1">Master!$AX$1</f>
        <v>45965</v>
      </c>
      <c r="C47" s="6">
        <v>0.9375</v>
      </c>
      <c r="D47" s="7">
        <f ca="1">Master!AO48</f>
        <v>90</v>
      </c>
      <c r="E47" s="8">
        <f>Master!M48</f>
        <v>0</v>
      </c>
      <c r="F47" s="9" t="str">
        <f t="shared" si="2"/>
        <v/>
      </c>
      <c r="G47" s="9">
        <f>Master!F48</f>
        <v>0</v>
      </c>
      <c r="H47" s="23">
        <f t="shared" si="3"/>
        <v>0</v>
      </c>
      <c r="I47" s="8">
        <f>IFERROR(((Master!AH48*3600*24)*((Master!T48/100)/Master!M49)),0)</f>
        <v>0</v>
      </c>
      <c r="J47" s="8">
        <f>Master!T48</f>
        <v>0</v>
      </c>
      <c r="K47" s="8">
        <f ca="1">D47*Validation!$M$8/1800/IF(Validation!$N$8="",(IF(OR(NOT(ISNUMBER(J47)),J47=0),1,J47%)),Validation!$N$8)</f>
        <v>26.47058823529412</v>
      </c>
      <c r="L47" s="8">
        <f>Master!AA48</f>
        <v>0</v>
      </c>
      <c r="M47" s="8" t="str">
        <f t="shared" si="0"/>
        <v>-</v>
      </c>
      <c r="N47" s="19" t="str">
        <f t="shared" si="1"/>
        <v/>
      </c>
      <c r="O47" s="23">
        <f t="shared" si="4"/>
        <v>0</v>
      </c>
      <c r="P47" s="39" t="str">
        <f>T3</f>
        <v>N</v>
      </c>
      <c r="Q47" s="39">
        <f t="shared" si="5"/>
        <v>0</v>
      </c>
    </row>
    <row r="48" spans="1:19" ht="22.5" thickTop="1" thickBot="1" x14ac:dyDescent="0.4">
      <c r="A48" s="40" t="str">
        <f>R3</f>
        <v>ICC</v>
      </c>
      <c r="B48" s="40">
        <f ca="1">Master!$AX$1</f>
        <v>45965</v>
      </c>
      <c r="C48" s="6">
        <v>0.95833333333333304</v>
      </c>
      <c r="D48" s="7">
        <f ca="1">Master!AO49</f>
        <v>78</v>
      </c>
      <c r="E48" s="8">
        <f>Master!M49</f>
        <v>0</v>
      </c>
      <c r="F48" s="9" t="str">
        <f t="shared" si="2"/>
        <v/>
      </c>
      <c r="G48" s="9">
        <f>Master!F49</f>
        <v>0</v>
      </c>
      <c r="H48" s="23">
        <f t="shared" si="3"/>
        <v>0</v>
      </c>
      <c r="I48" s="8">
        <f>IFERROR(((Master!AH49*3600*24)*((Master!T49/100)/Master!M50)),0)</f>
        <v>0</v>
      </c>
      <c r="J48" s="8">
        <f>Master!T49</f>
        <v>0</v>
      </c>
      <c r="K48" s="8">
        <f ca="1">D48*Validation!$M$8/1800/IF(Validation!$N$8="",(IF(OR(NOT(ISNUMBER(J48)),J48=0),1,J48%)),Validation!$N$8)</f>
        <v>22.941176470588236</v>
      </c>
      <c r="L48" s="8">
        <f>Master!AA49</f>
        <v>0</v>
      </c>
      <c r="M48" s="8" t="str">
        <f t="shared" si="0"/>
        <v>-</v>
      </c>
      <c r="N48" s="19" t="str">
        <f t="shared" si="1"/>
        <v/>
      </c>
      <c r="O48" s="23">
        <f t="shared" si="4"/>
        <v>0</v>
      </c>
      <c r="P48" s="39" t="str">
        <f>T3</f>
        <v>N</v>
      </c>
      <c r="Q48" s="39">
        <f t="shared" si="5"/>
        <v>0</v>
      </c>
    </row>
    <row r="49" spans="1:17" ht="22.5" thickTop="1" thickBot="1" x14ac:dyDescent="0.4">
      <c r="A49" s="40" t="str">
        <f>R3</f>
        <v>ICC</v>
      </c>
      <c r="B49" s="40">
        <f ca="1">Master!$AX$1</f>
        <v>45965</v>
      </c>
      <c r="C49" s="6">
        <v>0.97916666666666696</v>
      </c>
      <c r="D49" s="7">
        <f ca="1">Master!AO50</f>
        <v>66</v>
      </c>
      <c r="E49" s="8">
        <f>Master!M50</f>
        <v>0</v>
      </c>
      <c r="F49" s="9" t="str">
        <f t="shared" si="2"/>
        <v/>
      </c>
      <c r="G49" s="9">
        <f>Master!F50</f>
        <v>0</v>
      </c>
      <c r="H49" s="23">
        <f t="shared" si="3"/>
        <v>0</v>
      </c>
      <c r="I49" s="8">
        <f>IFERROR(((Master!AH50*3600*24)*((Master!T50/100)/Master!M51)),0)</f>
        <v>0</v>
      </c>
      <c r="J49" s="8">
        <f>Master!T50</f>
        <v>0</v>
      </c>
      <c r="K49" s="8">
        <f ca="1">D49*Validation!$M$8/1800/IF(Validation!$N$8="",(IF(OR(NOT(ISNUMBER(J49)),J49=0),1,J49%)),Validation!$N$8)</f>
        <v>19.411764705882355</v>
      </c>
      <c r="L49" s="8">
        <f>Master!AA50</f>
        <v>0</v>
      </c>
      <c r="M49" s="8" t="str">
        <f t="shared" si="0"/>
        <v>-</v>
      </c>
      <c r="N49" s="19" t="str">
        <f t="shared" si="1"/>
        <v/>
      </c>
      <c r="O49" s="23">
        <f t="shared" si="4"/>
        <v>0</v>
      </c>
      <c r="P49" s="39" t="str">
        <f>T3</f>
        <v>N</v>
      </c>
      <c r="Q49" s="39">
        <f t="shared" si="5"/>
        <v>0</v>
      </c>
    </row>
    <row r="50" spans="1:17" ht="22.5" thickTop="1" thickBot="1" x14ac:dyDescent="0.4">
      <c r="A50" s="40" t="str">
        <f>R3</f>
        <v>ICC</v>
      </c>
      <c r="B50" s="40">
        <f ca="1">Master!$AX$1</f>
        <v>45965</v>
      </c>
      <c r="C50" s="6" t="s">
        <v>15</v>
      </c>
      <c r="D50" s="7">
        <f ca="1">SUMIF(E2:E49,"&gt;0",D2:D49)</f>
        <v>1133</v>
      </c>
      <c r="E50" s="8">
        <f>SUM(E2:E49)</f>
        <v>1221</v>
      </c>
      <c r="F50" s="9">
        <f ca="1">IF(T3="n",E50/D50,O50/D50)</f>
        <v>1.0776699029126213</v>
      </c>
      <c r="G50" s="8"/>
      <c r="H50" s="19">
        <f>SUM(H2:H49)</f>
        <v>494259.10329211387</v>
      </c>
      <c r="I50" s="8">
        <f>H50/E50</f>
        <v>404.79861039485166</v>
      </c>
      <c r="J50" s="8"/>
      <c r="K50" s="8"/>
      <c r="L50" s="8"/>
      <c r="M50" s="8"/>
      <c r="N50" s="19">
        <f ca="1">COUNTIF(N2:N49,"LOST")</f>
        <v>1</v>
      </c>
      <c r="O50" s="23">
        <f ca="1">SUM(O2:O49)</f>
        <v>1185.1000000000001</v>
      </c>
      <c r="P50" s="39" t="str">
        <f>T3</f>
        <v>N</v>
      </c>
      <c r="Q50" s="39">
        <f t="shared" si="5"/>
        <v>0</v>
      </c>
    </row>
    <row r="51" spans="1:17" ht="21.75" thickTop="1" x14ac:dyDescent="0.35"/>
  </sheetData>
  <mergeCells count="4">
    <mergeCell ref="R2:S2"/>
    <mergeCell ref="R3:S4"/>
    <mergeCell ref="T2:U2"/>
    <mergeCell ref="T3:U4"/>
  </mergeCells>
  <conditionalFormatting sqref="A1:B1">
    <cfRule type="cellIs" dxfId="140" priority="11" operator="equal">
      <formula>"Lost"</formula>
    </cfRule>
  </conditionalFormatting>
  <conditionalFormatting sqref="A2:F50">
    <cfRule type="cellIs" dxfId="139" priority="9" operator="equal">
      <formula>"Lost"</formula>
    </cfRule>
  </conditionalFormatting>
  <conditionalFormatting sqref="C50">
    <cfRule type="cellIs" dxfId="138" priority="76" operator="equal">
      <formula>"Lost"</formula>
    </cfRule>
  </conditionalFormatting>
  <conditionalFormatting sqref="C1:G1">
    <cfRule type="cellIs" dxfId="137" priority="86" operator="equal">
      <formula>"Lost"</formula>
    </cfRule>
  </conditionalFormatting>
  <conditionalFormatting sqref="F2:F49">
    <cfRule type="cellIs" dxfId="136" priority="21" operator="greaterThan">
      <formula>0.9801</formula>
    </cfRule>
  </conditionalFormatting>
  <conditionalFormatting sqref="F2:F50">
    <cfRule type="cellIs" dxfId="135" priority="19" operator="greaterThan">
      <formula>0.981</formula>
    </cfRule>
    <cfRule type="cellIs" dxfId="134" priority="20" operator="lessThan">
      <formula>0.98</formula>
    </cfRule>
  </conditionalFormatting>
  <conditionalFormatting sqref="G1">
    <cfRule type="cellIs" dxfId="133" priority="84" operator="lessThan">
      <formula>0.75</formula>
    </cfRule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9">
    <cfRule type="cellIs" dxfId="132" priority="7" operator="greaterThan">
      <formula>0.8</formula>
    </cfRule>
    <cfRule type="cellIs" dxfId="131" priority="8" operator="lessThan">
      <formula>0.8</formula>
    </cfRule>
  </conditionalFormatting>
  <conditionalFormatting sqref="G50">
    <cfRule type="cellIs" dxfId="130" priority="59" operator="equal">
      <formula>"Lost"</formula>
    </cfRule>
  </conditionalFormatting>
  <conditionalFormatting sqref="H1:H50">
    <cfRule type="cellIs" dxfId="129" priority="34" operator="equal">
      <formula>"Lost"</formula>
    </cfRule>
  </conditionalFormatting>
  <conditionalFormatting sqref="H2:H50">
    <cfRule type="cellIs" dxfId="128" priority="33" operator="equal">
      <formula>"Achived"</formula>
    </cfRule>
  </conditionalFormatting>
  <conditionalFormatting sqref="I1:M50">
    <cfRule type="cellIs" dxfId="127" priority="50" operator="equal">
      <formula>"Lost"</formula>
    </cfRule>
  </conditionalFormatting>
  <conditionalFormatting sqref="I1:O1">
    <cfRule type="cellIs" dxfId="126" priority="18" operator="equal">
      <formula>"Lost"</formula>
    </cfRule>
  </conditionalFormatting>
  <conditionalFormatting sqref="M2:M49">
    <cfRule type="cellIs" dxfId="125" priority="47" operator="lessThan">
      <formula>0</formula>
    </cfRule>
    <cfRule type="cellIs" dxfId="124" priority="48" operator="equal">
      <formula>0</formula>
    </cfRule>
    <cfRule type="cellIs" dxfId="123" priority="49" operator="greaterThan">
      <formula>0</formula>
    </cfRule>
  </conditionalFormatting>
  <conditionalFormatting sqref="N2:N50">
    <cfRule type="cellIs" dxfId="122" priority="40" operator="equal">
      <formula>"Wait"</formula>
    </cfRule>
  </conditionalFormatting>
  <conditionalFormatting sqref="N2:O50">
    <cfRule type="cellIs" dxfId="121" priority="25" operator="equal">
      <formula>"Lost"</formula>
    </cfRule>
  </conditionalFormatting>
  <conditionalFormatting sqref="N2:Q50">
    <cfRule type="cellIs" dxfId="120" priority="2" operator="equal">
      <formula>"Achived"</formula>
    </cfRule>
  </conditionalFormatting>
  <conditionalFormatting sqref="P1:Q50">
    <cfRule type="cellIs" dxfId="119" priority="1" operator="equal">
      <formula>"Lost"</formula>
    </cfRule>
  </conditionalFormatting>
  <conditionalFormatting sqref="R2:R3">
    <cfRule type="cellIs" dxfId="118" priority="74" operator="equal">
      <formula>"-"</formula>
    </cfRule>
  </conditionalFormatting>
  <conditionalFormatting sqref="T2:T3">
    <cfRule type="cellIs" dxfId="117" priority="64" operator="equal">
      <formula>"-"</formula>
    </cfRule>
  </conditionalFormatting>
  <pageMargins left="0.7" right="0.7" top="0.75" bottom="0.75" header="0.3" footer="0.3"/>
  <pageSetup orientation="portrait" r:id="rId1"/>
  <headerFooter>
    <oddFooter>&amp;L_x000D_&amp;1#&amp;"Calibri"&amp;7&amp;K000000 C2 General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51"/>
  <sheetViews>
    <sheetView topLeftCell="C1" zoomScale="60" zoomScaleNormal="60" workbookViewId="0">
      <selection activeCell="W39" sqref="W39"/>
    </sheetView>
  </sheetViews>
  <sheetFormatPr defaultColWidth="9.140625" defaultRowHeight="21" x14ac:dyDescent="0.35"/>
  <cols>
    <col min="1" max="1" width="9.140625" style="3" hidden="1" customWidth="1"/>
    <col min="2" max="2" width="14" style="3" hidden="1" customWidth="1"/>
    <col min="3" max="3" width="11.5703125" style="3" bestFit="1" customWidth="1"/>
    <col min="4" max="4" width="6.5703125" style="3" bestFit="1" customWidth="1"/>
    <col min="5" max="5" width="13.28515625" style="3" bestFit="1" customWidth="1"/>
    <col min="6" max="6" width="12.28515625" style="3" bestFit="1" customWidth="1"/>
    <col min="7" max="7" width="12" style="3" bestFit="1" customWidth="1"/>
    <col min="8" max="8" width="12.140625" style="3" bestFit="1" customWidth="1"/>
    <col min="9" max="9" width="8.28515625" style="3" bestFit="1" customWidth="1"/>
    <col min="10" max="10" width="7" style="3" bestFit="1" customWidth="1"/>
    <col min="11" max="11" width="13.42578125" style="3" bestFit="1" customWidth="1"/>
    <col min="12" max="12" width="15.42578125" style="3" customWidth="1"/>
    <col min="13" max="13" width="5.5703125" style="3" bestFit="1" customWidth="1"/>
    <col min="14" max="14" width="11.85546875" style="3" bestFit="1" customWidth="1"/>
    <col min="15" max="15" width="13.42578125" style="3" bestFit="1" customWidth="1"/>
    <col min="16" max="16" width="9.140625" style="3" hidden="1" customWidth="1"/>
    <col min="17" max="17" width="12.140625" style="3" hidden="1" customWidth="1"/>
    <col min="18" max="22" width="9.140625" style="3"/>
    <col min="23" max="24" width="9.140625" style="3" customWidth="1"/>
    <col min="25" max="25" width="9.140625" style="3"/>
    <col min="26" max="26" width="8.85546875" customWidth="1"/>
    <col min="27" max="16384" width="9.140625" style="3"/>
  </cols>
  <sheetData>
    <row r="1" spans="1:17" ht="22.5" thickTop="1" thickBot="1" x14ac:dyDescent="0.4">
      <c r="A1" s="4" t="s">
        <v>38</v>
      </c>
      <c r="B1" s="4" t="s">
        <v>39</v>
      </c>
      <c r="C1" s="4" t="s">
        <v>0</v>
      </c>
      <c r="D1" s="5">
        <f ca="1">SUM(D18:D49)</f>
        <v>879</v>
      </c>
      <c r="E1" s="5" t="s">
        <v>1</v>
      </c>
      <c r="F1" s="5" t="s">
        <v>2</v>
      </c>
      <c r="G1" s="5" t="s">
        <v>3</v>
      </c>
      <c r="H1" s="5" t="s">
        <v>30</v>
      </c>
      <c r="I1" s="5" t="s">
        <v>21</v>
      </c>
      <c r="J1" s="5" t="s">
        <v>19</v>
      </c>
      <c r="K1" s="5" t="s">
        <v>26</v>
      </c>
      <c r="L1" s="5" t="s">
        <v>4</v>
      </c>
      <c r="M1" s="5" t="s">
        <v>27</v>
      </c>
      <c r="N1" s="5" t="s">
        <v>5</v>
      </c>
      <c r="O1" s="5" t="s">
        <v>22</v>
      </c>
      <c r="P1" s="5" t="s">
        <v>24</v>
      </c>
      <c r="Q1" s="38" t="s">
        <v>20</v>
      </c>
    </row>
    <row r="2" spans="1:17" ht="22.5" hidden="1" thickTop="1" thickBot="1" x14ac:dyDescent="0.4">
      <c r="A2" s="40" t="str">
        <f>R19</f>
        <v>CM</v>
      </c>
      <c r="B2" s="40">
        <f ca="1">Master!$AX$1</f>
        <v>45965</v>
      </c>
      <c r="C2" s="6">
        <v>0.99999999999998801</v>
      </c>
      <c r="D2" s="7">
        <f ca="1">Master!AP3</f>
        <v>0</v>
      </c>
      <c r="E2" s="8" t="str">
        <f>Master!N3</f>
        <v>-</v>
      </c>
      <c r="F2" s="9" t="str">
        <f>IFERROR(IF(OR(E2="-",E2=0),"",E2/D2),0)</f>
        <v/>
      </c>
      <c r="G2" s="9" t="str">
        <f>Master!G3</f>
        <v>-</v>
      </c>
      <c r="H2" s="19">
        <f>IFERROR(E2*I2,0)</f>
        <v>0</v>
      </c>
      <c r="I2" s="8">
        <f>IFERROR(((Master!AI3*3600*24)*((Master!U3/100)/Master!N3)),0)</f>
        <v>0</v>
      </c>
      <c r="J2" s="8" t="str">
        <f>Master!U3</f>
        <v>-</v>
      </c>
      <c r="K2" s="8">
        <f ca="1">D2*Validation!$M$9/1800/IF(Validation!$N$9="",(IF(OR(NOT(ISNUMBER(J2)),J2=0),1,J2%)),Validation!$N$9)</f>
        <v>0</v>
      </c>
      <c r="L2" s="8" t="str">
        <f>Master!AB3</f>
        <v>-</v>
      </c>
      <c r="M2" s="8" t="str">
        <f t="shared" ref="M2:M49" si="0">IF(AND(ISNUMBER(L2),L2&gt;0),L2-K2,"-")</f>
        <v>-</v>
      </c>
      <c r="N2" s="19" t="str">
        <f>IF(OR(E2=0,E2="-"),"",IF(F2&gt;=98%,"Achived",IF(G2&gt;=75%,"Wait","Lost")))</f>
        <v/>
      </c>
      <c r="O2" s="23">
        <f ca="1">IF(E2=0,0,IF(N2="Wait",D2*0.9,IF($T$19="Y",E2,IF(AND(N2="achived",F2&lt;=1.1),E2,IF(F2&gt;=1.1,D2*1.1,IF(N2="Lost",E2,"ER"))))))</f>
        <v>0</v>
      </c>
      <c r="P2" s="39" t="str">
        <f>T19</f>
        <v>N</v>
      </c>
      <c r="Q2" s="39">
        <f>IFERROR((I2*E2)/((J2/100)*86400),0)</f>
        <v>0</v>
      </c>
    </row>
    <row r="3" spans="1:17" ht="22.5" hidden="1" thickTop="1" thickBot="1" x14ac:dyDescent="0.4">
      <c r="A3" s="40" t="str">
        <f>R19</f>
        <v>CM</v>
      </c>
      <c r="B3" s="40">
        <f ca="1">Master!$AX$1</f>
        <v>45965</v>
      </c>
      <c r="C3" s="6">
        <v>2.0833333333322001E-2</v>
      </c>
      <c r="D3" s="7">
        <f ca="1">Master!AP4</f>
        <v>0</v>
      </c>
      <c r="E3" s="8" t="str">
        <f>Master!N4</f>
        <v>-</v>
      </c>
      <c r="F3" s="9" t="str">
        <f t="shared" ref="F3:F49" si="1">IFERROR(IF(OR(E3="-",E3=0),"",E3/D3),0)</f>
        <v/>
      </c>
      <c r="G3" s="9" t="str">
        <f>Master!G4</f>
        <v>-</v>
      </c>
      <c r="H3" s="19">
        <f t="shared" ref="H3:H49" si="2">IFERROR(E3*I3,0)</f>
        <v>0</v>
      </c>
      <c r="I3" s="8">
        <f>IFERROR(((Master!AI4*3600*24)*((Master!U4/100)/Master!N4)),0)</f>
        <v>0</v>
      </c>
      <c r="J3" s="8" t="str">
        <f>Master!U4</f>
        <v>-</v>
      </c>
      <c r="K3" s="8">
        <f ca="1">D3*Validation!$M$9/1800/IF(Validation!$N$9="",(IF(OR(NOT(ISNUMBER(J3)),J3=0),1,J3%)),Validation!$N$9)</f>
        <v>0</v>
      </c>
      <c r="L3" s="8" t="str">
        <f>Master!AB4</f>
        <v>-</v>
      </c>
      <c r="M3" s="8" t="str">
        <f t="shared" si="0"/>
        <v>-</v>
      </c>
      <c r="N3" s="19" t="str">
        <f t="shared" ref="N3:N17" si="3">IF(OR(E3=0,E3="-"),"",IF(F3&gt;=98%,"Achived",IF(G3&gt;=75%,"Wait","Lost")))</f>
        <v/>
      </c>
      <c r="O3" s="23">
        <f t="shared" ref="O3:O49" ca="1" si="4">IF(E3=0,0,IF(N3="Wait",D3*0.9,IF($T$19="Y",E3,IF(AND(N3="achived",F3&lt;=1.1),E3,IF(F3&gt;=1.1,D3*1.1,IF(N3="Lost",E3,"ER"))))))</f>
        <v>0</v>
      </c>
      <c r="P3" s="39" t="str">
        <f>T19</f>
        <v>N</v>
      </c>
      <c r="Q3" s="39">
        <f t="shared" ref="Q3:Q50" si="5">IFERROR((I3*E3)/((J3/100)*86400),0)</f>
        <v>0</v>
      </c>
    </row>
    <row r="4" spans="1:17" ht="22.5" hidden="1" thickTop="1" thickBot="1" x14ac:dyDescent="0.4">
      <c r="A4" s="40" t="str">
        <f>R19</f>
        <v>CM</v>
      </c>
      <c r="B4" s="40">
        <f ca="1">Master!$AX$1</f>
        <v>45965</v>
      </c>
      <c r="C4" s="6">
        <v>4.1666666666655999E-2</v>
      </c>
      <c r="D4" s="7">
        <f ca="1">Master!AP5</f>
        <v>0</v>
      </c>
      <c r="E4" s="8" t="str">
        <f>Master!N5</f>
        <v>-</v>
      </c>
      <c r="F4" s="9" t="str">
        <f t="shared" si="1"/>
        <v/>
      </c>
      <c r="G4" s="9" t="str">
        <f>Master!G5</f>
        <v>-</v>
      </c>
      <c r="H4" s="19">
        <f t="shared" si="2"/>
        <v>0</v>
      </c>
      <c r="I4" s="8">
        <f>IFERROR(((Master!AI5*3600*24)*((Master!U5/100)/Master!N5)),0)</f>
        <v>0</v>
      </c>
      <c r="J4" s="8" t="str">
        <f>Master!U5</f>
        <v>-</v>
      </c>
      <c r="K4" s="8">
        <f ca="1">D4*Validation!$M$9/1800/IF(Validation!$N$9="",(IF(OR(NOT(ISNUMBER(J4)),J4=0),1,J4%)),Validation!$N$9)</f>
        <v>0</v>
      </c>
      <c r="L4" s="8" t="str">
        <f>Master!AB5</f>
        <v>-</v>
      </c>
      <c r="M4" s="8" t="str">
        <f t="shared" si="0"/>
        <v>-</v>
      </c>
      <c r="N4" s="19" t="str">
        <f t="shared" si="3"/>
        <v/>
      </c>
      <c r="O4" s="23">
        <f t="shared" ca="1" si="4"/>
        <v>0</v>
      </c>
      <c r="P4" s="39" t="str">
        <f>T19</f>
        <v>N</v>
      </c>
      <c r="Q4" s="39">
        <f t="shared" si="5"/>
        <v>0</v>
      </c>
    </row>
    <row r="5" spans="1:17" ht="22.5" hidden="1" thickTop="1" thickBot="1" x14ac:dyDescent="0.4">
      <c r="A5" s="40" t="str">
        <f>R19</f>
        <v>CM</v>
      </c>
      <c r="B5" s="40">
        <f ca="1">Master!$AX$1</f>
        <v>45965</v>
      </c>
      <c r="C5" s="6">
        <v>6.2499999999991E-2</v>
      </c>
      <c r="D5" s="7">
        <f ca="1">Master!AP6</f>
        <v>0</v>
      </c>
      <c r="E5" s="8" t="str">
        <f>Master!N6</f>
        <v>-</v>
      </c>
      <c r="F5" s="9" t="str">
        <f t="shared" si="1"/>
        <v/>
      </c>
      <c r="G5" s="9" t="str">
        <f>Master!G6</f>
        <v>-</v>
      </c>
      <c r="H5" s="19">
        <f t="shared" si="2"/>
        <v>0</v>
      </c>
      <c r="I5" s="8">
        <f>IFERROR(((Master!AI6*3600*24)*((Master!U6/100)/Master!N6)),0)</f>
        <v>0</v>
      </c>
      <c r="J5" s="8" t="str">
        <f>Master!U6</f>
        <v>-</v>
      </c>
      <c r="K5" s="8">
        <f ca="1">D5*Validation!$M$9/1800/IF(Validation!$N$9="",(IF(OR(NOT(ISNUMBER(J5)),J5=0),1,J5%)),Validation!$N$9)</f>
        <v>0</v>
      </c>
      <c r="L5" s="8" t="str">
        <f>Master!AB6</f>
        <v>-</v>
      </c>
      <c r="M5" s="8" t="str">
        <f t="shared" si="0"/>
        <v>-</v>
      </c>
      <c r="N5" s="19" t="str">
        <f t="shared" si="3"/>
        <v/>
      </c>
      <c r="O5" s="23">
        <f t="shared" ca="1" si="4"/>
        <v>0</v>
      </c>
      <c r="P5" s="39" t="str">
        <f>T19</f>
        <v>N</v>
      </c>
      <c r="Q5" s="39">
        <f t="shared" si="5"/>
        <v>0</v>
      </c>
    </row>
    <row r="6" spans="1:17" ht="22.5" hidden="1" thickTop="1" thickBot="1" x14ac:dyDescent="0.4">
      <c r="A6" s="40" t="str">
        <f>R19</f>
        <v>CM</v>
      </c>
      <c r="B6" s="40">
        <f ca="1">Master!$AX$1</f>
        <v>45965</v>
      </c>
      <c r="C6" s="6">
        <v>8.3333333333325002E-2</v>
      </c>
      <c r="D6" s="7">
        <f ca="1">Master!AP7</f>
        <v>0</v>
      </c>
      <c r="E6" s="8" t="str">
        <f>Master!N7</f>
        <v>-</v>
      </c>
      <c r="F6" s="9" t="str">
        <f t="shared" si="1"/>
        <v/>
      </c>
      <c r="G6" s="9" t="str">
        <f>Master!G7</f>
        <v>-</v>
      </c>
      <c r="H6" s="19">
        <f t="shared" si="2"/>
        <v>0</v>
      </c>
      <c r="I6" s="8">
        <f>IFERROR(((Master!AI7*3600*24)*((Master!U7/100)/Master!N7)),0)</f>
        <v>0</v>
      </c>
      <c r="J6" s="8" t="str">
        <f>Master!U7</f>
        <v>-</v>
      </c>
      <c r="K6" s="8">
        <f ca="1">D6*Validation!$M$9/1800/IF(Validation!$N$9="",(IF(OR(NOT(ISNUMBER(J6)),J6=0),1,J6%)),Validation!$N$9)</f>
        <v>0</v>
      </c>
      <c r="L6" s="8" t="str">
        <f>Master!AB7</f>
        <v>-</v>
      </c>
      <c r="M6" s="8" t="str">
        <f t="shared" si="0"/>
        <v>-</v>
      </c>
      <c r="N6" s="19" t="str">
        <f t="shared" si="3"/>
        <v/>
      </c>
      <c r="O6" s="23">
        <f t="shared" ca="1" si="4"/>
        <v>0</v>
      </c>
      <c r="P6" s="39" t="str">
        <f>T19</f>
        <v>N</v>
      </c>
      <c r="Q6" s="39">
        <f t="shared" si="5"/>
        <v>0</v>
      </c>
    </row>
    <row r="7" spans="1:17" ht="22.5" hidden="1" thickTop="1" thickBot="1" x14ac:dyDescent="0.4">
      <c r="A7" s="40" t="str">
        <f>R19</f>
        <v>CM</v>
      </c>
      <c r="B7" s="40">
        <f ca="1">Master!$AX$1</f>
        <v>45965</v>
      </c>
      <c r="C7" s="6">
        <v>0.104166666666659</v>
      </c>
      <c r="D7" s="7">
        <f ca="1">Master!AP8</f>
        <v>0</v>
      </c>
      <c r="E7" s="8" t="str">
        <f>Master!N8</f>
        <v>-</v>
      </c>
      <c r="F7" s="9" t="str">
        <f t="shared" si="1"/>
        <v/>
      </c>
      <c r="G7" s="9" t="str">
        <f>Master!G8</f>
        <v>-</v>
      </c>
      <c r="H7" s="19">
        <f t="shared" si="2"/>
        <v>0</v>
      </c>
      <c r="I7" s="8">
        <f>IFERROR(((Master!AI8*3600*24)*((Master!U8/100)/Master!N8)),0)</f>
        <v>0</v>
      </c>
      <c r="J7" s="8" t="str">
        <f>Master!U8</f>
        <v>-</v>
      </c>
      <c r="K7" s="8">
        <f ca="1">D7*Validation!$M$9/1800/IF(Validation!$N$9="",(IF(OR(NOT(ISNUMBER(J7)),J7=0),1,J7%)),Validation!$N$9)</f>
        <v>0</v>
      </c>
      <c r="L7" s="8" t="str">
        <f>Master!AB8</f>
        <v>-</v>
      </c>
      <c r="M7" s="8" t="str">
        <f t="shared" si="0"/>
        <v>-</v>
      </c>
      <c r="N7" s="19" t="str">
        <f t="shared" si="3"/>
        <v/>
      </c>
      <c r="O7" s="23">
        <f t="shared" ca="1" si="4"/>
        <v>0</v>
      </c>
      <c r="P7" s="39" t="str">
        <f>T19</f>
        <v>N</v>
      </c>
      <c r="Q7" s="39">
        <f t="shared" si="5"/>
        <v>0</v>
      </c>
    </row>
    <row r="8" spans="1:17" ht="22.5" hidden="1" thickTop="1" thickBot="1" x14ac:dyDescent="0.4">
      <c r="A8" s="40" t="str">
        <f>R19</f>
        <v>CM</v>
      </c>
      <c r="B8" s="40">
        <f ca="1">Master!$AX$1</f>
        <v>45965</v>
      </c>
      <c r="C8" s="6">
        <v>0.12499999999999301</v>
      </c>
      <c r="D8" s="7">
        <f ca="1">Master!AP9</f>
        <v>0</v>
      </c>
      <c r="E8" s="8" t="str">
        <f>Master!N9</f>
        <v>-</v>
      </c>
      <c r="F8" s="9" t="str">
        <f t="shared" si="1"/>
        <v/>
      </c>
      <c r="G8" s="9" t="str">
        <f>Master!G9</f>
        <v>-</v>
      </c>
      <c r="H8" s="19">
        <f t="shared" si="2"/>
        <v>0</v>
      </c>
      <c r="I8" s="8">
        <f>IFERROR(((Master!AI9*3600*24)*((Master!U9/100)/Master!N9)),0)</f>
        <v>0</v>
      </c>
      <c r="J8" s="8" t="str">
        <f>Master!U9</f>
        <v>-</v>
      </c>
      <c r="K8" s="8">
        <f ca="1">D8*Validation!$M$9/1800/IF(Validation!$N$9="",(IF(OR(NOT(ISNUMBER(J8)),J8=0),1,J8%)),Validation!$N$9)</f>
        <v>0</v>
      </c>
      <c r="L8" s="8" t="str">
        <f>Master!AB9</f>
        <v>-</v>
      </c>
      <c r="M8" s="8" t="str">
        <f t="shared" si="0"/>
        <v>-</v>
      </c>
      <c r="N8" s="19" t="str">
        <f t="shared" si="3"/>
        <v/>
      </c>
      <c r="O8" s="23">
        <f t="shared" ca="1" si="4"/>
        <v>0</v>
      </c>
      <c r="P8" s="39" t="str">
        <f>T19</f>
        <v>N</v>
      </c>
      <c r="Q8" s="39">
        <f t="shared" si="5"/>
        <v>0</v>
      </c>
    </row>
    <row r="9" spans="1:17" ht="22.5" hidden="1" thickTop="1" thickBot="1" x14ac:dyDescent="0.4">
      <c r="A9" s="40" t="str">
        <f>R19</f>
        <v>CM</v>
      </c>
      <c r="B9" s="40">
        <f ca="1">Master!$AX$1</f>
        <v>45965</v>
      </c>
      <c r="C9" s="6">
        <v>0.14583333333332699</v>
      </c>
      <c r="D9" s="7">
        <f ca="1">Master!AP10</f>
        <v>0</v>
      </c>
      <c r="E9" s="8" t="str">
        <f>Master!N10</f>
        <v>-</v>
      </c>
      <c r="F9" s="9" t="str">
        <f t="shared" si="1"/>
        <v/>
      </c>
      <c r="G9" s="9" t="str">
        <f>Master!G10</f>
        <v>-</v>
      </c>
      <c r="H9" s="19">
        <f t="shared" si="2"/>
        <v>0</v>
      </c>
      <c r="I9" s="8">
        <f>IFERROR(((Master!AI10*3600*24)*((Master!U10/100)/Master!N10)),0)</f>
        <v>0</v>
      </c>
      <c r="J9" s="8" t="str">
        <f>Master!U10</f>
        <v>-</v>
      </c>
      <c r="K9" s="8">
        <f ca="1">D9*Validation!$M$9/1800/IF(Validation!$N$9="",(IF(OR(NOT(ISNUMBER(J9)),J9=0),1,J9%)),Validation!$N$9)</f>
        <v>0</v>
      </c>
      <c r="L9" s="8" t="str">
        <f>Master!AB10</f>
        <v>-</v>
      </c>
      <c r="M9" s="8" t="str">
        <f t="shared" si="0"/>
        <v>-</v>
      </c>
      <c r="N9" s="19" t="str">
        <f t="shared" si="3"/>
        <v/>
      </c>
      <c r="O9" s="23">
        <f t="shared" ca="1" si="4"/>
        <v>0</v>
      </c>
      <c r="P9" s="39" t="str">
        <f>T19</f>
        <v>N</v>
      </c>
      <c r="Q9" s="39">
        <f t="shared" si="5"/>
        <v>0</v>
      </c>
    </row>
    <row r="10" spans="1:17" ht="22.5" hidden="1" thickTop="1" thickBot="1" x14ac:dyDescent="0.4">
      <c r="A10" s="40" t="str">
        <f>R19</f>
        <v>CM</v>
      </c>
      <c r="B10" s="40">
        <f ca="1">Master!$AX$1</f>
        <v>45965</v>
      </c>
      <c r="C10" s="6">
        <v>0.166666666666661</v>
      </c>
      <c r="D10" s="7">
        <f ca="1">Master!AP11</f>
        <v>0</v>
      </c>
      <c r="E10" s="8" t="str">
        <f>Master!N11</f>
        <v>-</v>
      </c>
      <c r="F10" s="9" t="str">
        <f t="shared" si="1"/>
        <v/>
      </c>
      <c r="G10" s="9" t="str">
        <f>Master!G11</f>
        <v>-</v>
      </c>
      <c r="H10" s="19">
        <f t="shared" si="2"/>
        <v>0</v>
      </c>
      <c r="I10" s="8">
        <f>IFERROR(((Master!AI11*3600*24)*((Master!U11/100)/Master!N11)),0)</f>
        <v>0</v>
      </c>
      <c r="J10" s="8" t="str">
        <f>Master!U11</f>
        <v>-</v>
      </c>
      <c r="K10" s="8">
        <f ca="1">D10*Validation!$M$9/1800/IF(Validation!$N$9="",(IF(OR(NOT(ISNUMBER(J10)),J10=0),1,J10%)),Validation!$N$9)</f>
        <v>0</v>
      </c>
      <c r="L10" s="8" t="str">
        <f>Master!AB11</f>
        <v>-</v>
      </c>
      <c r="M10" s="8" t="str">
        <f t="shared" si="0"/>
        <v>-</v>
      </c>
      <c r="N10" s="19" t="str">
        <f t="shared" si="3"/>
        <v/>
      </c>
      <c r="O10" s="23">
        <f t="shared" ca="1" si="4"/>
        <v>0</v>
      </c>
      <c r="P10" s="39" t="str">
        <f>T19</f>
        <v>N</v>
      </c>
      <c r="Q10" s="39">
        <f t="shared" si="5"/>
        <v>0</v>
      </c>
    </row>
    <row r="11" spans="1:17" ht="22.5" hidden="1" thickTop="1" thickBot="1" x14ac:dyDescent="0.4">
      <c r="A11" s="40" t="str">
        <f>R19</f>
        <v>CM</v>
      </c>
      <c r="B11" s="40">
        <f ca="1">Master!$AX$1</f>
        <v>45965</v>
      </c>
      <c r="C11" s="6">
        <v>0.187499999999995</v>
      </c>
      <c r="D11" s="7">
        <f ca="1">Master!AP12</f>
        <v>0</v>
      </c>
      <c r="E11" s="8" t="str">
        <f>Master!N12</f>
        <v>-</v>
      </c>
      <c r="F11" s="9" t="str">
        <f t="shared" si="1"/>
        <v/>
      </c>
      <c r="G11" s="9" t="str">
        <f>Master!G12</f>
        <v>-</v>
      </c>
      <c r="H11" s="19">
        <f t="shared" si="2"/>
        <v>0</v>
      </c>
      <c r="I11" s="8">
        <f>IFERROR(((Master!AI12*3600*24)*((Master!U12/100)/Master!N12)),0)</f>
        <v>0</v>
      </c>
      <c r="J11" s="8" t="str">
        <f>Master!U12</f>
        <v>-</v>
      </c>
      <c r="K11" s="8">
        <f ca="1">D11*Validation!$M$9/1800/IF(Validation!$N$9="",(IF(OR(NOT(ISNUMBER(J11)),J11=0),1,J11%)),Validation!$N$9)</f>
        <v>0</v>
      </c>
      <c r="L11" s="8" t="str">
        <f>Master!AB12</f>
        <v>-</v>
      </c>
      <c r="M11" s="8" t="str">
        <f t="shared" si="0"/>
        <v>-</v>
      </c>
      <c r="N11" s="19" t="str">
        <f t="shared" si="3"/>
        <v/>
      </c>
      <c r="O11" s="23">
        <f t="shared" ca="1" si="4"/>
        <v>0</v>
      </c>
      <c r="P11" s="39" t="str">
        <f>T19</f>
        <v>N</v>
      </c>
      <c r="Q11" s="39">
        <f t="shared" si="5"/>
        <v>0</v>
      </c>
    </row>
    <row r="12" spans="1:17" ht="22.5" hidden="1" thickTop="1" thickBot="1" x14ac:dyDescent="0.4">
      <c r="A12" s="40" t="str">
        <f>R19</f>
        <v>CM</v>
      </c>
      <c r="B12" s="40">
        <f ca="1">Master!$AX$1</f>
        <v>45965</v>
      </c>
      <c r="C12" s="6">
        <v>0.20833333333332901</v>
      </c>
      <c r="D12" s="7">
        <f ca="1">Master!AP13</f>
        <v>0</v>
      </c>
      <c r="E12" s="8" t="str">
        <f>Master!N13</f>
        <v>-</v>
      </c>
      <c r="F12" s="9" t="str">
        <f t="shared" si="1"/>
        <v/>
      </c>
      <c r="G12" s="9" t="str">
        <f>Master!G13</f>
        <v>-</v>
      </c>
      <c r="H12" s="19">
        <f t="shared" si="2"/>
        <v>0</v>
      </c>
      <c r="I12" s="8">
        <f>IFERROR(((Master!AI13*3600*24)*((Master!U13/100)/Master!N13)),0)</f>
        <v>0</v>
      </c>
      <c r="J12" s="8" t="str">
        <f>Master!U13</f>
        <v>-</v>
      </c>
      <c r="K12" s="8">
        <f ca="1">D12*Validation!$M$9/1800/IF(Validation!$N$9="",(IF(OR(NOT(ISNUMBER(J12)),J12=0),1,J12%)),Validation!$N$9)</f>
        <v>0</v>
      </c>
      <c r="L12" s="8" t="str">
        <f>Master!AB13</f>
        <v>-</v>
      </c>
      <c r="M12" s="8" t="str">
        <f t="shared" si="0"/>
        <v>-</v>
      </c>
      <c r="N12" s="19" t="str">
        <f t="shared" si="3"/>
        <v/>
      </c>
      <c r="O12" s="23">
        <f t="shared" ca="1" si="4"/>
        <v>0</v>
      </c>
      <c r="P12" s="39" t="str">
        <f>T19</f>
        <v>N</v>
      </c>
      <c r="Q12" s="39">
        <f t="shared" si="5"/>
        <v>0</v>
      </c>
    </row>
    <row r="13" spans="1:17" ht="22.5" hidden="1" thickTop="1" thickBot="1" x14ac:dyDescent="0.4">
      <c r="A13" s="40" t="str">
        <f>R19</f>
        <v>CM</v>
      </c>
      <c r="B13" s="40">
        <f ca="1">Master!$AX$1</f>
        <v>45965</v>
      </c>
      <c r="C13" s="6">
        <v>0.22916666666666299</v>
      </c>
      <c r="D13" s="7">
        <f ca="1">Master!AP14</f>
        <v>0</v>
      </c>
      <c r="E13" s="8" t="str">
        <f>Master!N14</f>
        <v>-</v>
      </c>
      <c r="F13" s="9" t="str">
        <f t="shared" si="1"/>
        <v/>
      </c>
      <c r="G13" s="9" t="str">
        <f>Master!G14</f>
        <v>-</v>
      </c>
      <c r="H13" s="19">
        <f t="shared" si="2"/>
        <v>0</v>
      </c>
      <c r="I13" s="8">
        <f>IFERROR(((Master!AI14*3600*24)*((Master!U14/100)/Master!N14)),0)</f>
        <v>0</v>
      </c>
      <c r="J13" s="8" t="str">
        <f>Master!U14</f>
        <v>-</v>
      </c>
      <c r="K13" s="8">
        <f ca="1">D13*Validation!$M$9/1800/IF(Validation!$N$9="",(IF(OR(NOT(ISNUMBER(J13)),J13=0),1,J13%)),Validation!$N$9)</f>
        <v>0</v>
      </c>
      <c r="L13" s="8" t="str">
        <f>Master!AB14</f>
        <v>-</v>
      </c>
      <c r="M13" s="8" t="str">
        <f t="shared" si="0"/>
        <v>-</v>
      </c>
      <c r="N13" s="19" t="str">
        <f t="shared" si="3"/>
        <v/>
      </c>
      <c r="O13" s="23">
        <f t="shared" ca="1" si="4"/>
        <v>0</v>
      </c>
      <c r="P13" s="39" t="str">
        <f>T19</f>
        <v>N</v>
      </c>
      <c r="Q13" s="39">
        <f t="shared" si="5"/>
        <v>0</v>
      </c>
    </row>
    <row r="14" spans="1:17" ht="22.5" hidden="1" thickTop="1" thickBot="1" x14ac:dyDescent="0.4">
      <c r="A14" s="40" t="str">
        <f>R19</f>
        <v>CM</v>
      </c>
      <c r="B14" s="40">
        <f ca="1">Master!$AX$1</f>
        <v>45965</v>
      </c>
      <c r="C14" s="6">
        <v>0.249999999999997</v>
      </c>
      <c r="D14" s="7">
        <f ca="1">Master!AP15</f>
        <v>0</v>
      </c>
      <c r="E14" s="8" t="str">
        <f>Master!N15</f>
        <v>-</v>
      </c>
      <c r="F14" s="9" t="str">
        <f t="shared" si="1"/>
        <v/>
      </c>
      <c r="G14" s="9" t="str">
        <f>Master!G15</f>
        <v>-</v>
      </c>
      <c r="H14" s="19">
        <f t="shared" si="2"/>
        <v>0</v>
      </c>
      <c r="I14" s="8">
        <f>IFERROR(((Master!AI15*3600*24)*((Master!U15/100)/Master!N15)),0)</f>
        <v>0</v>
      </c>
      <c r="J14" s="8" t="str">
        <f>Master!U15</f>
        <v>-</v>
      </c>
      <c r="K14" s="8">
        <f ca="1">D14*Validation!$M$9/1800/IF(Validation!$N$9="",(IF(OR(NOT(ISNUMBER(J14)),J14=0),1,J14%)),Validation!$N$9)</f>
        <v>0</v>
      </c>
      <c r="L14" s="8" t="str">
        <f>Master!AB15</f>
        <v>-</v>
      </c>
      <c r="M14" s="8" t="str">
        <f t="shared" si="0"/>
        <v>-</v>
      </c>
      <c r="N14" s="19" t="str">
        <f t="shared" si="3"/>
        <v/>
      </c>
      <c r="O14" s="23">
        <f t="shared" ca="1" si="4"/>
        <v>0</v>
      </c>
      <c r="P14" s="39" t="str">
        <f>T19</f>
        <v>N</v>
      </c>
      <c r="Q14" s="39">
        <f t="shared" si="5"/>
        <v>0</v>
      </c>
    </row>
    <row r="15" spans="1:17" ht="22.5" hidden="1" thickTop="1" thickBot="1" x14ac:dyDescent="0.4">
      <c r="A15" s="40" t="str">
        <f>R19</f>
        <v>CM</v>
      </c>
      <c r="B15" s="40">
        <f ca="1">Master!$AX$1</f>
        <v>45965</v>
      </c>
      <c r="C15" s="6">
        <v>0.27083333333333098</v>
      </c>
      <c r="D15" s="7">
        <f ca="1">Master!AP16</f>
        <v>0</v>
      </c>
      <c r="E15" s="8" t="str">
        <f>Master!N16</f>
        <v>-</v>
      </c>
      <c r="F15" s="9" t="str">
        <f t="shared" si="1"/>
        <v/>
      </c>
      <c r="G15" s="9" t="str">
        <f>Master!G16</f>
        <v>-</v>
      </c>
      <c r="H15" s="19">
        <f t="shared" si="2"/>
        <v>0</v>
      </c>
      <c r="I15" s="8">
        <f>IFERROR(((Master!AI16*3600*24)*((Master!U16/100)/Master!N16)),0)</f>
        <v>0</v>
      </c>
      <c r="J15" s="8" t="str">
        <f>Master!U16</f>
        <v>-</v>
      </c>
      <c r="K15" s="8">
        <f ca="1">D15*Validation!$M$9/1800/IF(Validation!$N$9="",(IF(OR(NOT(ISNUMBER(J15)),J15=0),1,J15%)),Validation!$N$9)</f>
        <v>0</v>
      </c>
      <c r="L15" s="8" t="str">
        <f>Master!AB16</f>
        <v>-</v>
      </c>
      <c r="M15" s="8" t="str">
        <f t="shared" si="0"/>
        <v>-</v>
      </c>
      <c r="N15" s="19" t="str">
        <f t="shared" si="3"/>
        <v/>
      </c>
      <c r="O15" s="23">
        <f t="shared" ca="1" si="4"/>
        <v>0</v>
      </c>
      <c r="P15" s="39" t="str">
        <f>T19</f>
        <v>N</v>
      </c>
      <c r="Q15" s="39">
        <f t="shared" si="5"/>
        <v>0</v>
      </c>
    </row>
    <row r="16" spans="1:17" ht="22.5" hidden="1" thickTop="1" thickBot="1" x14ac:dyDescent="0.4">
      <c r="A16" s="40" t="str">
        <f>R19</f>
        <v>CM</v>
      </c>
      <c r="B16" s="40">
        <f ca="1">Master!$AX$1</f>
        <v>45965</v>
      </c>
      <c r="C16" s="6">
        <v>0.29166666666666502</v>
      </c>
      <c r="D16" s="7">
        <f ca="1">Master!AP17</f>
        <v>0</v>
      </c>
      <c r="E16" s="8" t="str">
        <f>Master!N17</f>
        <v>-</v>
      </c>
      <c r="F16" s="9" t="str">
        <f t="shared" si="1"/>
        <v/>
      </c>
      <c r="G16" s="9" t="str">
        <f>Master!G17</f>
        <v>-</v>
      </c>
      <c r="H16" s="19">
        <f t="shared" si="2"/>
        <v>0</v>
      </c>
      <c r="I16" s="8">
        <f>IFERROR(((Master!AI17*3600*24)*((Master!U17/100)/Master!N17)),0)</f>
        <v>0</v>
      </c>
      <c r="J16" s="8" t="str">
        <f>Master!U17</f>
        <v>-</v>
      </c>
      <c r="K16" s="8">
        <f ca="1">D16*Validation!$M$9/1800/IF(Validation!$N$9="",(IF(OR(NOT(ISNUMBER(J16)),J16=0),1,J16%)),Validation!$N$9)</f>
        <v>0</v>
      </c>
      <c r="L16" s="8" t="str">
        <f>Master!AB17</f>
        <v>-</v>
      </c>
      <c r="M16" s="8" t="str">
        <f t="shared" si="0"/>
        <v>-</v>
      </c>
      <c r="N16" s="19" t="str">
        <f t="shared" si="3"/>
        <v/>
      </c>
      <c r="O16" s="23">
        <f t="shared" ca="1" si="4"/>
        <v>0</v>
      </c>
      <c r="P16" s="39" t="str">
        <f>T19</f>
        <v>N</v>
      </c>
      <c r="Q16" s="39">
        <f t="shared" si="5"/>
        <v>0</v>
      </c>
    </row>
    <row r="17" spans="1:23" ht="22.5" hidden="1" thickTop="1" thickBot="1" x14ac:dyDescent="0.4">
      <c r="A17" s="40" t="str">
        <f>R19</f>
        <v>CM</v>
      </c>
      <c r="B17" s="40">
        <f ca="1">Master!$AX$1</f>
        <v>45965</v>
      </c>
      <c r="C17" s="6">
        <v>0.312499999999999</v>
      </c>
      <c r="D17" s="7">
        <f ca="1">Master!AP18</f>
        <v>0</v>
      </c>
      <c r="E17" s="8" t="str">
        <f>Master!N18</f>
        <v>-</v>
      </c>
      <c r="F17" s="9" t="str">
        <f t="shared" si="1"/>
        <v/>
      </c>
      <c r="G17" s="9" t="str">
        <f>Master!G18</f>
        <v>-</v>
      </c>
      <c r="H17" s="19">
        <f t="shared" si="2"/>
        <v>0</v>
      </c>
      <c r="I17" s="8">
        <f>IFERROR(((Master!AI18*3600*24)*((Master!U18/100)/Master!N18)),0)</f>
        <v>0</v>
      </c>
      <c r="J17" s="8" t="str">
        <f>Master!U18</f>
        <v>-</v>
      </c>
      <c r="K17" s="8">
        <f ca="1">D17*Validation!$M$9/1800/IF(Validation!$N$9="",(IF(OR(NOT(ISNUMBER(J17)),J17=0),1,J17%)),Validation!$N$9)</f>
        <v>0</v>
      </c>
      <c r="L17" s="8" t="str">
        <f>Master!AB18</f>
        <v>-</v>
      </c>
      <c r="M17" s="8" t="str">
        <f t="shared" si="0"/>
        <v>-</v>
      </c>
      <c r="N17" s="19" t="str">
        <f t="shared" si="3"/>
        <v/>
      </c>
      <c r="O17" s="23">
        <f t="shared" ca="1" si="4"/>
        <v>0</v>
      </c>
      <c r="P17" s="39" t="str">
        <f>T19</f>
        <v>N</v>
      </c>
      <c r="Q17" s="39">
        <f t="shared" si="5"/>
        <v>0</v>
      </c>
    </row>
    <row r="18" spans="1:23" ht="22.5" thickTop="1" thickBot="1" x14ac:dyDescent="0.4">
      <c r="A18" s="40" t="str">
        <f>R19</f>
        <v>CM</v>
      </c>
      <c r="B18" s="40">
        <f ca="1">Master!$AX$1</f>
        <v>45965</v>
      </c>
      <c r="C18" s="6">
        <v>0.33333333333333298</v>
      </c>
      <c r="D18" s="7">
        <f ca="1">Master!AP19</f>
        <v>14</v>
      </c>
      <c r="E18" s="8">
        <f>Master!N19</f>
        <v>14</v>
      </c>
      <c r="F18" s="9">
        <f t="shared" ca="1" si="1"/>
        <v>1</v>
      </c>
      <c r="G18" s="9">
        <f>Master!G19</f>
        <v>0.75</v>
      </c>
      <c r="H18" s="19">
        <f t="shared" si="2"/>
        <v>5194.8</v>
      </c>
      <c r="I18" s="8">
        <f>IFERROR(((Master!AI19*3600*24)*((Master!U19/100)/Master!N19)),0)</f>
        <v>371.05714285714288</v>
      </c>
      <c r="J18" s="8">
        <f>Master!U19</f>
        <v>74</v>
      </c>
      <c r="K18" s="8">
        <f ca="1">D18*Validation!$M$9/1800/IF(Validation!$N$9="",(IF(OR(NOT(ISNUMBER(J18)),J18=0),1,J18%)),Validation!$N$9)</f>
        <v>4.1176470588235299</v>
      </c>
      <c r="L18" s="8">
        <f>Master!AB19</f>
        <v>4</v>
      </c>
      <c r="M18" s="8">
        <f t="shared" ca="1" si="0"/>
        <v>-0.11764705882352988</v>
      </c>
      <c r="N18" s="19" t="str">
        <f ca="1">IF(OR(E18=0,E18="-"),"",IF(F18&gt;=98%,"Achived",IF(G18&gt;=75%,"Wait","Lost")))</f>
        <v>Achived</v>
      </c>
      <c r="O18" s="23">
        <f t="shared" ca="1" si="4"/>
        <v>14</v>
      </c>
      <c r="P18" s="39" t="str">
        <f>T19</f>
        <v>N</v>
      </c>
      <c r="Q18" s="39">
        <f t="shared" si="5"/>
        <v>8.1250000000000003E-2</v>
      </c>
      <c r="R18" s="60" t="s">
        <v>16</v>
      </c>
      <c r="S18" s="61"/>
      <c r="T18" s="60" t="s">
        <v>24</v>
      </c>
      <c r="U18" s="61"/>
    </row>
    <row r="19" spans="1:23" ht="22.5" thickTop="1" thickBot="1" x14ac:dyDescent="0.4">
      <c r="A19" s="40" t="str">
        <f>R19</f>
        <v>CM</v>
      </c>
      <c r="B19" s="40">
        <f ca="1">Master!$AX$1</f>
        <v>45965</v>
      </c>
      <c r="C19" s="6">
        <v>0.35416666666666702</v>
      </c>
      <c r="D19" s="7">
        <f ca="1">Master!AP20</f>
        <v>10</v>
      </c>
      <c r="E19" s="8">
        <f>Master!N20</f>
        <v>11</v>
      </c>
      <c r="F19" s="9">
        <f t="shared" ca="1" si="1"/>
        <v>1.1000000000000001</v>
      </c>
      <c r="G19" s="9">
        <f>Master!G20</f>
        <v>1</v>
      </c>
      <c r="H19" s="19">
        <f t="shared" si="2"/>
        <v>7619.4</v>
      </c>
      <c r="I19" s="8">
        <f>IFERROR(((Master!AI20*3600*24)*((Master!U20/100)/Master!N20)),0)</f>
        <v>692.67272727272723</v>
      </c>
      <c r="J19" s="8">
        <f>Master!U20</f>
        <v>83</v>
      </c>
      <c r="K19" s="8">
        <f ca="1">D19*Validation!$M$9/1800/IF(Validation!$N$9="",(IF(OR(NOT(ISNUMBER(J19)),J19=0),1,J19%)),Validation!$N$9)</f>
        <v>2.9411764705882355</v>
      </c>
      <c r="L19" s="8">
        <f>Master!AB20</f>
        <v>5</v>
      </c>
      <c r="M19" s="8">
        <f t="shared" ca="1" si="0"/>
        <v>2.0588235294117645</v>
      </c>
      <c r="N19" s="19" t="str">
        <f t="shared" ref="N19:N49" ca="1" si="6">IF(OR(E19=0,E19="-"),"",IF(F19&gt;=98%,"Achived",IF(G19&gt;=75%,"Wait","Lost")))</f>
        <v>Achived</v>
      </c>
      <c r="O19" s="23">
        <f t="shared" ca="1" si="4"/>
        <v>11</v>
      </c>
      <c r="P19" s="39" t="str">
        <f>T19</f>
        <v>N</v>
      </c>
      <c r="Q19" s="39">
        <f t="shared" si="5"/>
        <v>0.10625</v>
      </c>
      <c r="R19" s="72" t="s">
        <v>10</v>
      </c>
      <c r="S19" s="73"/>
      <c r="T19" s="62" t="str">
        <f>Validation!L9</f>
        <v>N</v>
      </c>
      <c r="U19" s="63"/>
    </row>
    <row r="20" spans="1:23" ht="22.5" thickTop="1" thickBot="1" x14ac:dyDescent="0.4">
      <c r="A20" s="40" t="str">
        <f>R19</f>
        <v>CM</v>
      </c>
      <c r="B20" s="40">
        <f ca="1">Master!$AX$1</f>
        <v>45965</v>
      </c>
      <c r="C20" s="6">
        <v>0.375</v>
      </c>
      <c r="D20" s="7">
        <f ca="1">Master!AP21</f>
        <v>10</v>
      </c>
      <c r="E20" s="8">
        <f>Master!N21</f>
        <v>24</v>
      </c>
      <c r="F20" s="9">
        <f t="shared" ca="1" si="1"/>
        <v>2.4</v>
      </c>
      <c r="G20" s="9">
        <f>Master!G21</f>
        <v>0.94</v>
      </c>
      <c r="H20" s="19">
        <f t="shared" si="2"/>
        <v>4430.3999999999996</v>
      </c>
      <c r="I20" s="8">
        <f>IFERROR(((Master!AI21*3600*24)*((Master!U21/100)/Master!N21)),0)</f>
        <v>184.6</v>
      </c>
      <c r="J20" s="8">
        <f>Master!U21</f>
        <v>71</v>
      </c>
      <c r="K20" s="8">
        <f ca="1">D20*Validation!$M$9/1800/IF(Validation!$N$9="",(IF(OR(NOT(ISNUMBER(J20)),J20=0),1,J20%)),Validation!$N$9)</f>
        <v>2.9411764705882355</v>
      </c>
      <c r="L20" s="8">
        <f>Master!AB21</f>
        <v>4</v>
      </c>
      <c r="M20" s="8">
        <f t="shared" ca="1" si="0"/>
        <v>1.0588235294117645</v>
      </c>
      <c r="N20" s="19" t="str">
        <f t="shared" ca="1" si="6"/>
        <v>Achived</v>
      </c>
      <c r="O20" s="23">
        <f t="shared" ca="1" si="4"/>
        <v>11</v>
      </c>
      <c r="P20" s="39" t="str">
        <f>T19</f>
        <v>N</v>
      </c>
      <c r="Q20" s="39">
        <f t="shared" si="5"/>
        <v>7.2222222222222215E-2</v>
      </c>
      <c r="R20" s="74"/>
      <c r="S20" s="75"/>
      <c r="T20" s="64"/>
      <c r="U20" s="65"/>
    </row>
    <row r="21" spans="1:23" ht="22.5" thickTop="1" thickBot="1" x14ac:dyDescent="0.4">
      <c r="A21" s="40" t="str">
        <f>R19</f>
        <v>CM</v>
      </c>
      <c r="B21" s="40">
        <f ca="1">Master!$AX$1</f>
        <v>45965</v>
      </c>
      <c r="C21" s="6">
        <v>0.39583333333333298</v>
      </c>
      <c r="D21" s="7">
        <f ca="1">Master!AP22</f>
        <v>15</v>
      </c>
      <c r="E21" s="8">
        <f>Master!N22</f>
        <v>13</v>
      </c>
      <c r="F21" s="9">
        <f t="shared" ca="1" si="1"/>
        <v>0.8666666666666667</v>
      </c>
      <c r="G21" s="9">
        <f>Master!G22</f>
        <v>0.83</v>
      </c>
      <c r="H21" s="19">
        <f t="shared" si="2"/>
        <v>6240</v>
      </c>
      <c r="I21" s="8">
        <f>IFERROR(((Master!AI22*3600*24)*((Master!U22/100)/Master!N23)),0)</f>
        <v>480</v>
      </c>
      <c r="J21" s="8">
        <f>Master!U22</f>
        <v>96</v>
      </c>
      <c r="K21" s="8">
        <f ca="1">D21*Validation!$M$9/1800/IF(Validation!$N$9="",(IF(OR(NOT(ISNUMBER(J21)),J21=0),1,J21%)),Validation!$N$9)</f>
        <v>4.4117647058823533</v>
      </c>
      <c r="L21" s="8">
        <f>Master!AB22</f>
        <v>6</v>
      </c>
      <c r="M21" s="8">
        <f t="shared" ca="1" si="0"/>
        <v>1.5882352941176467</v>
      </c>
      <c r="N21" s="19" t="str">
        <f t="shared" ca="1" si="6"/>
        <v>Wait</v>
      </c>
      <c r="O21" s="23">
        <f t="shared" ca="1" si="4"/>
        <v>13.5</v>
      </c>
      <c r="P21" s="39" t="str">
        <f>T19</f>
        <v>N</v>
      </c>
      <c r="Q21" s="39">
        <f t="shared" si="5"/>
        <v>7.5231481481481483E-2</v>
      </c>
    </row>
    <row r="22" spans="1:23" ht="22.5" thickTop="1" thickBot="1" x14ac:dyDescent="0.4">
      <c r="A22" s="40" t="str">
        <f>R19</f>
        <v>CM</v>
      </c>
      <c r="B22" s="40">
        <f ca="1">Master!$AX$1</f>
        <v>45965</v>
      </c>
      <c r="C22" s="6">
        <v>0.41666666666666702</v>
      </c>
      <c r="D22" s="7">
        <f ca="1">Master!AP23</f>
        <v>20</v>
      </c>
      <c r="E22" s="8">
        <f>Master!N23</f>
        <v>21</v>
      </c>
      <c r="F22" s="9">
        <f t="shared" ca="1" si="1"/>
        <v>1.05</v>
      </c>
      <c r="G22" s="9">
        <f>Master!G23</f>
        <v>0.92</v>
      </c>
      <c r="H22" s="19">
        <f t="shared" si="2"/>
        <v>0</v>
      </c>
      <c r="I22" s="8">
        <f>IFERROR(((Master!AI23*3600*24)*((Master!U23/100)/Master!#REF!)),0)</f>
        <v>0</v>
      </c>
      <c r="J22" s="8">
        <f>Master!U23</f>
        <v>93</v>
      </c>
      <c r="K22" s="8">
        <f ca="1">D22*Validation!$M$9/1800/IF(Validation!$N$9="",(IF(OR(NOT(ISNUMBER(J22)),J22=0),1,J22%)),Validation!$N$9)</f>
        <v>5.882352941176471</v>
      </c>
      <c r="L22" s="8">
        <f>Master!AB23</f>
        <v>8</v>
      </c>
      <c r="M22" s="8">
        <f t="shared" ca="1" si="0"/>
        <v>2.117647058823529</v>
      </c>
      <c r="N22" s="19" t="str">
        <f t="shared" ca="1" si="6"/>
        <v>Achived</v>
      </c>
      <c r="O22" s="23">
        <f t="shared" ca="1" si="4"/>
        <v>21</v>
      </c>
      <c r="P22" s="39" t="str">
        <f>T19</f>
        <v>N</v>
      </c>
      <c r="Q22" s="39">
        <f t="shared" si="5"/>
        <v>0</v>
      </c>
    </row>
    <row r="23" spans="1:23" ht="22.5" thickTop="1" thickBot="1" x14ac:dyDescent="0.4">
      <c r="A23" s="40" t="str">
        <f>R19</f>
        <v>CM</v>
      </c>
      <c r="B23" s="40">
        <f ca="1">Master!$AX$1</f>
        <v>45965</v>
      </c>
      <c r="C23" s="6">
        <v>0.4375</v>
      </c>
      <c r="D23" s="7">
        <f ca="1">Master!AP24</f>
        <v>22</v>
      </c>
      <c r="E23" s="8">
        <f>Master!N24</f>
        <v>23</v>
      </c>
      <c r="F23" s="9">
        <f t="shared" ca="1" si="1"/>
        <v>1.0454545454545454</v>
      </c>
      <c r="G23" s="9">
        <f>Master!G24</f>
        <v>0.77</v>
      </c>
      <c r="H23" s="19">
        <f t="shared" si="2"/>
        <v>12052.8</v>
      </c>
      <c r="I23" s="8">
        <f>IFERROR(((Master!AI24*3600*24)*((Master!U24/100)/Master!N24)),0)</f>
        <v>524.03478260869565</v>
      </c>
      <c r="J23" s="8">
        <f>Master!U24</f>
        <v>93</v>
      </c>
      <c r="K23" s="8">
        <f ca="1">D23*Validation!$M$9/1800/IF(Validation!$N$9="",(IF(OR(NOT(ISNUMBER(J23)),J23=0),1,J23%)),Validation!$N$9)</f>
        <v>6.4705882352941178</v>
      </c>
      <c r="L23" s="8">
        <f>Master!AB24</f>
        <v>8</v>
      </c>
      <c r="M23" s="8">
        <f t="shared" ca="1" si="0"/>
        <v>1.5294117647058822</v>
      </c>
      <c r="N23" s="19" t="str">
        <f t="shared" ca="1" si="6"/>
        <v>Achived</v>
      </c>
      <c r="O23" s="23">
        <f t="shared" ca="1" si="4"/>
        <v>23</v>
      </c>
      <c r="P23" s="39" t="str">
        <f>T19</f>
        <v>N</v>
      </c>
      <c r="Q23" s="39">
        <f t="shared" si="5"/>
        <v>0.15</v>
      </c>
    </row>
    <row r="24" spans="1:23" ht="22.5" thickTop="1" thickBot="1" x14ac:dyDescent="0.4">
      <c r="A24" s="40" t="str">
        <f>R19</f>
        <v>CM</v>
      </c>
      <c r="B24" s="40">
        <f ca="1">Master!$AX$1</f>
        <v>45965</v>
      </c>
      <c r="C24" s="6">
        <v>0.45833333333333298</v>
      </c>
      <c r="D24" s="7">
        <f ca="1">Master!AP25</f>
        <v>24</v>
      </c>
      <c r="E24" s="8">
        <f>Master!N25</f>
        <v>25</v>
      </c>
      <c r="F24" s="9">
        <f t="shared" ca="1" si="1"/>
        <v>1.0416666666666667</v>
      </c>
      <c r="G24" s="9">
        <f>Master!G25</f>
        <v>0.59</v>
      </c>
      <c r="H24" s="19">
        <f t="shared" si="2"/>
        <v>13766.399999999998</v>
      </c>
      <c r="I24" s="8">
        <f>IFERROR(((Master!AI25*3600*24)*((Master!U25/100)/Master!N25)),0)</f>
        <v>550.65599999999995</v>
      </c>
      <c r="J24" s="8">
        <f>Master!U25</f>
        <v>96</v>
      </c>
      <c r="K24" s="8">
        <f ca="1">D24*Validation!$M$9/1800/IF(Validation!$N$9="",(IF(OR(NOT(ISNUMBER(J24)),J24=0),1,J24%)),Validation!$N$9)</f>
        <v>7.0588235294117645</v>
      </c>
      <c r="L24" s="8">
        <f>Master!AB25</f>
        <v>8</v>
      </c>
      <c r="M24" s="8">
        <f t="shared" ca="1" si="0"/>
        <v>0.9411764705882355</v>
      </c>
      <c r="N24" s="19" t="str">
        <f t="shared" ca="1" si="6"/>
        <v>Achived</v>
      </c>
      <c r="O24" s="23">
        <f t="shared" ca="1" si="4"/>
        <v>25</v>
      </c>
      <c r="P24" s="39" t="str">
        <f>T19</f>
        <v>N</v>
      </c>
      <c r="Q24" s="39">
        <f t="shared" si="5"/>
        <v>0.16597222222222219</v>
      </c>
    </row>
    <row r="25" spans="1:23" ht="22.5" thickTop="1" thickBot="1" x14ac:dyDescent="0.4">
      <c r="A25" s="40" t="str">
        <f>R19</f>
        <v>CM</v>
      </c>
      <c r="B25" s="40">
        <f ca="1">Master!$AX$1</f>
        <v>45965</v>
      </c>
      <c r="C25" s="6">
        <v>0.47916666666666702</v>
      </c>
      <c r="D25" s="7">
        <f ca="1">Master!AP26</f>
        <v>24</v>
      </c>
      <c r="E25" s="8">
        <f>Master!N26</f>
        <v>17</v>
      </c>
      <c r="F25" s="9">
        <f t="shared" ca="1" si="1"/>
        <v>0.70833333333333337</v>
      </c>
      <c r="G25" s="9">
        <f>Master!G26</f>
        <v>0.78</v>
      </c>
      <c r="H25" s="19">
        <f t="shared" si="2"/>
        <v>13479.599999999999</v>
      </c>
      <c r="I25" s="8">
        <f>IFERROR(((Master!AI26*3600*24)*((Master!U26/100)/Master!N26)),0)</f>
        <v>792.91764705882349</v>
      </c>
      <c r="J25" s="8">
        <f>Master!U26</f>
        <v>94</v>
      </c>
      <c r="K25" s="8">
        <f ca="1">D25*Validation!$M$9/1800/IF(Validation!$N$9="",(IF(OR(NOT(ISNUMBER(J25)),J25=0),1,J25%)),Validation!$N$9)</f>
        <v>7.0588235294117645</v>
      </c>
      <c r="L25" s="8">
        <f>Master!AB26</f>
        <v>8</v>
      </c>
      <c r="M25" s="8">
        <f t="shared" ca="1" si="0"/>
        <v>0.9411764705882355</v>
      </c>
      <c r="N25" s="19" t="str">
        <f t="shared" ca="1" si="6"/>
        <v>Wait</v>
      </c>
      <c r="O25" s="23">
        <f t="shared" ca="1" si="4"/>
        <v>21.6</v>
      </c>
      <c r="P25" s="39" t="str">
        <f>T19</f>
        <v>N</v>
      </c>
      <c r="Q25" s="39">
        <f t="shared" si="5"/>
        <v>0.16597222222222222</v>
      </c>
    </row>
    <row r="26" spans="1:23" ht="22.5" thickTop="1" thickBot="1" x14ac:dyDescent="0.4">
      <c r="A26" s="40" t="str">
        <f>R19</f>
        <v>CM</v>
      </c>
      <c r="B26" s="40">
        <f ca="1">Master!$AX$1</f>
        <v>45965</v>
      </c>
      <c r="C26" s="6">
        <v>0.5</v>
      </c>
      <c r="D26" s="7">
        <f ca="1">Master!AP27</f>
        <v>26</v>
      </c>
      <c r="E26" s="8">
        <f>Master!N27</f>
        <v>26</v>
      </c>
      <c r="F26" s="9">
        <f t="shared" ca="1" si="1"/>
        <v>1</v>
      </c>
      <c r="G26" s="9">
        <f>Master!G27</f>
        <v>0.84</v>
      </c>
      <c r="H26" s="19">
        <f t="shared" si="2"/>
        <v>13280.4</v>
      </c>
      <c r="I26" s="8">
        <f>IFERROR(((Master!AI27*3600*24)*((Master!U27/100)/Master!N27)),0)</f>
        <v>510.78461538461539</v>
      </c>
      <c r="J26" s="8">
        <f>Master!U27</f>
        <v>93</v>
      </c>
      <c r="K26" s="8">
        <f ca="1">D26*Validation!$M$9/1800/IF(Validation!$N$9="",(IF(OR(NOT(ISNUMBER(J26)),J26=0),1,J26%)),Validation!$N$9)</f>
        <v>7.6470588235294121</v>
      </c>
      <c r="L26" s="8">
        <f>Master!AB27</f>
        <v>8</v>
      </c>
      <c r="M26" s="8">
        <f t="shared" ca="1" si="0"/>
        <v>0.35294117647058787</v>
      </c>
      <c r="N26" s="19" t="str">
        <f t="shared" ca="1" si="6"/>
        <v>Achived</v>
      </c>
      <c r="O26" s="23">
        <f t="shared" ca="1" si="4"/>
        <v>26</v>
      </c>
      <c r="P26" s="39" t="str">
        <f>T19</f>
        <v>N</v>
      </c>
      <c r="Q26" s="39">
        <f t="shared" si="5"/>
        <v>0.16527777777777777</v>
      </c>
      <c r="W26" s="36"/>
    </row>
    <row r="27" spans="1:23" ht="22.5" thickTop="1" thickBot="1" x14ac:dyDescent="0.4">
      <c r="A27" s="40" t="str">
        <f>R19</f>
        <v>CM</v>
      </c>
      <c r="B27" s="40">
        <f ca="1">Master!$AX$1</f>
        <v>45965</v>
      </c>
      <c r="C27" s="6">
        <v>0.52083333333333337</v>
      </c>
      <c r="D27" s="7">
        <f ca="1">Master!AP28</f>
        <v>27</v>
      </c>
      <c r="E27" s="8">
        <f>Master!N28</f>
        <v>25</v>
      </c>
      <c r="F27" s="9">
        <f t="shared" ca="1" si="1"/>
        <v>0.92592592592592593</v>
      </c>
      <c r="G27" s="9">
        <f>Master!G28</f>
        <v>0.57999999999999996</v>
      </c>
      <c r="H27" s="19">
        <f t="shared" si="2"/>
        <v>13622.999999999998</v>
      </c>
      <c r="I27" s="8">
        <f>IFERROR(((Master!AI28*3600*24)*((Master!U28/100)/Master!N28)),0)</f>
        <v>544.91999999999996</v>
      </c>
      <c r="J27" s="8">
        <f>Master!U28</f>
        <v>95</v>
      </c>
      <c r="K27" s="8">
        <f ca="1">D27*Validation!$M$9/1800/IF(Validation!$N$9="",(IF(OR(NOT(ISNUMBER(J27)),J27=0),1,J27%)),Validation!$N$9)</f>
        <v>7.9411764705882355</v>
      </c>
      <c r="L27" s="8">
        <f>Master!AB28</f>
        <v>8</v>
      </c>
      <c r="M27" s="8">
        <f t="shared" ca="1" si="0"/>
        <v>5.8823529411764497E-2</v>
      </c>
      <c r="N27" s="19" t="str">
        <f t="shared" ca="1" si="6"/>
        <v>Lost</v>
      </c>
      <c r="O27" s="23">
        <f t="shared" ca="1" si="4"/>
        <v>25</v>
      </c>
      <c r="P27" s="39" t="str">
        <f>T19</f>
        <v>N</v>
      </c>
      <c r="Q27" s="39">
        <f t="shared" si="5"/>
        <v>0.16597222222222219</v>
      </c>
      <c r="W27" s="36"/>
    </row>
    <row r="28" spans="1:23" ht="22.5" thickTop="1" thickBot="1" x14ac:dyDescent="0.4">
      <c r="A28" s="40" t="str">
        <f>R19</f>
        <v>CM</v>
      </c>
      <c r="B28" s="40">
        <f ca="1">Master!$AX$1</f>
        <v>45965</v>
      </c>
      <c r="C28" s="6">
        <v>0.54166666666666696</v>
      </c>
      <c r="D28" s="7">
        <f ca="1">Master!AP29</f>
        <v>30</v>
      </c>
      <c r="E28" s="8">
        <f>Master!N29</f>
        <v>30</v>
      </c>
      <c r="F28" s="9">
        <f t="shared" ca="1" si="1"/>
        <v>1</v>
      </c>
      <c r="G28" s="9">
        <f>Master!G29</f>
        <v>0.53</v>
      </c>
      <c r="H28" s="19">
        <f t="shared" si="2"/>
        <v>12475.800000000001</v>
      </c>
      <c r="I28" s="8">
        <f>IFERROR(((Master!AI29*3600*24)*((Master!U29/100)/Master!N29)),0)</f>
        <v>415.86</v>
      </c>
      <c r="J28" s="8">
        <f>Master!U29</f>
        <v>87</v>
      </c>
      <c r="K28" s="8">
        <f ca="1">D28*Validation!$M$9/1800/IF(Validation!$N$9="",(IF(OR(NOT(ISNUMBER(J28)),J28=0),1,J28%)),Validation!$N$9)</f>
        <v>8.8235294117647065</v>
      </c>
      <c r="L28" s="8">
        <f>Master!AB29</f>
        <v>8</v>
      </c>
      <c r="M28" s="8">
        <f t="shared" ca="1" si="0"/>
        <v>-0.82352941176470651</v>
      </c>
      <c r="N28" s="19" t="str">
        <f t="shared" ca="1" si="6"/>
        <v>Achived</v>
      </c>
      <c r="O28" s="23">
        <f t="shared" ca="1" si="4"/>
        <v>30</v>
      </c>
      <c r="P28" s="39" t="str">
        <f>T19</f>
        <v>N</v>
      </c>
      <c r="Q28" s="39">
        <f t="shared" si="5"/>
        <v>0.16597222222222224</v>
      </c>
      <c r="W28" s="36"/>
    </row>
    <row r="29" spans="1:23" ht="22.5" thickTop="1" thickBot="1" x14ac:dyDescent="0.4">
      <c r="A29" s="40" t="str">
        <f>R19</f>
        <v>CM</v>
      </c>
      <c r="B29" s="40">
        <f ca="1">Master!$AX$1</f>
        <v>45965</v>
      </c>
      <c r="C29" s="6">
        <v>0.5625</v>
      </c>
      <c r="D29" s="7">
        <f ca="1">Master!AP30</f>
        <v>29</v>
      </c>
      <c r="E29" s="8">
        <f>Master!N30</f>
        <v>30</v>
      </c>
      <c r="F29" s="9">
        <f t="shared" ca="1" si="1"/>
        <v>1.0344827586206897</v>
      </c>
      <c r="G29" s="9">
        <f>Master!G30</f>
        <v>0.56999999999999995</v>
      </c>
      <c r="H29" s="19">
        <f t="shared" si="2"/>
        <v>14054.399999999998</v>
      </c>
      <c r="I29" s="8">
        <f>IFERROR(((Master!AI30*3600*24)*((Master!U30/100)/Master!N30)),0)</f>
        <v>468.4799999999999</v>
      </c>
      <c r="J29" s="8">
        <f>Master!U30</f>
        <v>96</v>
      </c>
      <c r="K29" s="8">
        <f ca="1">D29*Validation!$M$9/1800/IF(Validation!$N$9="",(IF(OR(NOT(ISNUMBER(J29)),J29=0),1,J29%)),Validation!$N$9)</f>
        <v>8.5294117647058822</v>
      </c>
      <c r="L29" s="8">
        <f>Master!AB30</f>
        <v>9</v>
      </c>
      <c r="M29" s="8">
        <f t="shared" ca="1" si="0"/>
        <v>0.47058823529411775</v>
      </c>
      <c r="N29" s="19" t="str">
        <f t="shared" ca="1" si="6"/>
        <v>Achived</v>
      </c>
      <c r="O29" s="23">
        <f t="shared" ca="1" si="4"/>
        <v>30</v>
      </c>
      <c r="P29" s="39" t="str">
        <f>T19</f>
        <v>N</v>
      </c>
      <c r="Q29" s="39">
        <f t="shared" si="5"/>
        <v>0.16944444444444443</v>
      </c>
    </row>
    <row r="30" spans="1:23" ht="22.5" thickTop="1" thickBot="1" x14ac:dyDescent="0.4">
      <c r="A30" s="40" t="str">
        <f>R19</f>
        <v>CM</v>
      </c>
      <c r="B30" s="40">
        <f ca="1">Master!$AX$1</f>
        <v>45965</v>
      </c>
      <c r="C30" s="6">
        <v>0.58333333333333304</v>
      </c>
      <c r="D30" s="7">
        <f ca="1">Master!AP31</f>
        <v>29</v>
      </c>
      <c r="E30" s="8">
        <f>Master!N31</f>
        <v>26</v>
      </c>
      <c r="F30" s="9">
        <f t="shared" ca="1" si="1"/>
        <v>0.89655172413793105</v>
      </c>
      <c r="G30" s="9">
        <f>Master!G31</f>
        <v>0.71</v>
      </c>
      <c r="H30" s="19">
        <f t="shared" si="2"/>
        <v>13662</v>
      </c>
      <c r="I30" s="8">
        <f>IFERROR(((Master!AI31*3600*24)*((Master!U31/100)/Master!N31)),0)</f>
        <v>525.46153846153845</v>
      </c>
      <c r="J30" s="8">
        <f>Master!U31</f>
        <v>90</v>
      </c>
      <c r="K30" s="8">
        <f ca="1">D30*Validation!$M$9/1800/IF(Validation!$N$9="",(IF(OR(NOT(ISNUMBER(J30)),J30=0),1,J30%)),Validation!$N$9)</f>
        <v>8.5294117647058822</v>
      </c>
      <c r="L30" s="8">
        <f>Master!AB31</f>
        <v>10</v>
      </c>
      <c r="M30" s="8">
        <f t="shared" ca="1" si="0"/>
        <v>1.4705882352941178</v>
      </c>
      <c r="N30" s="19" t="str">
        <f t="shared" ca="1" si="6"/>
        <v>Lost</v>
      </c>
      <c r="O30" s="23">
        <f t="shared" ca="1" si="4"/>
        <v>26</v>
      </c>
      <c r="P30" s="39" t="str">
        <f>T19</f>
        <v>N</v>
      </c>
      <c r="Q30" s="39">
        <f t="shared" si="5"/>
        <v>0.17569444444444443</v>
      </c>
    </row>
    <row r="31" spans="1:23" ht="22.5" thickTop="1" thickBot="1" x14ac:dyDescent="0.4">
      <c r="A31" s="40" t="str">
        <f>R19</f>
        <v>CM</v>
      </c>
      <c r="B31" s="40">
        <f ca="1">Master!$AX$1</f>
        <v>45965</v>
      </c>
      <c r="C31" s="6">
        <v>0.60416666666666696</v>
      </c>
      <c r="D31" s="7">
        <f ca="1">Master!AP32</f>
        <v>24</v>
      </c>
      <c r="E31" s="8">
        <f>Master!N32</f>
        <v>19</v>
      </c>
      <c r="F31" s="9">
        <f t="shared" ca="1" si="1"/>
        <v>0.79166666666666663</v>
      </c>
      <c r="G31" s="9">
        <f>Master!G32</f>
        <v>0.94</v>
      </c>
      <c r="H31" s="19">
        <f t="shared" si="2"/>
        <v>15310.2</v>
      </c>
      <c r="I31" s="8">
        <f>IFERROR(((Master!AI32*3600*24)*((Master!U32/100)/Master!N32)),0)</f>
        <v>805.80000000000007</v>
      </c>
      <c r="J31" s="8">
        <f>Master!U32</f>
        <v>79</v>
      </c>
      <c r="K31" s="8">
        <f ca="1">D31*Validation!$M$9/1800/IF(Validation!$N$9="",(IF(OR(NOT(ISNUMBER(J31)),J31=0),1,J31%)),Validation!$N$9)</f>
        <v>7.0588235294117645</v>
      </c>
      <c r="L31" s="8">
        <f>Master!AB32</f>
        <v>13</v>
      </c>
      <c r="M31" s="8">
        <f t="shared" ca="1" si="0"/>
        <v>5.9411764705882355</v>
      </c>
      <c r="N31" s="19" t="str">
        <f t="shared" ca="1" si="6"/>
        <v>Wait</v>
      </c>
      <c r="O31" s="23">
        <f t="shared" ca="1" si="4"/>
        <v>21.6</v>
      </c>
      <c r="P31" s="39" t="str">
        <f>T19</f>
        <v>N</v>
      </c>
      <c r="Q31" s="39">
        <f t="shared" si="5"/>
        <v>0.22430555555555556</v>
      </c>
    </row>
    <row r="32" spans="1:23" ht="22.5" thickTop="1" thickBot="1" x14ac:dyDescent="0.4">
      <c r="A32" s="40" t="str">
        <f>R19</f>
        <v>CM</v>
      </c>
      <c r="B32" s="40">
        <f ca="1">Master!$AX$1</f>
        <v>45965</v>
      </c>
      <c r="C32" s="6">
        <v>0.625</v>
      </c>
      <c r="D32" s="7">
        <f ca="1">Master!AP33</f>
        <v>30</v>
      </c>
      <c r="E32" s="8">
        <f>Master!N33</f>
        <v>22</v>
      </c>
      <c r="F32" s="9">
        <f t="shared" ca="1" si="1"/>
        <v>0.73333333333333328</v>
      </c>
      <c r="G32" s="9">
        <f>Master!G33</f>
        <v>1</v>
      </c>
      <c r="H32" s="19">
        <f t="shared" si="2"/>
        <v>17135.999999999996</v>
      </c>
      <c r="I32" s="8">
        <f>IFERROR(((Master!AI33*3600*24)*((Master!U33/100)/Master!N33)),0)</f>
        <v>778.90909090909076</v>
      </c>
      <c r="J32" s="8">
        <f>Master!U33</f>
        <v>85</v>
      </c>
      <c r="K32" s="8">
        <f ca="1">D32*Validation!$M$9/1800/IF(Validation!$N$9="",(IF(OR(NOT(ISNUMBER(J32)),J32=0),1,J32%)),Validation!$N$9)</f>
        <v>8.8235294117647065</v>
      </c>
      <c r="L32" s="8">
        <f>Master!AB33</f>
        <v>14</v>
      </c>
      <c r="M32" s="8">
        <f t="shared" ca="1" si="0"/>
        <v>5.1764705882352935</v>
      </c>
      <c r="N32" s="19" t="str">
        <f t="shared" ca="1" si="6"/>
        <v>Wait</v>
      </c>
      <c r="O32" s="23">
        <f t="shared" ca="1" si="4"/>
        <v>27</v>
      </c>
      <c r="P32" s="39" t="str">
        <f>T19</f>
        <v>N</v>
      </c>
      <c r="Q32" s="39">
        <f t="shared" si="5"/>
        <v>0.23333333333333328</v>
      </c>
    </row>
    <row r="33" spans="1:20" ht="22.5" thickTop="1" thickBot="1" x14ac:dyDescent="0.4">
      <c r="A33" s="40" t="str">
        <f>R19</f>
        <v>CM</v>
      </c>
      <c r="B33" s="40">
        <f ca="1">Master!$AX$1</f>
        <v>45965</v>
      </c>
      <c r="C33" s="6">
        <v>0.64583333333333304</v>
      </c>
      <c r="D33" s="7">
        <f ca="1">Master!AP34</f>
        <v>27</v>
      </c>
      <c r="E33" s="8">
        <f>Master!N34</f>
        <v>29</v>
      </c>
      <c r="F33" s="9">
        <f t="shared" ca="1" si="1"/>
        <v>1.0740740740740742</v>
      </c>
      <c r="G33" s="9">
        <f>Master!G34</f>
        <v>0.97</v>
      </c>
      <c r="H33" s="19">
        <f t="shared" si="2"/>
        <v>23426.400000000001</v>
      </c>
      <c r="I33" s="8">
        <f>IFERROR(((Master!AI34*3600*24)*((Master!U34/100)/Master!N34)),0)</f>
        <v>807.80689655172421</v>
      </c>
      <c r="J33" s="8">
        <f>Master!U34</f>
        <v>86</v>
      </c>
      <c r="K33" s="8">
        <f ca="1">D33*Validation!$M$9/1800/IF(Validation!$N$9="",(IF(OR(NOT(ISNUMBER(J33)),J33=0),1,J33%)),Validation!$N$9)</f>
        <v>7.9411764705882355</v>
      </c>
      <c r="L33" s="8">
        <f>Master!AB34</f>
        <v>8</v>
      </c>
      <c r="M33" s="8">
        <f t="shared" ca="1" si="0"/>
        <v>5.8823529411764497E-2</v>
      </c>
      <c r="N33" s="19" t="str">
        <f t="shared" ca="1" si="6"/>
        <v>Achived</v>
      </c>
      <c r="O33" s="23">
        <f t="shared" ca="1" si="4"/>
        <v>29</v>
      </c>
      <c r="P33" s="39" t="str">
        <f>T19</f>
        <v>N</v>
      </c>
      <c r="Q33" s="39">
        <f t="shared" si="5"/>
        <v>0.31527777777777782</v>
      </c>
    </row>
    <row r="34" spans="1:20" ht="22.5" thickTop="1" thickBot="1" x14ac:dyDescent="0.4">
      <c r="A34" s="40" t="str">
        <f>R19</f>
        <v>CM</v>
      </c>
      <c r="B34" s="40">
        <f ca="1">Master!$AX$1</f>
        <v>45965</v>
      </c>
      <c r="C34" s="6">
        <v>0.66666666666666696</v>
      </c>
      <c r="D34" s="7">
        <f ca="1">Master!AP35</f>
        <v>25</v>
      </c>
      <c r="E34" s="8">
        <f>Master!N35</f>
        <v>27</v>
      </c>
      <c r="F34" s="9">
        <f t="shared" ca="1" si="1"/>
        <v>1.08</v>
      </c>
      <c r="G34" s="9">
        <f>Master!G35</f>
        <v>1</v>
      </c>
      <c r="H34" s="19">
        <f t="shared" si="2"/>
        <v>22651.199999999997</v>
      </c>
      <c r="I34" s="8">
        <f>IFERROR(((Master!AI35*3600*24)*((Master!U35/100)/Master!N35)),0)</f>
        <v>838.93333333333328</v>
      </c>
      <c r="J34" s="8">
        <f>Master!U35</f>
        <v>88</v>
      </c>
      <c r="K34" s="8">
        <f ca="1">D34*Validation!$M$9/1800/IF(Validation!$N$9="",(IF(OR(NOT(ISNUMBER(J34)),J34=0),1,J34%)),Validation!$N$9)</f>
        <v>7.3529411764705888</v>
      </c>
      <c r="L34" s="8">
        <f>Master!AB35</f>
        <v>15</v>
      </c>
      <c r="M34" s="8">
        <f t="shared" ca="1" si="0"/>
        <v>7.6470588235294112</v>
      </c>
      <c r="N34" s="19" t="str">
        <f t="shared" ca="1" si="6"/>
        <v>Achived</v>
      </c>
      <c r="O34" s="23">
        <f t="shared" ca="1" si="4"/>
        <v>27</v>
      </c>
      <c r="P34" s="39" t="str">
        <f>T19</f>
        <v>N</v>
      </c>
      <c r="Q34" s="39">
        <f t="shared" si="5"/>
        <v>0.29791666666666661</v>
      </c>
    </row>
    <row r="35" spans="1:20" ht="22.5" thickTop="1" thickBot="1" x14ac:dyDescent="0.4">
      <c r="A35" s="40" t="str">
        <f>R19</f>
        <v>CM</v>
      </c>
      <c r="B35" s="40">
        <f ca="1">Master!$AX$1</f>
        <v>45965</v>
      </c>
      <c r="C35" s="6">
        <v>0.6875</v>
      </c>
      <c r="D35" s="7">
        <f ca="1">Master!AP36</f>
        <v>27</v>
      </c>
      <c r="E35" s="8">
        <f>Master!N36</f>
        <v>0</v>
      </c>
      <c r="F35" s="9" t="str">
        <f t="shared" si="1"/>
        <v/>
      </c>
      <c r="G35" s="9">
        <f>Master!G36</f>
        <v>0</v>
      </c>
      <c r="H35" s="19">
        <f t="shared" si="2"/>
        <v>0</v>
      </c>
      <c r="I35" s="8">
        <f>IFERROR(((Master!AI36*3600*24)*((Master!U36/100)/Master!N36)),0)</f>
        <v>0</v>
      </c>
      <c r="J35" s="8">
        <f>Master!U36</f>
        <v>0</v>
      </c>
      <c r="K35" s="8">
        <f ca="1">D35*Validation!$M$9/1800/IF(Validation!$N$9="",(IF(OR(NOT(ISNUMBER(J35)),J35=0),1,J35%)),Validation!$N$9)</f>
        <v>7.9411764705882355</v>
      </c>
      <c r="L35" s="8">
        <f>Master!AB36</f>
        <v>0</v>
      </c>
      <c r="M35" s="8" t="str">
        <f t="shared" si="0"/>
        <v>-</v>
      </c>
      <c r="N35" s="19" t="str">
        <f t="shared" si="6"/>
        <v/>
      </c>
      <c r="O35" s="23">
        <f t="shared" si="4"/>
        <v>0</v>
      </c>
      <c r="P35" s="39" t="str">
        <f>T19</f>
        <v>N</v>
      </c>
      <c r="Q35" s="39">
        <f t="shared" si="5"/>
        <v>0</v>
      </c>
    </row>
    <row r="36" spans="1:20" ht="22.5" thickTop="1" thickBot="1" x14ac:dyDescent="0.4">
      <c r="A36" s="40" t="str">
        <f>R19</f>
        <v>CM</v>
      </c>
      <c r="B36" s="40">
        <f ca="1">Master!$AX$1</f>
        <v>45965</v>
      </c>
      <c r="C36" s="6">
        <v>0.70833333333333304</v>
      </c>
      <c r="D36" s="7">
        <f ca="1">Master!AP37</f>
        <v>23</v>
      </c>
      <c r="E36" s="8">
        <f>Master!N37</f>
        <v>0</v>
      </c>
      <c r="F36" s="9" t="str">
        <f t="shared" si="1"/>
        <v/>
      </c>
      <c r="G36" s="9">
        <f>Master!G37</f>
        <v>0</v>
      </c>
      <c r="H36" s="19">
        <f t="shared" si="2"/>
        <v>0</v>
      </c>
      <c r="I36" s="8">
        <f>IFERROR(((Master!AI37*3600*24)*((Master!U37/100)/Master!N37)),0)</f>
        <v>0</v>
      </c>
      <c r="J36" s="8">
        <f>Master!U37</f>
        <v>0</v>
      </c>
      <c r="K36" s="8">
        <f ca="1">D36*Validation!$M$9/1800/IF(Validation!$N$9="",(IF(OR(NOT(ISNUMBER(J36)),J36=0),1,J36%)),Validation!$N$9)</f>
        <v>6.7647058823529411</v>
      </c>
      <c r="L36" s="8">
        <f>Master!AB37</f>
        <v>0</v>
      </c>
      <c r="M36" s="8" t="str">
        <f t="shared" si="0"/>
        <v>-</v>
      </c>
      <c r="N36" s="19" t="str">
        <f t="shared" si="6"/>
        <v/>
      </c>
      <c r="O36" s="23">
        <f t="shared" si="4"/>
        <v>0</v>
      </c>
      <c r="P36" s="39" t="str">
        <f>T19</f>
        <v>N</v>
      </c>
      <c r="Q36" s="39">
        <f t="shared" si="5"/>
        <v>0</v>
      </c>
    </row>
    <row r="37" spans="1:20" ht="22.5" thickTop="1" thickBot="1" x14ac:dyDescent="0.4">
      <c r="A37" s="40" t="str">
        <f>R19</f>
        <v>CM</v>
      </c>
      <c r="B37" s="40">
        <f ca="1">Master!$AX$1</f>
        <v>45965</v>
      </c>
      <c r="C37" s="6">
        <v>0.72916666666666696</v>
      </c>
      <c r="D37" s="7">
        <f ca="1">Master!AP38</f>
        <v>30</v>
      </c>
      <c r="E37" s="8">
        <f>Master!N38</f>
        <v>0</v>
      </c>
      <c r="F37" s="9" t="str">
        <f t="shared" si="1"/>
        <v/>
      </c>
      <c r="G37" s="9">
        <f>Master!G38</f>
        <v>0</v>
      </c>
      <c r="H37" s="19">
        <f t="shared" si="2"/>
        <v>0</v>
      </c>
      <c r="I37" s="8">
        <f>IFERROR(((Master!AI38*3600*24)*((Master!U38/100)/Master!N38)),0)</f>
        <v>0</v>
      </c>
      <c r="J37" s="8">
        <f>Master!U38</f>
        <v>0</v>
      </c>
      <c r="K37" s="8">
        <f ca="1">D37*Validation!$M$9/1800/IF(Validation!$N$9="",(IF(OR(NOT(ISNUMBER(J37)),J37=0),1,J37%)),Validation!$N$9)</f>
        <v>8.8235294117647065</v>
      </c>
      <c r="L37" s="8">
        <f>Master!AB38</f>
        <v>0</v>
      </c>
      <c r="M37" s="8" t="str">
        <f t="shared" si="0"/>
        <v>-</v>
      </c>
      <c r="N37" s="19" t="str">
        <f t="shared" si="6"/>
        <v/>
      </c>
      <c r="O37" s="23">
        <f t="shared" si="4"/>
        <v>0</v>
      </c>
      <c r="P37" s="39" t="str">
        <f>T19</f>
        <v>N</v>
      </c>
      <c r="Q37" s="39">
        <f t="shared" si="5"/>
        <v>0</v>
      </c>
      <c r="T37" s="36"/>
    </row>
    <row r="38" spans="1:20" ht="22.5" thickTop="1" thickBot="1" x14ac:dyDescent="0.4">
      <c r="A38" s="40" t="str">
        <f>R19</f>
        <v>CM</v>
      </c>
      <c r="B38" s="40">
        <f ca="1">Master!$AX$1</f>
        <v>45965</v>
      </c>
      <c r="C38" s="6">
        <v>0.75</v>
      </c>
      <c r="D38" s="7">
        <f ca="1">Master!AP39</f>
        <v>30</v>
      </c>
      <c r="E38" s="8">
        <f>Master!N39</f>
        <v>0</v>
      </c>
      <c r="F38" s="9" t="str">
        <f t="shared" si="1"/>
        <v/>
      </c>
      <c r="G38" s="9">
        <f>Master!G39</f>
        <v>0</v>
      </c>
      <c r="H38" s="19">
        <f t="shared" si="2"/>
        <v>0</v>
      </c>
      <c r="I38" s="8">
        <f>IFERROR(((Master!AI39*3600*24)*((Master!U39/100)/Master!N39)),0)</f>
        <v>0</v>
      </c>
      <c r="J38" s="8">
        <f>Master!U39</f>
        <v>0</v>
      </c>
      <c r="K38" s="8">
        <f ca="1">D38*Validation!$M$9/1800/IF(Validation!$N$9="",(IF(OR(NOT(ISNUMBER(J38)),J38=0),1,J38%)),Validation!$N$9)</f>
        <v>8.8235294117647065</v>
      </c>
      <c r="L38" s="8">
        <f>Master!AB39</f>
        <v>0</v>
      </c>
      <c r="M38" s="8" t="str">
        <f t="shared" si="0"/>
        <v>-</v>
      </c>
      <c r="N38" s="19" t="str">
        <f t="shared" si="6"/>
        <v/>
      </c>
      <c r="O38" s="23">
        <f t="shared" si="4"/>
        <v>0</v>
      </c>
      <c r="P38" s="39" t="str">
        <f>T19</f>
        <v>N</v>
      </c>
      <c r="Q38" s="39">
        <f t="shared" si="5"/>
        <v>0</v>
      </c>
    </row>
    <row r="39" spans="1:20" ht="22.5" thickTop="1" thickBot="1" x14ac:dyDescent="0.4">
      <c r="A39" s="40" t="str">
        <f>R19</f>
        <v>CM</v>
      </c>
      <c r="B39" s="40">
        <f ca="1">Master!$AX$1</f>
        <v>45965</v>
      </c>
      <c r="C39" s="6">
        <v>0.77083333333333304</v>
      </c>
      <c r="D39" s="7">
        <f ca="1">Master!AP40</f>
        <v>23</v>
      </c>
      <c r="E39" s="8">
        <f>Master!N40</f>
        <v>0</v>
      </c>
      <c r="F39" s="9" t="str">
        <f t="shared" si="1"/>
        <v/>
      </c>
      <c r="G39" s="9">
        <f>Master!G40</f>
        <v>0</v>
      </c>
      <c r="H39" s="19">
        <f t="shared" si="2"/>
        <v>0</v>
      </c>
      <c r="I39" s="8">
        <f>IFERROR(((Master!AI40*3600*24)*((Master!U40/100)/Master!N40)),0)</f>
        <v>0</v>
      </c>
      <c r="J39" s="8">
        <f>Master!U40</f>
        <v>0</v>
      </c>
      <c r="K39" s="8">
        <f ca="1">D39*Validation!$M$9/1800/IF(Validation!$N$9="",(IF(OR(NOT(ISNUMBER(J39)),J39=0),1,J39%)),Validation!$N$9)</f>
        <v>6.7647058823529411</v>
      </c>
      <c r="L39" s="8">
        <f>Master!AB40</f>
        <v>0</v>
      </c>
      <c r="M39" s="8" t="str">
        <f t="shared" si="0"/>
        <v>-</v>
      </c>
      <c r="N39" s="19" t="str">
        <f t="shared" si="6"/>
        <v/>
      </c>
      <c r="O39" s="23">
        <f t="shared" si="4"/>
        <v>0</v>
      </c>
      <c r="P39" s="39" t="str">
        <f>T19</f>
        <v>N</v>
      </c>
      <c r="Q39" s="39">
        <f t="shared" si="5"/>
        <v>0</v>
      </c>
    </row>
    <row r="40" spans="1:20" ht="22.5" thickTop="1" thickBot="1" x14ac:dyDescent="0.4">
      <c r="A40" s="40" t="str">
        <f>R19</f>
        <v>CM</v>
      </c>
      <c r="B40" s="40">
        <f ca="1">Master!$AX$1</f>
        <v>45965</v>
      </c>
      <c r="C40" s="6">
        <v>0.79166666666666696</v>
      </c>
      <c r="D40" s="7">
        <f ca="1">Master!AP41</f>
        <v>24</v>
      </c>
      <c r="E40" s="8">
        <f>Master!N41</f>
        <v>0</v>
      </c>
      <c r="F40" s="9" t="str">
        <f t="shared" si="1"/>
        <v/>
      </c>
      <c r="G40" s="9">
        <f>Master!G41</f>
        <v>0</v>
      </c>
      <c r="H40" s="19">
        <f t="shared" si="2"/>
        <v>0</v>
      </c>
      <c r="I40" s="8">
        <f>IFERROR(((Master!AI41*3600*24)*((Master!U41/100)/Master!N41)),0)</f>
        <v>0</v>
      </c>
      <c r="J40" s="8">
        <f>Master!U41</f>
        <v>0</v>
      </c>
      <c r="K40" s="8">
        <f ca="1">D40*Validation!$M$9/1800/IF(Validation!$N$9="",(IF(OR(NOT(ISNUMBER(J40)),J40=0),1,J40%)),Validation!$N$9)</f>
        <v>7.0588235294117645</v>
      </c>
      <c r="L40" s="8">
        <f>Master!AB41</f>
        <v>0</v>
      </c>
      <c r="M40" s="8" t="str">
        <f t="shared" si="0"/>
        <v>-</v>
      </c>
      <c r="N40" s="19" t="str">
        <f t="shared" si="6"/>
        <v/>
      </c>
      <c r="O40" s="23">
        <f t="shared" si="4"/>
        <v>0</v>
      </c>
      <c r="P40" s="39" t="str">
        <f>T19</f>
        <v>N</v>
      </c>
      <c r="Q40" s="39">
        <f t="shared" si="5"/>
        <v>0</v>
      </c>
    </row>
    <row r="41" spans="1:20" ht="22.5" thickTop="1" thickBot="1" x14ac:dyDescent="0.4">
      <c r="A41" s="40" t="str">
        <f>R19</f>
        <v>CM</v>
      </c>
      <c r="B41" s="40">
        <f ca="1">Master!$AX$1</f>
        <v>45965</v>
      </c>
      <c r="C41" s="6">
        <v>0.8125</v>
      </c>
      <c r="D41" s="7">
        <f ca="1">Master!AP42</f>
        <v>24</v>
      </c>
      <c r="E41" s="8">
        <f>Master!N42</f>
        <v>0</v>
      </c>
      <c r="F41" s="9" t="str">
        <f t="shared" si="1"/>
        <v/>
      </c>
      <c r="G41" s="9">
        <f>Master!G42</f>
        <v>0</v>
      </c>
      <c r="H41" s="19">
        <f t="shared" si="2"/>
        <v>0</v>
      </c>
      <c r="I41" s="8">
        <f>IFERROR(((Master!AI42*3600*24)*((Master!U42/100)/Master!N42)),0)</f>
        <v>0</v>
      </c>
      <c r="J41" s="8">
        <f>Master!U42</f>
        <v>0</v>
      </c>
      <c r="K41" s="8">
        <f ca="1">D41*Validation!$M$9/1800/IF(Validation!$N$9="",(IF(OR(NOT(ISNUMBER(J41)),J41=0),1,J41%)),Validation!$N$9)</f>
        <v>7.0588235294117645</v>
      </c>
      <c r="L41" s="8">
        <f>Master!AB42</f>
        <v>0</v>
      </c>
      <c r="M41" s="8" t="str">
        <f t="shared" si="0"/>
        <v>-</v>
      </c>
      <c r="N41" s="19" t="str">
        <f t="shared" si="6"/>
        <v/>
      </c>
      <c r="O41" s="23">
        <f t="shared" si="4"/>
        <v>0</v>
      </c>
      <c r="P41" s="39" t="str">
        <f>T19</f>
        <v>N</v>
      </c>
      <c r="Q41" s="39">
        <f t="shared" si="5"/>
        <v>0</v>
      </c>
    </row>
    <row r="42" spans="1:20" ht="22.5" thickTop="1" thickBot="1" x14ac:dyDescent="0.4">
      <c r="A42" s="40" t="str">
        <f>R19</f>
        <v>CM</v>
      </c>
      <c r="B42" s="40">
        <f ca="1">Master!$AX$1</f>
        <v>45965</v>
      </c>
      <c r="C42" s="6">
        <v>0.83333333333333304</v>
      </c>
      <c r="D42" s="7">
        <f ca="1">Master!AP43</f>
        <v>52</v>
      </c>
      <c r="E42" s="8">
        <f>Master!N43</f>
        <v>0</v>
      </c>
      <c r="F42" s="9" t="str">
        <f t="shared" si="1"/>
        <v/>
      </c>
      <c r="G42" s="9">
        <f>Master!G43</f>
        <v>0</v>
      </c>
      <c r="H42" s="19">
        <f t="shared" si="2"/>
        <v>0</v>
      </c>
      <c r="I42" s="8">
        <f>IFERROR(((Master!AI43*3600*24)*((Master!U43/100)/Master!N43)),0)</f>
        <v>0</v>
      </c>
      <c r="J42" s="8">
        <f>Master!U43</f>
        <v>0</v>
      </c>
      <c r="K42" s="8">
        <f ca="1">D42*Validation!$M$9/1800/IF(Validation!$N$9="",(IF(OR(NOT(ISNUMBER(J42)),J42=0),1,J42%)),Validation!$N$9)</f>
        <v>15.294117647058824</v>
      </c>
      <c r="L42" s="8">
        <f>Master!AB43</f>
        <v>0</v>
      </c>
      <c r="M42" s="8" t="str">
        <f t="shared" si="0"/>
        <v>-</v>
      </c>
      <c r="N42" s="19" t="str">
        <f t="shared" si="6"/>
        <v/>
      </c>
      <c r="O42" s="23">
        <f t="shared" si="4"/>
        <v>0</v>
      </c>
      <c r="P42" s="39" t="str">
        <f>T19</f>
        <v>N</v>
      </c>
      <c r="Q42" s="39">
        <f t="shared" si="5"/>
        <v>0</v>
      </c>
    </row>
    <row r="43" spans="1:20" ht="22.5" thickTop="1" thickBot="1" x14ac:dyDescent="0.4">
      <c r="A43" s="40" t="str">
        <f>R19</f>
        <v>CM</v>
      </c>
      <c r="B43" s="40">
        <f ca="1">Master!$AX$1</f>
        <v>45965</v>
      </c>
      <c r="C43" s="6">
        <v>0.85416666666666696</v>
      </c>
      <c r="D43" s="7">
        <f ca="1">Master!AP44</f>
        <v>52</v>
      </c>
      <c r="E43" s="8">
        <f>Master!N44</f>
        <v>0</v>
      </c>
      <c r="F43" s="9" t="str">
        <f t="shared" si="1"/>
        <v/>
      </c>
      <c r="G43" s="9">
        <f>Master!G44</f>
        <v>0</v>
      </c>
      <c r="H43" s="19">
        <f t="shared" si="2"/>
        <v>0</v>
      </c>
      <c r="I43" s="8">
        <f>IFERROR(((Master!AI44*3600*24)*((Master!U44/100)/Master!N44)),0)</f>
        <v>0</v>
      </c>
      <c r="J43" s="8">
        <f>Master!U44</f>
        <v>0</v>
      </c>
      <c r="K43" s="8">
        <f ca="1">D43*Validation!$M$9/1800/IF(Validation!$N$9="",(IF(OR(NOT(ISNUMBER(J43)),J43=0),1,J43%)),Validation!$N$9)</f>
        <v>15.294117647058824</v>
      </c>
      <c r="L43" s="8">
        <f>Master!AB44</f>
        <v>0</v>
      </c>
      <c r="M43" s="8" t="str">
        <f t="shared" si="0"/>
        <v>-</v>
      </c>
      <c r="N43" s="19" t="str">
        <f t="shared" si="6"/>
        <v/>
      </c>
      <c r="O43" s="23">
        <f t="shared" si="4"/>
        <v>0</v>
      </c>
      <c r="P43" s="39" t="str">
        <f>T19</f>
        <v>N</v>
      </c>
      <c r="Q43" s="39">
        <f t="shared" si="5"/>
        <v>0</v>
      </c>
    </row>
    <row r="44" spans="1:20" ht="22.5" thickTop="1" thickBot="1" x14ac:dyDescent="0.4">
      <c r="A44" s="40" t="str">
        <f>R19</f>
        <v>CM</v>
      </c>
      <c r="B44" s="40">
        <f ca="1">Master!$AX$1</f>
        <v>45965</v>
      </c>
      <c r="C44" s="6">
        <v>0.875</v>
      </c>
      <c r="D44" s="7">
        <f ca="1">Master!AP45</f>
        <v>50</v>
      </c>
      <c r="E44" s="8">
        <f>Master!N45</f>
        <v>0</v>
      </c>
      <c r="F44" s="9" t="str">
        <f t="shared" si="1"/>
        <v/>
      </c>
      <c r="G44" s="9">
        <f>Master!G45</f>
        <v>0</v>
      </c>
      <c r="H44" s="19">
        <f t="shared" si="2"/>
        <v>0</v>
      </c>
      <c r="I44" s="8">
        <f>IFERROR(((Master!AI45*3600*24)*((Master!U45/100)/Master!N45)),0)</f>
        <v>0</v>
      </c>
      <c r="J44" s="8">
        <f>Master!U45</f>
        <v>0</v>
      </c>
      <c r="K44" s="8">
        <f ca="1">D44*Validation!$M$9/1800/IF(Validation!$N$9="",(IF(OR(NOT(ISNUMBER(J44)),J44=0),1,J44%)),Validation!$N$9)</f>
        <v>14.705882352941178</v>
      </c>
      <c r="L44" s="8">
        <f>Master!AB45</f>
        <v>0</v>
      </c>
      <c r="M44" s="8" t="str">
        <f t="shared" si="0"/>
        <v>-</v>
      </c>
      <c r="N44" s="19" t="str">
        <f t="shared" si="6"/>
        <v/>
      </c>
      <c r="O44" s="23">
        <f t="shared" si="4"/>
        <v>0</v>
      </c>
      <c r="P44" s="39" t="str">
        <f>T19</f>
        <v>N</v>
      </c>
      <c r="Q44" s="39">
        <f t="shared" si="5"/>
        <v>0</v>
      </c>
    </row>
    <row r="45" spans="1:20" ht="22.5" thickTop="1" thickBot="1" x14ac:dyDescent="0.4">
      <c r="A45" s="40" t="str">
        <f>R19</f>
        <v>CM</v>
      </c>
      <c r="B45" s="40">
        <f ca="1">Master!$AX$1</f>
        <v>45965</v>
      </c>
      <c r="C45" s="6">
        <v>0.89583333333333304</v>
      </c>
      <c r="D45" s="7">
        <f ca="1">Master!AP46</f>
        <v>47</v>
      </c>
      <c r="E45" s="8">
        <f>Master!N46</f>
        <v>0</v>
      </c>
      <c r="F45" s="9" t="str">
        <f t="shared" si="1"/>
        <v/>
      </c>
      <c r="G45" s="9">
        <f>Master!G46</f>
        <v>0</v>
      </c>
      <c r="H45" s="19">
        <f t="shared" si="2"/>
        <v>0</v>
      </c>
      <c r="I45" s="8">
        <f>IFERROR(((Master!AI46*3600*24)*((Master!U46/100)/Master!N46)),0)</f>
        <v>0</v>
      </c>
      <c r="J45" s="8">
        <f>Master!U46</f>
        <v>0</v>
      </c>
      <c r="K45" s="8">
        <f ca="1">D45*Validation!$M$9/1800/IF(Validation!$N$9="",(IF(OR(NOT(ISNUMBER(J45)),J45=0),1,J45%)),Validation!$N$9)</f>
        <v>13.823529411764707</v>
      </c>
      <c r="L45" s="8">
        <f>Master!AB46</f>
        <v>0</v>
      </c>
      <c r="M45" s="8" t="str">
        <f t="shared" si="0"/>
        <v>-</v>
      </c>
      <c r="N45" s="19" t="str">
        <f t="shared" si="6"/>
        <v/>
      </c>
      <c r="O45" s="23">
        <f t="shared" si="4"/>
        <v>0</v>
      </c>
      <c r="P45" s="39" t="str">
        <f>T19</f>
        <v>N</v>
      </c>
      <c r="Q45" s="39">
        <f t="shared" si="5"/>
        <v>0</v>
      </c>
    </row>
    <row r="46" spans="1:20" ht="22.5" thickTop="1" thickBot="1" x14ac:dyDescent="0.4">
      <c r="A46" s="40" t="str">
        <f>R19</f>
        <v>CM</v>
      </c>
      <c r="B46" s="40">
        <f ca="1">Master!$AX$1</f>
        <v>45965</v>
      </c>
      <c r="C46" s="6">
        <v>0.91666666666666696</v>
      </c>
      <c r="D46" s="7">
        <f ca="1">Master!AP47</f>
        <v>36</v>
      </c>
      <c r="E46" s="8">
        <f>Master!N47</f>
        <v>0</v>
      </c>
      <c r="F46" s="9" t="str">
        <f t="shared" si="1"/>
        <v/>
      </c>
      <c r="G46" s="9">
        <f>Master!G47</f>
        <v>0</v>
      </c>
      <c r="H46" s="19">
        <f t="shared" si="2"/>
        <v>0</v>
      </c>
      <c r="I46" s="8">
        <f>IFERROR(((Master!AI47*3600*24)*((Master!U47/100)/Master!N47)),0)</f>
        <v>0</v>
      </c>
      <c r="J46" s="8">
        <f>Master!U47</f>
        <v>0</v>
      </c>
      <c r="K46" s="8">
        <f ca="1">D46*Validation!$M$9/1800/IF(Validation!$N$9="",(IF(OR(NOT(ISNUMBER(J46)),J46=0),1,J46%)),Validation!$N$9)</f>
        <v>10.588235294117647</v>
      </c>
      <c r="L46" s="8">
        <f>Master!AB47</f>
        <v>0</v>
      </c>
      <c r="M46" s="8" t="str">
        <f t="shared" si="0"/>
        <v>-</v>
      </c>
      <c r="N46" s="19" t="str">
        <f t="shared" si="6"/>
        <v/>
      </c>
      <c r="O46" s="23">
        <f t="shared" si="4"/>
        <v>0</v>
      </c>
      <c r="P46" s="39" t="str">
        <f>T19</f>
        <v>N</v>
      </c>
      <c r="Q46" s="39">
        <f t="shared" si="5"/>
        <v>0</v>
      </c>
    </row>
    <row r="47" spans="1:20" ht="22.5" thickTop="1" thickBot="1" x14ac:dyDescent="0.4">
      <c r="A47" s="40" t="str">
        <f>R19</f>
        <v>CM</v>
      </c>
      <c r="B47" s="40">
        <f ca="1">Master!$AX$1</f>
        <v>45965</v>
      </c>
      <c r="C47" s="6">
        <v>0.9375</v>
      </c>
      <c r="D47" s="7">
        <f ca="1">Master!AP48</f>
        <v>35</v>
      </c>
      <c r="E47" s="8">
        <f>Master!N48</f>
        <v>0</v>
      </c>
      <c r="F47" s="9" t="str">
        <f t="shared" si="1"/>
        <v/>
      </c>
      <c r="G47" s="9">
        <f>Master!G48</f>
        <v>0</v>
      </c>
      <c r="H47" s="19">
        <f t="shared" si="2"/>
        <v>0</v>
      </c>
      <c r="I47" s="8">
        <f>IFERROR(((Master!AI48*3600*24)*((Master!U48/100)/Master!N48)),0)</f>
        <v>0</v>
      </c>
      <c r="J47" s="8">
        <f>Master!U48</f>
        <v>0</v>
      </c>
      <c r="K47" s="8">
        <f ca="1">D47*Validation!$M$9/1800/IF(Validation!$N$9="",(IF(OR(NOT(ISNUMBER(J47)),J47=0),1,J47%)),Validation!$N$9)</f>
        <v>10.294117647058824</v>
      </c>
      <c r="L47" s="8">
        <f>Master!AB48</f>
        <v>0</v>
      </c>
      <c r="M47" s="8" t="str">
        <f t="shared" si="0"/>
        <v>-</v>
      </c>
      <c r="N47" s="19" t="str">
        <f t="shared" si="6"/>
        <v/>
      </c>
      <c r="O47" s="23">
        <f t="shared" si="4"/>
        <v>0</v>
      </c>
      <c r="P47" s="39" t="str">
        <f>T19</f>
        <v>N</v>
      </c>
      <c r="Q47" s="39">
        <f t="shared" si="5"/>
        <v>0</v>
      </c>
    </row>
    <row r="48" spans="1:20" ht="22.5" thickTop="1" thickBot="1" x14ac:dyDescent="0.4">
      <c r="A48" s="40" t="str">
        <f>R19</f>
        <v>CM</v>
      </c>
      <c r="B48" s="40">
        <f ca="1">Master!$AX$1</f>
        <v>45965</v>
      </c>
      <c r="C48" s="6">
        <v>0.95833333333333304</v>
      </c>
      <c r="D48" s="7">
        <f ca="1">Master!AP49</f>
        <v>21</v>
      </c>
      <c r="E48" s="8">
        <f>Master!N49</f>
        <v>0</v>
      </c>
      <c r="F48" s="9" t="str">
        <f t="shared" si="1"/>
        <v/>
      </c>
      <c r="G48" s="9">
        <f>Master!G49</f>
        <v>0</v>
      </c>
      <c r="H48" s="19">
        <f t="shared" si="2"/>
        <v>0</v>
      </c>
      <c r="I48" s="8">
        <f>IFERROR(((Master!AI49*3600*24)*((Master!U49/100)/Master!N49)),0)</f>
        <v>0</v>
      </c>
      <c r="J48" s="8">
        <f>Master!U49</f>
        <v>0</v>
      </c>
      <c r="K48" s="8">
        <f ca="1">D48*Validation!$M$9/1800/IF(Validation!$N$9="",(IF(OR(NOT(ISNUMBER(J48)),J48=0),1,J48%)),Validation!$N$9)</f>
        <v>6.1764705882352944</v>
      </c>
      <c r="L48" s="8">
        <f>Master!AB49</f>
        <v>0</v>
      </c>
      <c r="M48" s="8" t="str">
        <f t="shared" si="0"/>
        <v>-</v>
      </c>
      <c r="N48" s="19" t="str">
        <f t="shared" si="6"/>
        <v/>
      </c>
      <c r="O48" s="23">
        <f t="shared" si="4"/>
        <v>0</v>
      </c>
      <c r="P48" s="39" t="str">
        <f>T19</f>
        <v>N</v>
      </c>
      <c r="Q48" s="39">
        <f t="shared" si="5"/>
        <v>0</v>
      </c>
    </row>
    <row r="49" spans="1:17" ht="22.5" thickTop="1" thickBot="1" x14ac:dyDescent="0.4">
      <c r="A49" s="40" t="str">
        <f>R19</f>
        <v>CM</v>
      </c>
      <c r="B49" s="40">
        <f ca="1">Master!$AX$1</f>
        <v>45965</v>
      </c>
      <c r="C49" s="6">
        <v>0.97916666666666696</v>
      </c>
      <c r="D49" s="7">
        <f ca="1">Master!AP50</f>
        <v>19</v>
      </c>
      <c r="E49" s="8">
        <f>Master!N50</f>
        <v>0</v>
      </c>
      <c r="F49" s="9" t="str">
        <f t="shared" si="1"/>
        <v/>
      </c>
      <c r="G49" s="9">
        <f>Master!G50</f>
        <v>0</v>
      </c>
      <c r="H49" s="19">
        <f t="shared" si="2"/>
        <v>0</v>
      </c>
      <c r="I49" s="8">
        <f>IFERROR(((Master!AI50*3600*24)*((Master!U50/100)/Master!N50)),0)</f>
        <v>0</v>
      </c>
      <c r="J49" s="8">
        <f>Master!U50</f>
        <v>0</v>
      </c>
      <c r="K49" s="8">
        <f ca="1">D49*Validation!$M$9/1800/IF(Validation!$N$9="",(IF(OR(NOT(ISNUMBER(J49)),J49=0),1,J49%)),Validation!$N$9)</f>
        <v>5.5882352941176476</v>
      </c>
      <c r="L49" s="8">
        <f>Master!AB50</f>
        <v>0</v>
      </c>
      <c r="M49" s="8" t="str">
        <f t="shared" si="0"/>
        <v>-</v>
      </c>
      <c r="N49" s="19" t="str">
        <f t="shared" si="6"/>
        <v/>
      </c>
      <c r="O49" s="23">
        <f t="shared" si="4"/>
        <v>0</v>
      </c>
      <c r="P49" s="39" t="str">
        <f>T19</f>
        <v>N</v>
      </c>
      <c r="Q49" s="39">
        <f t="shared" si="5"/>
        <v>0</v>
      </c>
    </row>
    <row r="50" spans="1:17" ht="22.5" thickTop="1" thickBot="1" x14ac:dyDescent="0.4">
      <c r="A50" s="40" t="str">
        <f>R19</f>
        <v>CM</v>
      </c>
      <c r="B50" s="40">
        <f ca="1">Master!$AX$1</f>
        <v>45965</v>
      </c>
      <c r="C50" s="6" t="s">
        <v>15</v>
      </c>
      <c r="D50" s="7">
        <f ca="1">SUMIF(E2:E49,"&gt;0",D2:D49)</f>
        <v>386</v>
      </c>
      <c r="E50" s="8">
        <f>SUM(E2:E49)</f>
        <v>382</v>
      </c>
      <c r="F50" s="9">
        <f ca="1">IF(T19="n",E50/D50,O50/D50)</f>
        <v>0.98963730569948183</v>
      </c>
      <c r="G50" s="8"/>
      <c r="H50" s="19">
        <f>SUM(H2:H49)</f>
        <v>208402.8</v>
      </c>
      <c r="I50" s="8">
        <f>H50/E50</f>
        <v>545.55706806282717</v>
      </c>
      <c r="J50" s="8"/>
      <c r="K50" s="8"/>
      <c r="L50" s="8"/>
      <c r="M50" s="8"/>
      <c r="N50" s="19">
        <f ca="1">COUNTIF(N2:N49,"LOST")</f>
        <v>2</v>
      </c>
      <c r="O50" s="23">
        <f ca="1">SUM(O2:O49)</f>
        <v>381.70000000000005</v>
      </c>
      <c r="P50" s="39" t="str">
        <f>T19</f>
        <v>N</v>
      </c>
      <c r="Q50" s="39">
        <f t="shared" si="5"/>
        <v>0</v>
      </c>
    </row>
    <row r="51" spans="1:17" ht="21.75" thickTop="1" x14ac:dyDescent="0.35"/>
  </sheetData>
  <mergeCells count="4">
    <mergeCell ref="R18:S18"/>
    <mergeCell ref="R19:S20"/>
    <mergeCell ref="T18:U18"/>
    <mergeCell ref="T19:U20"/>
  </mergeCells>
  <conditionalFormatting sqref="A1:B1">
    <cfRule type="cellIs" dxfId="116" priority="9" operator="equal">
      <formula>"Lost"</formula>
    </cfRule>
  </conditionalFormatting>
  <conditionalFormatting sqref="A2:F50">
    <cfRule type="cellIs" dxfId="115" priority="7" operator="equal">
      <formula>"Lost"</formula>
    </cfRule>
  </conditionalFormatting>
  <conditionalFormatting sqref="C50">
    <cfRule type="cellIs" dxfId="114" priority="57" operator="equal">
      <formula>"Lost"</formula>
    </cfRule>
  </conditionalFormatting>
  <conditionalFormatting sqref="C1:G1 I1:O1">
    <cfRule type="cellIs" dxfId="113" priority="101" operator="equal">
      <formula>"Lost"</formula>
    </cfRule>
  </conditionalFormatting>
  <conditionalFormatting sqref="F2:F49">
    <cfRule type="cellIs" dxfId="112" priority="22" operator="greaterThan">
      <formula>0.9801</formula>
    </cfRule>
  </conditionalFormatting>
  <conditionalFormatting sqref="F2:F50">
    <cfRule type="cellIs" dxfId="111" priority="20" operator="greaterThan">
      <formula>0.981</formula>
    </cfRule>
    <cfRule type="cellIs" dxfId="110" priority="21" operator="lessThan">
      <formula>0.98</formula>
    </cfRule>
  </conditionalFormatting>
  <conditionalFormatting sqref="G1">
    <cfRule type="cellIs" dxfId="109" priority="99" operator="lessThan">
      <formula>0.75</formula>
    </cfRule>
    <cfRule type="colorScale" priority="10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49">
    <cfRule type="cellIs" dxfId="108" priority="97" operator="greaterThan">
      <formula>0.75</formula>
    </cfRule>
    <cfRule type="cellIs" dxfId="107" priority="98" operator="lessThan">
      <formula>0.75</formula>
    </cfRule>
  </conditionalFormatting>
  <conditionalFormatting sqref="G50">
    <cfRule type="cellIs" dxfId="106" priority="50" operator="equal">
      <formula>"Lost"</formula>
    </cfRule>
  </conditionalFormatting>
  <conditionalFormatting sqref="H1:H50">
    <cfRule type="cellIs" dxfId="105" priority="33" operator="equal">
      <formula>"Lost"</formula>
    </cfRule>
  </conditionalFormatting>
  <conditionalFormatting sqref="H2:H50">
    <cfRule type="cellIs" dxfId="104" priority="32" operator="equal">
      <formula>"Achived"</formula>
    </cfRule>
  </conditionalFormatting>
  <conditionalFormatting sqref="I1:M49">
    <cfRule type="cellIs" dxfId="103" priority="72" operator="equal">
      <formula>"Lost"</formula>
    </cfRule>
  </conditionalFormatting>
  <conditionalFormatting sqref="I50:M50">
    <cfRule type="cellIs" dxfId="102" priority="48" operator="equal">
      <formula>"Lost"</formula>
    </cfRule>
  </conditionalFormatting>
  <conditionalFormatting sqref="M2:M49">
    <cfRule type="cellIs" dxfId="101" priority="69" operator="lessThan">
      <formula>0</formula>
    </cfRule>
    <cfRule type="cellIs" dxfId="100" priority="70" operator="equal">
      <formula>0</formula>
    </cfRule>
    <cfRule type="cellIs" dxfId="99" priority="71" operator="greaterThan">
      <formula>0</formula>
    </cfRule>
  </conditionalFormatting>
  <conditionalFormatting sqref="N1:N50">
    <cfRule type="cellIs" dxfId="98" priority="45" operator="equal">
      <formula>"Lost"</formula>
    </cfRule>
  </conditionalFormatting>
  <conditionalFormatting sqref="N2:N50">
    <cfRule type="cellIs" dxfId="97" priority="43" operator="equal">
      <formula>"Wait"</formula>
    </cfRule>
  </conditionalFormatting>
  <conditionalFormatting sqref="N2:Q50">
    <cfRule type="cellIs" dxfId="96" priority="2" operator="equal">
      <formula>"Achived"</formula>
    </cfRule>
  </conditionalFormatting>
  <conditionalFormatting sqref="O2:O50">
    <cfRule type="cellIs" dxfId="95" priority="26" operator="equal">
      <formula>"Lost"</formula>
    </cfRule>
  </conditionalFormatting>
  <conditionalFormatting sqref="P1:Q50">
    <cfRule type="cellIs" dxfId="94" priority="1" operator="equal">
      <formula>"Lost"</formula>
    </cfRule>
  </conditionalFormatting>
  <conditionalFormatting sqref="R18:R19">
    <cfRule type="cellIs" dxfId="93" priority="89" operator="equal">
      <formula>"-"</formula>
    </cfRule>
  </conditionalFormatting>
  <conditionalFormatting sqref="T18:T19">
    <cfRule type="cellIs" dxfId="92" priority="83" operator="equal">
      <formula>"-"</formula>
    </cfRule>
  </conditionalFormatting>
  <pageMargins left="0.7" right="0.7" top="0.75" bottom="0.75" header="0.3" footer="0.3"/>
  <headerFooter>
    <oddFooter>&amp;L_x000D_&amp;1#&amp;"Calibri"&amp;7&amp;K000000 C2 General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2:AG35"/>
  <sheetViews>
    <sheetView zoomScale="85" zoomScaleNormal="85" workbookViewId="0">
      <selection activeCell="I20" sqref="I20"/>
    </sheetView>
  </sheetViews>
  <sheetFormatPr defaultColWidth="9.140625" defaultRowHeight="15" x14ac:dyDescent="0.25"/>
  <cols>
    <col min="1" max="1" width="10.5703125" style="1" customWidth="1"/>
    <col min="2" max="2" width="14.85546875" style="1" bestFit="1" customWidth="1"/>
    <col min="3" max="4" width="10.5703125" style="1" customWidth="1"/>
    <col min="5" max="6" width="14.85546875" style="1" bestFit="1" customWidth="1"/>
    <col min="7" max="7" width="10.5703125" style="1" customWidth="1"/>
    <col min="8" max="10" width="14.85546875" style="1" bestFit="1" customWidth="1"/>
    <col min="11" max="11" width="7" style="1" customWidth="1"/>
    <col min="12" max="12" width="8.140625" style="1" customWidth="1"/>
    <col min="13" max="13" width="4.5703125" style="1" customWidth="1"/>
    <col min="14" max="14" width="4.7109375" style="1" customWidth="1"/>
    <col min="15" max="15" width="9" style="1" customWidth="1"/>
    <col min="16" max="16" width="5.28515625" style="1" customWidth="1"/>
    <col min="17" max="16384" width="9.140625" style="1"/>
  </cols>
  <sheetData>
    <row r="2" spans="1:33" ht="21.75" thickBot="1" x14ac:dyDescent="0.3">
      <c r="A2" s="78" t="s">
        <v>35</v>
      </c>
      <c r="B2" s="78"/>
      <c r="D2" s="78" t="s">
        <v>35</v>
      </c>
      <c r="E2" s="78"/>
      <c r="G2" s="78" t="s">
        <v>35</v>
      </c>
      <c r="H2" s="78"/>
      <c r="O2" s="42">
        <v>1</v>
      </c>
    </row>
    <row r="3" spans="1:33" ht="15.6" customHeight="1" thickTop="1" thickBot="1" x14ac:dyDescent="0.3">
      <c r="A3" s="76">
        <f ca="1">1-IF(B14&lt;4,B14/(B14+B15+B16),IF(AND(B14&gt;3,B14&lt;10),50%,IF(B14&gt;10,"0%")))</f>
        <v>0.90909090909090906</v>
      </c>
      <c r="B3" s="76"/>
      <c r="D3" s="76">
        <v>0</v>
      </c>
      <c r="E3" s="76"/>
      <c r="G3" s="79">
        <f ca="1">1-IF(H14&lt;3,H14/(H14+H15+H16),IF(AND(H14&gt;2,H14&lt;10),50%,IF(H14&gt;10,"0%")))</f>
        <v>0.96</v>
      </c>
      <c r="H3" s="79"/>
      <c r="K3" s="21" t="s">
        <v>29</v>
      </c>
      <c r="L3" s="21" t="s">
        <v>28</v>
      </c>
      <c r="M3" s="21" t="s">
        <v>21</v>
      </c>
      <c r="N3" s="21" t="s">
        <v>19</v>
      </c>
      <c r="O3" s="21" t="s">
        <v>33</v>
      </c>
      <c r="P3" s="21"/>
      <c r="Q3" s="1" t="s">
        <v>35</v>
      </c>
    </row>
    <row r="4" spans="1:33" ht="15.6" customHeight="1" thickTop="1" thickBot="1" x14ac:dyDescent="0.3">
      <c r="A4" s="76"/>
      <c r="B4" s="76"/>
      <c r="D4" s="76"/>
      <c r="E4" s="76"/>
      <c r="G4" s="76"/>
      <c r="H4" s="76"/>
      <c r="K4" s="21">
        <v>247</v>
      </c>
      <c r="L4" s="12" t="s">
        <v>25</v>
      </c>
      <c r="M4" s="12">
        <v>375</v>
      </c>
      <c r="N4" s="22">
        <v>0.85</v>
      </c>
      <c r="O4" s="22"/>
      <c r="P4" s="22">
        <f ca="1">1-B13</f>
        <v>0.14861660079051386</v>
      </c>
      <c r="Q4" s="41">
        <f ca="1">1-IF(H14&lt;3,H14/(H14+H15+H16),IF(H14&gt;10,50%,IF(H14&gt;=3,0%)))</f>
        <v>0.96</v>
      </c>
    </row>
    <row r="5" spans="1:33" ht="15" customHeight="1" thickTop="1" thickBot="1" x14ac:dyDescent="0.3">
      <c r="A5" s="76"/>
      <c r="B5" s="76"/>
      <c r="D5" s="76"/>
      <c r="E5" s="76"/>
      <c r="G5" s="76"/>
      <c r="H5" s="76"/>
      <c r="K5" s="21" t="s">
        <v>37</v>
      </c>
      <c r="L5" s="12" t="s">
        <v>25</v>
      </c>
      <c r="M5" s="12">
        <v>375</v>
      </c>
      <c r="N5" s="22">
        <v>0.85</v>
      </c>
      <c r="O5" s="22"/>
      <c r="P5" s="22">
        <f ca="1">1-B30</f>
        <v>1.0362694300518172E-2</v>
      </c>
      <c r="Q5" s="41">
        <f ca="1">1-IF(H15&lt;3,H15/(H15+H16+H17),IF(H15&gt;10,50%,IF(H15&gt;=3,0%)))</f>
        <v>0.5</v>
      </c>
    </row>
    <row r="6" spans="1:33" ht="15" customHeight="1" thickTop="1" thickBot="1" x14ac:dyDescent="0.3">
      <c r="A6" s="76"/>
      <c r="B6" s="76"/>
      <c r="D6" s="76"/>
      <c r="E6" s="76"/>
      <c r="G6" s="76"/>
      <c r="H6" s="76"/>
      <c r="K6" s="21" t="s">
        <v>7</v>
      </c>
      <c r="L6" s="12" t="s">
        <v>25</v>
      </c>
      <c r="M6" s="12">
        <v>350</v>
      </c>
      <c r="N6" s="22">
        <v>0.85</v>
      </c>
      <c r="O6" s="22"/>
      <c r="P6" s="22">
        <f ca="1">1-E13</f>
        <v>0.282560706401766</v>
      </c>
      <c r="Q6" s="41">
        <f t="shared" ref="Q6" ca="1" si="0">1-IF(H16&lt;3,H16/(H16+H17+H18),0)</f>
        <v>1</v>
      </c>
    </row>
    <row r="7" spans="1:33" ht="15" customHeight="1" thickTop="1" thickBot="1" x14ac:dyDescent="0.3">
      <c r="A7" s="76"/>
      <c r="B7" s="76"/>
      <c r="D7" s="76"/>
      <c r="E7" s="76"/>
      <c r="G7" s="76"/>
      <c r="H7" s="76"/>
      <c r="K7" s="21" t="s">
        <v>8</v>
      </c>
      <c r="L7" s="12" t="s">
        <v>25</v>
      </c>
      <c r="M7" s="12">
        <v>400</v>
      </c>
      <c r="N7" s="22">
        <v>0.85</v>
      </c>
      <c r="O7" s="22"/>
      <c r="P7" s="22">
        <f ca="1">1-E30</f>
        <v>0.25947867298578198</v>
      </c>
      <c r="Q7" s="41">
        <f>1-IF(H17&lt;3,H17/(H17+H18+H20),0)</f>
        <v>1</v>
      </c>
    </row>
    <row r="8" spans="1:33" ht="15.6" customHeight="1" thickTop="1" thickBot="1" x14ac:dyDescent="0.3">
      <c r="A8" s="76"/>
      <c r="B8" s="76"/>
      <c r="D8" s="76"/>
      <c r="E8" s="76"/>
      <c r="G8" s="76"/>
      <c r="H8" s="76"/>
      <c r="K8" s="21" t="s">
        <v>9</v>
      </c>
      <c r="L8" s="12" t="s">
        <v>25</v>
      </c>
      <c r="M8" s="12">
        <v>450</v>
      </c>
      <c r="N8" s="22">
        <v>0.85</v>
      </c>
      <c r="O8" s="22"/>
      <c r="P8" s="22">
        <f ca="1">1-H30</f>
        <v>5.7803468208092457E-2</v>
      </c>
      <c r="Q8" s="41" t="e">
        <f>1-IF(H18&lt;3,H18/(H18+H20+H21),0)</f>
        <v>#DIV/0!</v>
      </c>
    </row>
    <row r="9" spans="1:33" ht="15.6" customHeight="1" thickTop="1" thickBot="1" x14ac:dyDescent="0.3">
      <c r="A9" s="77"/>
      <c r="B9" s="77"/>
      <c r="D9" s="77"/>
      <c r="E9" s="77"/>
      <c r="G9" s="77"/>
      <c r="H9" s="77"/>
      <c r="K9" s="21" t="s">
        <v>10</v>
      </c>
      <c r="L9" s="12" t="s">
        <v>25</v>
      </c>
      <c r="M9" s="12">
        <v>450</v>
      </c>
      <c r="N9" s="22">
        <v>0.85</v>
      </c>
      <c r="O9" s="22"/>
      <c r="P9" s="22">
        <f ca="1">1-H13</f>
        <v>-7.7669902912621325E-2</v>
      </c>
      <c r="Q9" s="41" t="e">
        <f>1-IF(H20&lt;3,H20/(H20+H21+H22),0)</f>
        <v>#DIV/0!</v>
      </c>
    </row>
    <row r="10" spans="1:33" ht="15.6" customHeight="1" thickTop="1" thickBot="1" x14ac:dyDescent="0.3">
      <c r="A10" s="80">
        <v>247</v>
      </c>
      <c r="B10" s="81"/>
      <c r="D10" s="83" t="s">
        <v>37</v>
      </c>
      <c r="E10" s="83"/>
      <c r="G10" s="82" t="s">
        <v>9</v>
      </c>
      <c r="H10" s="82"/>
    </row>
    <row r="11" spans="1:33" ht="16.5" thickTop="1" thickBot="1" x14ac:dyDescent="0.3">
      <c r="A11" s="11" t="s">
        <v>12</v>
      </c>
      <c r="B11" s="12">
        <f ca="1">EU!D50</f>
        <v>1265</v>
      </c>
      <c r="D11" s="11" t="s">
        <v>12</v>
      </c>
      <c r="E11" s="12">
        <f ca="1">'R.EU'!D50</f>
        <v>453</v>
      </c>
      <c r="G11" s="11" t="s">
        <v>12</v>
      </c>
      <c r="H11" s="12">
        <f ca="1">ICC!D50</f>
        <v>1133</v>
      </c>
    </row>
    <row r="12" spans="1:33" ht="16.5" thickTop="1" thickBot="1" x14ac:dyDescent="0.3">
      <c r="A12" s="11" t="s">
        <v>32</v>
      </c>
      <c r="B12" s="13">
        <f>EU!E50</f>
        <v>1077</v>
      </c>
      <c r="D12" s="11" t="s">
        <v>32</v>
      </c>
      <c r="E12" s="13">
        <f>'R.EU'!E50</f>
        <v>325</v>
      </c>
      <c r="G12" s="11" t="s">
        <v>32</v>
      </c>
      <c r="H12" s="13">
        <f>ICC!E50</f>
        <v>1221</v>
      </c>
    </row>
    <row r="13" spans="1:33" ht="16.5" thickTop="1" thickBot="1" x14ac:dyDescent="0.3">
      <c r="A13" s="11" t="s">
        <v>2</v>
      </c>
      <c r="B13" s="14">
        <f ca="1">B12/B11</f>
        <v>0.85138339920948614</v>
      </c>
      <c r="D13" s="11" t="s">
        <v>2</v>
      </c>
      <c r="E13" s="14">
        <f ca="1">E12/E11</f>
        <v>0.717439293598234</v>
      </c>
      <c r="G13" s="11" t="s">
        <v>2</v>
      </c>
      <c r="H13" s="14">
        <f ca="1">H12/H11</f>
        <v>1.0776699029126213</v>
      </c>
    </row>
    <row r="14" spans="1:33" ht="16.5" thickTop="1" thickBot="1" x14ac:dyDescent="0.3">
      <c r="A14" s="11" t="s">
        <v>13</v>
      </c>
      <c r="B14" s="12">
        <f ca="1">COUNTIF(EU!N:N,A14)</f>
        <v>3</v>
      </c>
      <c r="D14" s="11" t="s">
        <v>13</v>
      </c>
      <c r="E14" s="12">
        <f ca="1">COUNTIF('R.EU'!N:N,D14)</f>
        <v>4</v>
      </c>
      <c r="G14" s="11" t="s">
        <v>13</v>
      </c>
      <c r="H14" s="12">
        <f ca="1">COUNTIF(ICC!N:N,G14)</f>
        <v>1</v>
      </c>
    </row>
    <row r="15" spans="1:33" ht="16.5" thickTop="1" thickBot="1" x14ac:dyDescent="0.3">
      <c r="A15" s="11" t="s">
        <v>14</v>
      </c>
      <c r="B15" s="12">
        <f ca="1">COUNTIF(EU!N:N,A15)</f>
        <v>9</v>
      </c>
      <c r="D15" s="11" t="s">
        <v>14</v>
      </c>
      <c r="E15" s="12">
        <f ca="1">COUNTIF('R.EU'!N:N,D15)</f>
        <v>5</v>
      </c>
      <c r="G15" s="11" t="s">
        <v>14</v>
      </c>
      <c r="H15" s="12">
        <f ca="1">COUNTIF(ICC!N:N,G15)</f>
        <v>20</v>
      </c>
    </row>
    <row r="16" spans="1:33" ht="16.5" thickTop="1" thickBot="1" x14ac:dyDescent="0.3">
      <c r="A16" s="11" t="s">
        <v>34</v>
      </c>
      <c r="B16" s="12">
        <f ca="1">COUNTIF(EU!N:N,A16)</f>
        <v>21</v>
      </c>
      <c r="D16" s="11" t="s">
        <v>34</v>
      </c>
      <c r="E16" s="12">
        <f ca="1">COUNTIF('R.EU'!N:N,D16)</f>
        <v>23</v>
      </c>
      <c r="G16" s="11" t="s">
        <v>34</v>
      </c>
      <c r="H16" s="12">
        <f ca="1">COUNTIF(ICC!N:N,G16)</f>
        <v>4</v>
      </c>
      <c r="AG16" s="1">
        <f>2/3</f>
        <v>0.66666666666666663</v>
      </c>
    </row>
    <row r="17" spans="1:8" ht="16.5" thickTop="1" thickBot="1" x14ac:dyDescent="0.3">
      <c r="A17" s="11" t="s">
        <v>31</v>
      </c>
      <c r="B17" s="13">
        <f>EU!I50</f>
        <v>645.35831012070571</v>
      </c>
      <c r="D17" s="11" t="s">
        <v>31</v>
      </c>
      <c r="E17" s="13">
        <f>'R.EU'!I50</f>
        <v>535.84430769230767</v>
      </c>
      <c r="G17" s="11" t="s">
        <v>31</v>
      </c>
      <c r="H17" s="13">
        <f>ICC!I50</f>
        <v>404.79861039485166</v>
      </c>
    </row>
    <row r="18" spans="1:8" ht="15.75" thickTop="1" x14ac:dyDescent="0.25"/>
    <row r="19" spans="1:8" ht="21" x14ac:dyDescent="0.25">
      <c r="A19" s="78" t="s">
        <v>35</v>
      </c>
      <c r="B19" s="78"/>
      <c r="D19" s="78" t="s">
        <v>35</v>
      </c>
      <c r="E19" s="78"/>
      <c r="G19" s="78" t="s">
        <v>35</v>
      </c>
      <c r="H19" s="78"/>
    </row>
    <row r="20" spans="1:8" ht="14.45" customHeight="1" x14ac:dyDescent="0.25">
      <c r="A20" s="76">
        <f ca="1">1-IF(B31&lt;3,B31/(B31+B32+B33),IF(AND(B31&gt;2,B31&lt;10),50%,IF(B31&gt;10,"0%")))</f>
        <v>0.88235294117647056</v>
      </c>
      <c r="B20" s="76"/>
      <c r="D20" s="76">
        <f ca="1">1-IF(E31&lt;3,E31/(E31+E32+E33),IF(AND(E31&gt;2,E31&lt;10),50%,IF(E31&gt;10,"0%")))</f>
        <v>1</v>
      </c>
      <c r="E20" s="76"/>
      <c r="G20" s="76">
        <f ca="1">1-IF(H31&lt;4,H31/(H31+H32+H33),IF(AND(H31&gt;4,H31&lt;10),50%,IF(H31&gt;10,"0%")))</f>
        <v>0.96969696969696972</v>
      </c>
      <c r="H20" s="76"/>
    </row>
    <row r="21" spans="1:8" ht="14.45" customHeight="1" x14ac:dyDescent="0.25">
      <c r="A21" s="76"/>
      <c r="B21" s="76"/>
      <c r="D21" s="76"/>
      <c r="E21" s="76"/>
      <c r="G21" s="76"/>
      <c r="H21" s="76"/>
    </row>
    <row r="22" spans="1:8" ht="14.45" customHeight="1" x14ac:dyDescent="0.25">
      <c r="A22" s="76"/>
      <c r="B22" s="76"/>
      <c r="D22" s="76"/>
      <c r="E22" s="76"/>
      <c r="G22" s="76"/>
      <c r="H22" s="76"/>
    </row>
    <row r="23" spans="1:8" ht="14.45" customHeight="1" x14ac:dyDescent="0.25">
      <c r="A23" s="76"/>
      <c r="B23" s="76"/>
      <c r="D23" s="76"/>
      <c r="E23" s="76"/>
      <c r="G23" s="76"/>
      <c r="H23" s="76"/>
    </row>
    <row r="24" spans="1:8" ht="14.45" customHeight="1" x14ac:dyDescent="0.25">
      <c r="A24" s="76"/>
      <c r="B24" s="76"/>
      <c r="D24" s="76"/>
      <c r="E24" s="76"/>
      <c r="G24" s="76"/>
      <c r="H24" s="76"/>
    </row>
    <row r="25" spans="1:8" ht="14.45" customHeight="1" x14ac:dyDescent="0.25">
      <c r="A25" s="76"/>
      <c r="B25" s="76"/>
      <c r="D25" s="76"/>
      <c r="E25" s="76"/>
      <c r="G25" s="76"/>
      <c r="H25" s="76"/>
    </row>
    <row r="26" spans="1:8" ht="15" customHeight="1" thickBot="1" x14ac:dyDescent="0.3">
      <c r="A26" s="77"/>
      <c r="B26" s="77"/>
      <c r="D26" s="77"/>
      <c r="E26" s="77"/>
      <c r="G26" s="77"/>
      <c r="H26" s="77"/>
    </row>
    <row r="27" spans="1:8" ht="16.5" thickTop="1" thickBot="1" x14ac:dyDescent="0.3">
      <c r="A27" s="43" t="s">
        <v>10</v>
      </c>
      <c r="B27" s="43"/>
      <c r="D27" s="44" t="s">
        <v>7</v>
      </c>
      <c r="E27" s="44"/>
      <c r="G27" s="45" t="s">
        <v>8</v>
      </c>
      <c r="H27" s="45"/>
    </row>
    <row r="28" spans="1:8" ht="16.5" thickTop="1" thickBot="1" x14ac:dyDescent="0.3">
      <c r="A28" s="11" t="s">
        <v>12</v>
      </c>
      <c r="B28" s="12">
        <f ca="1">'SME-CM'!D50</f>
        <v>386</v>
      </c>
      <c r="D28" s="11" t="s">
        <v>12</v>
      </c>
      <c r="E28" s="12">
        <f ca="1">'Red Cash'!D50</f>
        <v>844</v>
      </c>
      <c r="G28" s="11" t="s">
        <v>12</v>
      </c>
      <c r="H28" s="12">
        <f ca="1">Aspiring!D50</f>
        <v>1038</v>
      </c>
    </row>
    <row r="29" spans="1:8" ht="16.5" thickTop="1" thickBot="1" x14ac:dyDescent="0.3">
      <c r="A29" s="11" t="s">
        <v>32</v>
      </c>
      <c r="B29" s="13">
        <f>'SME-CM'!E50</f>
        <v>382</v>
      </c>
      <c r="D29" s="11" t="s">
        <v>32</v>
      </c>
      <c r="E29" s="13">
        <f>'Red Cash'!E50</f>
        <v>625</v>
      </c>
      <c r="G29" s="11" t="s">
        <v>32</v>
      </c>
      <c r="H29" s="13">
        <f>Aspiring!E50</f>
        <v>978</v>
      </c>
    </row>
    <row r="30" spans="1:8" ht="16.5" thickTop="1" thickBot="1" x14ac:dyDescent="0.3">
      <c r="A30" s="11" t="s">
        <v>2</v>
      </c>
      <c r="B30" s="14">
        <f ca="1">B29/B28</f>
        <v>0.98963730569948183</v>
      </c>
      <c r="D30" s="11" t="s">
        <v>2</v>
      </c>
      <c r="E30" s="14">
        <f ca="1">E29/E28</f>
        <v>0.74052132701421802</v>
      </c>
      <c r="G30" s="11" t="s">
        <v>2</v>
      </c>
      <c r="H30" s="14">
        <f ca="1">H29/H28</f>
        <v>0.94219653179190754</v>
      </c>
    </row>
    <row r="31" spans="1:8" ht="16.5" thickTop="1" thickBot="1" x14ac:dyDescent="0.3">
      <c r="A31" s="11" t="s">
        <v>13</v>
      </c>
      <c r="B31" s="12">
        <f ca="1">COUNTIF('SME-CM'!N:N,A31)</f>
        <v>2</v>
      </c>
      <c r="D31" s="11" t="s">
        <v>13</v>
      </c>
      <c r="E31" s="12">
        <f ca="1">COUNTIF('Red Cash'!N:N,D31)</f>
        <v>0</v>
      </c>
      <c r="G31" s="11" t="s">
        <v>13</v>
      </c>
      <c r="H31" s="12">
        <f ca="1">COUNTIF(Aspiring!N:N,G31)</f>
        <v>1</v>
      </c>
    </row>
    <row r="32" spans="1:8" ht="16.5" thickTop="1" thickBot="1" x14ac:dyDescent="0.3">
      <c r="A32" s="11" t="s">
        <v>14</v>
      </c>
      <c r="B32" s="12">
        <f ca="1">COUNTIF('SME-CM'!N:N,A32)</f>
        <v>11</v>
      </c>
      <c r="D32" s="11" t="s">
        <v>14</v>
      </c>
      <c r="E32" s="12">
        <f ca="1">COUNTIF('Red Cash'!N:N,D32)</f>
        <v>3</v>
      </c>
      <c r="G32" s="11" t="s">
        <v>14</v>
      </c>
      <c r="H32" s="12">
        <f ca="1">COUNTIF(Aspiring!N:N,G32)</f>
        <v>15</v>
      </c>
    </row>
    <row r="33" spans="1:8" ht="16.5" thickTop="1" thickBot="1" x14ac:dyDescent="0.3">
      <c r="A33" s="11" t="s">
        <v>34</v>
      </c>
      <c r="B33" s="12">
        <f ca="1">COUNTIF('SME-CM'!N:N,A33)</f>
        <v>4</v>
      </c>
      <c r="D33" s="11" t="s">
        <v>34</v>
      </c>
      <c r="E33" s="12">
        <f ca="1">COUNTIF('Red Cash'!N:N,D33)</f>
        <v>20</v>
      </c>
      <c r="G33" s="11" t="s">
        <v>34</v>
      </c>
      <c r="H33" s="12">
        <f ca="1">COUNTIF(Aspiring!N:N,G33)</f>
        <v>17</v>
      </c>
    </row>
    <row r="34" spans="1:8" ht="16.5" thickTop="1" thickBot="1" x14ac:dyDescent="0.3">
      <c r="A34" s="11" t="s">
        <v>31</v>
      </c>
      <c r="B34" s="13">
        <f>'SME-CM'!I50</f>
        <v>545.55706806282717</v>
      </c>
      <c r="D34" s="11" t="s">
        <v>31</v>
      </c>
      <c r="E34" s="13">
        <f>'Red Cash'!I50</f>
        <v>327.96863999999999</v>
      </c>
      <c r="G34" s="11" t="s">
        <v>31</v>
      </c>
      <c r="H34" s="13">
        <f>Aspiring!I50</f>
        <v>564.87668711656443</v>
      </c>
    </row>
    <row r="35" spans="1:8" ht="15.75" thickTop="1" x14ac:dyDescent="0.25"/>
  </sheetData>
  <mergeCells count="15">
    <mergeCell ref="A20:B26"/>
    <mergeCell ref="D20:E26"/>
    <mergeCell ref="G20:H26"/>
    <mergeCell ref="A2:B2"/>
    <mergeCell ref="D2:E2"/>
    <mergeCell ref="G2:H2"/>
    <mergeCell ref="A19:B19"/>
    <mergeCell ref="D19:E19"/>
    <mergeCell ref="G19:H19"/>
    <mergeCell ref="G3:H9"/>
    <mergeCell ref="A10:B10"/>
    <mergeCell ref="A3:B9"/>
    <mergeCell ref="D3:E9"/>
    <mergeCell ref="G10:H10"/>
    <mergeCell ref="D10:E10"/>
  </mergeCells>
  <conditionalFormatting sqref="A3">
    <cfRule type="cellIs" dxfId="91" priority="10" operator="lessThan">
      <formula>0.8</formula>
    </cfRule>
    <cfRule type="cellIs" dxfId="90" priority="11" operator="between">
      <formula>0.9</formula>
      <formula>0.8</formula>
    </cfRule>
    <cfRule type="cellIs" dxfId="89" priority="12" operator="greaterThan">
      <formula>0.9</formula>
    </cfRule>
  </conditionalFormatting>
  <conditionalFormatting sqref="A10">
    <cfRule type="cellIs" dxfId="88" priority="53" operator="equal">
      <formula>"-"</formula>
    </cfRule>
  </conditionalFormatting>
  <conditionalFormatting sqref="A20">
    <cfRule type="cellIs" dxfId="87" priority="13" operator="lessThan">
      <formula>0.8</formula>
    </cfRule>
    <cfRule type="cellIs" dxfId="86" priority="14" operator="between">
      <formula>0.9</formula>
      <formula>0.8</formula>
    </cfRule>
    <cfRule type="cellIs" dxfId="85" priority="15" operator="greaterThan">
      <formula>0.9</formula>
    </cfRule>
  </conditionalFormatting>
  <conditionalFormatting sqref="A27">
    <cfRule type="cellIs" dxfId="84" priority="50" operator="equal">
      <formula>"-"</formula>
    </cfRule>
  </conditionalFormatting>
  <conditionalFormatting sqref="B13">
    <cfRule type="cellIs" dxfId="83" priority="41" operator="greaterThan">
      <formula>0.84</formula>
    </cfRule>
    <cfRule type="cellIs" dxfId="82" priority="40" operator="lessThan">
      <formula>0.85</formula>
    </cfRule>
  </conditionalFormatting>
  <conditionalFormatting sqref="B14">
    <cfRule type="cellIs" dxfId="81" priority="75" operator="lessThan">
      <formula>4</formula>
    </cfRule>
    <cfRule type="cellIs" dxfId="80" priority="74" operator="greaterThan">
      <formula>3</formula>
    </cfRule>
  </conditionalFormatting>
  <conditionalFormatting sqref="B17 E17 E34">
    <cfRule type="cellIs" dxfId="79" priority="29" operator="greaterThan">
      <formula>400</formula>
    </cfRule>
  </conditionalFormatting>
  <conditionalFormatting sqref="B30">
    <cfRule type="cellIs" dxfId="78" priority="38" operator="lessThan">
      <formula>0.85</formula>
    </cfRule>
    <cfRule type="cellIs" dxfId="77" priority="39" operator="greaterThan">
      <formula>0.84</formula>
    </cfRule>
  </conditionalFormatting>
  <conditionalFormatting sqref="D3">
    <cfRule type="cellIs" dxfId="76" priority="2" operator="between">
      <formula>0.9</formula>
      <formula>0.8</formula>
    </cfRule>
    <cfRule type="cellIs" dxfId="75" priority="3" operator="greaterThan">
      <formula>0.9</formula>
    </cfRule>
    <cfRule type="cellIs" dxfId="74" priority="1" operator="lessThan">
      <formula>0.8</formula>
    </cfRule>
  </conditionalFormatting>
  <conditionalFormatting sqref="D10">
    <cfRule type="cellIs" dxfId="73" priority="52" operator="equal">
      <formula>"-"</formula>
    </cfRule>
  </conditionalFormatting>
  <conditionalFormatting sqref="D20">
    <cfRule type="cellIs" dxfId="72" priority="16" operator="lessThan">
      <formula>0.8</formula>
    </cfRule>
    <cfRule type="cellIs" dxfId="71" priority="17" operator="between">
      <formula>0.9</formula>
      <formula>0.8</formula>
    </cfRule>
    <cfRule type="cellIs" dxfId="70" priority="18" operator="greaterThan">
      <formula>0.9</formula>
    </cfRule>
  </conditionalFormatting>
  <conditionalFormatting sqref="D27">
    <cfRule type="cellIs" dxfId="69" priority="48" operator="equal">
      <formula>"-"</formula>
    </cfRule>
  </conditionalFormatting>
  <conditionalFormatting sqref="E13">
    <cfRule type="cellIs" dxfId="68" priority="35" operator="greaterThan">
      <formula>0.84</formula>
    </cfRule>
    <cfRule type="cellIs" dxfId="67" priority="34" operator="lessThan">
      <formula>0.85</formula>
    </cfRule>
  </conditionalFormatting>
  <conditionalFormatting sqref="E14">
    <cfRule type="cellIs" dxfId="66" priority="72" operator="greaterThan">
      <formula>3</formula>
    </cfRule>
    <cfRule type="cellIs" dxfId="65" priority="73" operator="lessThan">
      <formula>4</formula>
    </cfRule>
  </conditionalFormatting>
  <conditionalFormatting sqref="E30">
    <cfRule type="cellIs" dxfId="64" priority="37" operator="greaterThan">
      <formula>0.84</formula>
    </cfRule>
    <cfRule type="cellIs" dxfId="63" priority="36" operator="lessThan">
      <formula>0.85</formula>
    </cfRule>
  </conditionalFormatting>
  <conditionalFormatting sqref="E31">
    <cfRule type="cellIs" dxfId="62" priority="56" operator="greaterThan">
      <formula>2</formula>
    </cfRule>
    <cfRule type="cellIs" dxfId="61" priority="57" operator="lessThan">
      <formula>3</formula>
    </cfRule>
  </conditionalFormatting>
  <conditionalFormatting sqref="G3">
    <cfRule type="cellIs" dxfId="60" priority="23" operator="between">
      <formula>0.9</formula>
      <formula>0.8</formula>
    </cfRule>
    <cfRule type="cellIs" dxfId="59" priority="22" operator="lessThan">
      <formula>0.8</formula>
    </cfRule>
    <cfRule type="cellIs" dxfId="58" priority="24" operator="greaterThan">
      <formula>0.9</formula>
    </cfRule>
  </conditionalFormatting>
  <conditionalFormatting sqref="G10">
    <cfRule type="cellIs" dxfId="57" priority="51" operator="equal">
      <formula>"-"</formula>
    </cfRule>
  </conditionalFormatting>
  <conditionalFormatting sqref="G20">
    <cfRule type="cellIs" dxfId="56" priority="21" operator="greaterThan">
      <formula>0.9</formula>
    </cfRule>
    <cfRule type="cellIs" dxfId="55" priority="20" operator="between">
      <formula>0.9</formula>
      <formula>0.8</formula>
    </cfRule>
    <cfRule type="cellIs" dxfId="54" priority="19" operator="lessThan">
      <formula>0.8</formula>
    </cfRule>
  </conditionalFormatting>
  <conditionalFormatting sqref="G27">
    <cfRule type="cellIs" dxfId="53" priority="49" operator="equal">
      <formula>"-"</formula>
    </cfRule>
  </conditionalFormatting>
  <conditionalFormatting sqref="H13">
    <cfRule type="cellIs" dxfId="52" priority="25" operator="lessThan">
      <formula>0.85</formula>
    </cfRule>
    <cfRule type="cellIs" dxfId="51" priority="26" operator="greaterThan">
      <formula>0.84</formula>
    </cfRule>
  </conditionalFormatting>
  <conditionalFormatting sqref="H14 B31">
    <cfRule type="cellIs" dxfId="50" priority="54" operator="greaterThan">
      <formula>1</formula>
    </cfRule>
    <cfRule type="cellIs" dxfId="49" priority="55" operator="lessThan">
      <formula>2</formula>
    </cfRule>
  </conditionalFormatting>
  <conditionalFormatting sqref="H17 B34">
    <cfRule type="cellIs" dxfId="48" priority="28" operator="greaterThan">
      <formula>450</formula>
    </cfRule>
  </conditionalFormatting>
  <conditionalFormatting sqref="H30">
    <cfRule type="cellIs" dxfId="47" priority="32" operator="lessThan">
      <formula>0.85</formula>
    </cfRule>
    <cfRule type="cellIs" dxfId="46" priority="33" operator="greaterThan">
      <formula>0.84</formula>
    </cfRule>
  </conditionalFormatting>
  <conditionalFormatting sqref="H31">
    <cfRule type="cellIs" dxfId="45" priority="70" operator="greaterThan">
      <formula>3</formula>
    </cfRule>
    <cfRule type="cellIs" dxfId="44" priority="71" operator="lessThan">
      <formula>4</formula>
    </cfRule>
  </conditionalFormatting>
  <conditionalFormatting sqref="H34">
    <cfRule type="cellIs" dxfId="43" priority="27" operator="greaterThan">
      <formula>450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34422-03E1-41A6-9962-0AAE642C3723}">
  <sheetPr codeName="Sheet9"/>
  <dimension ref="A9:M36"/>
  <sheetViews>
    <sheetView topLeftCell="A7" workbookViewId="0">
      <selection activeCell="E14" sqref="E14"/>
    </sheetView>
  </sheetViews>
  <sheetFormatPr defaultRowHeight="15" x14ac:dyDescent="0.25"/>
  <cols>
    <col min="1" max="8" width="17" customWidth="1"/>
  </cols>
  <sheetData>
    <row r="9" spans="1:8" ht="15.75" thickBot="1" x14ac:dyDescent="0.3"/>
    <row r="10" spans="1:8" ht="16.5" thickTop="1" thickBot="1" x14ac:dyDescent="0.3">
      <c r="A10" s="80">
        <v>247</v>
      </c>
      <c r="B10" s="81"/>
      <c r="C10" s="1"/>
      <c r="D10" s="83" t="s">
        <v>37</v>
      </c>
      <c r="E10" s="83"/>
      <c r="F10" s="1"/>
      <c r="G10" s="82" t="s">
        <v>9</v>
      </c>
      <c r="H10" s="82"/>
    </row>
    <row r="11" spans="1:8" ht="16.5" thickTop="1" thickBot="1" x14ac:dyDescent="0.3">
      <c r="A11" s="11" t="s">
        <v>12</v>
      </c>
      <c r="B11" s="12">
        <f ca="1">EU!D50</f>
        <v>1265</v>
      </c>
      <c r="C11" s="1"/>
      <c r="D11" s="11" t="s">
        <v>12</v>
      </c>
      <c r="E11" s="12">
        <f ca="1">'R.EU'!D50</f>
        <v>453</v>
      </c>
      <c r="F11" s="1"/>
      <c r="G11" s="11" t="s">
        <v>12</v>
      </c>
      <c r="H11" s="12">
        <f ca="1">ICC!D50</f>
        <v>1133</v>
      </c>
    </row>
    <row r="12" spans="1:8" ht="16.5" thickTop="1" thickBot="1" x14ac:dyDescent="0.3">
      <c r="A12" s="11" t="s">
        <v>32</v>
      </c>
      <c r="B12" s="13">
        <f>EU!E50</f>
        <v>1077</v>
      </c>
      <c r="C12" s="1"/>
      <c r="D12" s="11" t="s">
        <v>32</v>
      </c>
      <c r="E12" s="13">
        <f>'R.EU'!E50</f>
        <v>325</v>
      </c>
      <c r="F12" s="1"/>
      <c r="G12" s="11" t="s">
        <v>32</v>
      </c>
      <c r="H12" s="13">
        <f>ICC!E50</f>
        <v>1221</v>
      </c>
    </row>
    <row r="13" spans="1:8" ht="16.5" thickTop="1" thickBot="1" x14ac:dyDescent="0.3">
      <c r="A13" s="11" t="s">
        <v>2</v>
      </c>
      <c r="B13" s="14">
        <f ca="1">B12/B11</f>
        <v>0.85138339920948614</v>
      </c>
      <c r="C13" s="1"/>
      <c r="D13" s="11" t="s">
        <v>2</v>
      </c>
      <c r="E13" s="14">
        <f ca="1">E12/E11</f>
        <v>0.717439293598234</v>
      </c>
      <c r="F13" s="1"/>
      <c r="G13" s="11" t="s">
        <v>2</v>
      </c>
      <c r="H13" s="14">
        <f ca="1">H12/H11</f>
        <v>1.0776699029126213</v>
      </c>
    </row>
    <row r="14" spans="1:8" ht="16.5" thickTop="1" thickBot="1" x14ac:dyDescent="0.3">
      <c r="A14" s="11" t="s">
        <v>13</v>
      </c>
      <c r="B14" s="12">
        <f ca="1">COUNTIF(EU!N:N,A14)</f>
        <v>3</v>
      </c>
      <c r="C14" s="1"/>
      <c r="D14" s="11" t="s">
        <v>13</v>
      </c>
      <c r="E14" s="12">
        <f ca="1">COUNTIF('R.EU'!N:N,D14)</f>
        <v>4</v>
      </c>
      <c r="F14" s="1"/>
      <c r="G14" s="11" t="s">
        <v>13</v>
      </c>
      <c r="H14" s="12">
        <f ca="1">COUNTIF(ICC!N:N,G14)</f>
        <v>1</v>
      </c>
    </row>
    <row r="15" spans="1:8" ht="16.5" thickTop="1" thickBot="1" x14ac:dyDescent="0.3">
      <c r="A15" s="11" t="s">
        <v>14</v>
      </c>
      <c r="B15" s="12">
        <f ca="1">COUNTIF(EU!N:N,A15)</f>
        <v>9</v>
      </c>
      <c r="C15" s="1"/>
      <c r="D15" s="11" t="s">
        <v>14</v>
      </c>
      <c r="E15" s="12">
        <f ca="1">COUNTIF('R.EU'!N:N,D15)</f>
        <v>5</v>
      </c>
      <c r="F15" s="1"/>
      <c r="G15" s="11" t="s">
        <v>14</v>
      </c>
      <c r="H15" s="12">
        <f ca="1">COUNTIF(ICC!N:N,G15)</f>
        <v>20</v>
      </c>
    </row>
    <row r="16" spans="1:8" ht="16.5" thickTop="1" thickBot="1" x14ac:dyDescent="0.3">
      <c r="A16" s="11" t="s">
        <v>34</v>
      </c>
      <c r="B16" s="12">
        <f ca="1">COUNTIF(EU!N:N,A16)</f>
        <v>21</v>
      </c>
      <c r="C16" s="1"/>
      <c r="D16" s="11" t="s">
        <v>34</v>
      </c>
      <c r="E16" s="12">
        <f ca="1">COUNTIF('R.EU'!N:N,D16)</f>
        <v>23</v>
      </c>
      <c r="F16" s="1"/>
      <c r="G16" s="11" t="s">
        <v>34</v>
      </c>
      <c r="H16" s="12">
        <f ca="1">COUNTIF(ICC!N:N,G16)</f>
        <v>4</v>
      </c>
    </row>
    <row r="17" spans="1:13" ht="16.5" thickTop="1" thickBot="1" x14ac:dyDescent="0.3">
      <c r="A17" s="11" t="s">
        <v>31</v>
      </c>
      <c r="B17" s="47">
        <f>EU!I50</f>
        <v>645.35831012070571</v>
      </c>
      <c r="C17" s="1"/>
      <c r="D17" s="11" t="s">
        <v>31</v>
      </c>
      <c r="E17" s="47">
        <f>'R.EU'!I50</f>
        <v>535.84430769230767</v>
      </c>
      <c r="F17" s="1"/>
      <c r="G17" s="11" t="s">
        <v>31</v>
      </c>
      <c r="H17" s="47">
        <v>372</v>
      </c>
    </row>
    <row r="18" spans="1:13" ht="22.5" hidden="1" thickTop="1" thickBot="1" x14ac:dyDescent="0.4">
      <c r="A18" s="46" t="s">
        <v>42</v>
      </c>
      <c r="B18" s="49">
        <v>87.35</v>
      </c>
      <c r="C18" s="35"/>
      <c r="D18" s="46" t="s">
        <v>42</v>
      </c>
      <c r="E18" s="48">
        <v>91.38</v>
      </c>
      <c r="F18" s="35"/>
      <c r="G18" s="46" t="s">
        <v>42</v>
      </c>
      <c r="H18" s="48">
        <v>72.650000000000006</v>
      </c>
    </row>
    <row r="19" spans="1:13" ht="21" hidden="1" x14ac:dyDescent="0.35">
      <c r="A19" s="35"/>
      <c r="B19" s="35"/>
      <c r="C19" s="35"/>
      <c r="D19" s="35"/>
      <c r="E19" s="35"/>
      <c r="F19" s="35"/>
      <c r="G19" s="35"/>
      <c r="H19" s="35"/>
    </row>
    <row r="20" spans="1:13" ht="21" hidden="1" x14ac:dyDescent="0.35">
      <c r="A20" s="35"/>
      <c r="B20" s="35"/>
      <c r="C20" s="35"/>
      <c r="D20" s="35"/>
      <c r="E20" s="35"/>
      <c r="F20" s="35"/>
      <c r="G20" s="35"/>
      <c r="H20" s="35"/>
    </row>
    <row r="21" spans="1:13" ht="21" hidden="1" x14ac:dyDescent="0.35">
      <c r="A21" s="35"/>
      <c r="B21" s="35"/>
      <c r="C21" s="35"/>
      <c r="D21" s="35"/>
      <c r="E21" s="35"/>
      <c r="F21" s="35"/>
      <c r="G21" s="35"/>
      <c r="H21" s="35"/>
    </row>
    <row r="22" spans="1:13" ht="21" hidden="1" x14ac:dyDescent="0.35">
      <c r="A22" s="35"/>
      <c r="B22" s="35"/>
      <c r="C22" s="35"/>
      <c r="D22" s="35"/>
      <c r="E22" s="35"/>
      <c r="F22" s="35"/>
      <c r="G22" s="35"/>
      <c r="H22" s="35"/>
    </row>
    <row r="23" spans="1:13" ht="21" hidden="1" x14ac:dyDescent="0.3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</row>
    <row r="24" spans="1:13" ht="21" hidden="1" x14ac:dyDescent="0.3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</row>
    <row r="25" spans="1:13" ht="21" hidden="1" x14ac:dyDescent="0.3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</row>
    <row r="26" spans="1:13" ht="22.5" thickTop="1" thickBot="1" x14ac:dyDescent="0.4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</row>
    <row r="27" spans="1:13" ht="15.6" customHeight="1" thickTop="1" thickBot="1" x14ac:dyDescent="0.4">
      <c r="A27" s="84" t="s">
        <v>10</v>
      </c>
      <c r="B27" s="85"/>
      <c r="C27" s="1"/>
      <c r="D27" s="86" t="s">
        <v>7</v>
      </c>
      <c r="E27" s="87"/>
      <c r="F27" s="1"/>
      <c r="G27" s="88" t="s">
        <v>8</v>
      </c>
      <c r="H27" s="89"/>
      <c r="I27" s="35"/>
      <c r="J27" s="35"/>
      <c r="K27" s="35"/>
      <c r="L27" s="35"/>
      <c r="M27" s="35"/>
    </row>
    <row r="28" spans="1:13" ht="15.6" customHeight="1" thickTop="1" thickBot="1" x14ac:dyDescent="0.4">
      <c r="A28" s="11" t="s">
        <v>12</v>
      </c>
      <c r="B28" s="12">
        <f ca="1">'SME-CM'!D50</f>
        <v>386</v>
      </c>
      <c r="C28" s="1"/>
      <c r="D28" s="11" t="s">
        <v>12</v>
      </c>
      <c r="E28" s="12">
        <f ca="1">'Red Cash'!D50</f>
        <v>844</v>
      </c>
      <c r="F28" s="1"/>
      <c r="G28" s="11" t="s">
        <v>12</v>
      </c>
      <c r="H28" s="12">
        <f ca="1">Aspiring!D50</f>
        <v>1038</v>
      </c>
      <c r="I28" s="35"/>
      <c r="J28" s="35"/>
      <c r="K28" s="35"/>
      <c r="L28" s="35"/>
      <c r="M28" s="35"/>
    </row>
    <row r="29" spans="1:13" ht="15.6" customHeight="1" thickTop="1" thickBot="1" x14ac:dyDescent="0.4">
      <c r="A29" s="11" t="s">
        <v>32</v>
      </c>
      <c r="B29" s="13">
        <f>'SME-CM'!E50</f>
        <v>382</v>
      </c>
      <c r="C29" s="1"/>
      <c r="D29" s="11" t="s">
        <v>32</v>
      </c>
      <c r="E29" s="13">
        <f>'Red Cash'!E50</f>
        <v>625</v>
      </c>
      <c r="F29" s="1"/>
      <c r="G29" s="11" t="s">
        <v>32</v>
      </c>
      <c r="H29" s="13">
        <f>Aspiring!E50</f>
        <v>978</v>
      </c>
      <c r="I29" s="35"/>
      <c r="J29" s="35"/>
      <c r="K29" s="35"/>
      <c r="L29" s="35"/>
      <c r="M29" s="35"/>
    </row>
    <row r="30" spans="1:13" ht="15.6" customHeight="1" thickTop="1" thickBot="1" x14ac:dyDescent="0.4">
      <c r="A30" s="11" t="s">
        <v>2</v>
      </c>
      <c r="B30" s="14">
        <f ca="1">B29/B28</f>
        <v>0.98963730569948183</v>
      </c>
      <c r="C30" s="1"/>
      <c r="D30" s="11" t="s">
        <v>2</v>
      </c>
      <c r="E30" s="14">
        <f ca="1">E29/E28</f>
        <v>0.74052132701421802</v>
      </c>
      <c r="F30" s="1"/>
      <c r="G30" s="11" t="s">
        <v>2</v>
      </c>
      <c r="H30" s="14">
        <f ca="1">H29/H28</f>
        <v>0.94219653179190754</v>
      </c>
      <c r="I30" s="35"/>
      <c r="J30" s="35"/>
      <c r="K30" s="35"/>
      <c r="L30" s="35"/>
      <c r="M30" s="35"/>
    </row>
    <row r="31" spans="1:13" ht="15.6" customHeight="1" thickTop="1" thickBot="1" x14ac:dyDescent="0.4">
      <c r="A31" s="11" t="s">
        <v>13</v>
      </c>
      <c r="B31" s="12">
        <f ca="1">COUNTIF('SME-CM'!N:N,A31)</f>
        <v>2</v>
      </c>
      <c r="C31" s="1"/>
      <c r="D31" s="11" t="s">
        <v>13</v>
      </c>
      <c r="E31" s="12">
        <f ca="1">COUNTIF('Red Cash'!N:N,D31)</f>
        <v>0</v>
      </c>
      <c r="F31" s="1"/>
      <c r="G31" s="11" t="s">
        <v>13</v>
      </c>
      <c r="H31" s="12">
        <f ca="1">COUNTIF(Aspiring!N:N,G31)</f>
        <v>1</v>
      </c>
      <c r="I31" s="35"/>
      <c r="J31" s="35"/>
      <c r="K31" s="35"/>
      <c r="L31" s="35"/>
      <c r="M31" s="35"/>
    </row>
    <row r="32" spans="1:13" ht="15.6" customHeight="1" thickTop="1" thickBot="1" x14ac:dyDescent="0.4">
      <c r="A32" s="11" t="s">
        <v>14</v>
      </c>
      <c r="B32" s="12">
        <f ca="1">COUNTIF('SME-CM'!N:N,A32)</f>
        <v>11</v>
      </c>
      <c r="C32" s="1"/>
      <c r="D32" s="11" t="s">
        <v>14</v>
      </c>
      <c r="E32" s="12">
        <f ca="1">COUNTIF('Red Cash'!N:N,D32)</f>
        <v>3</v>
      </c>
      <c r="F32" s="1"/>
      <c r="G32" s="11" t="s">
        <v>14</v>
      </c>
      <c r="H32" s="12">
        <f ca="1">COUNTIF(Aspiring!N:N,G32)</f>
        <v>15</v>
      </c>
      <c r="I32" s="35"/>
      <c r="J32" s="35"/>
      <c r="K32" s="35"/>
      <c r="L32" s="35"/>
      <c r="M32" s="35"/>
    </row>
    <row r="33" spans="1:13" ht="15.6" customHeight="1" thickTop="1" thickBot="1" x14ac:dyDescent="0.4">
      <c r="A33" s="11" t="s">
        <v>34</v>
      </c>
      <c r="B33" s="12">
        <f ca="1">COUNTIF('SME-CM'!N:N,A33)</f>
        <v>4</v>
      </c>
      <c r="C33" s="1"/>
      <c r="D33" s="11" t="s">
        <v>34</v>
      </c>
      <c r="E33" s="12">
        <f ca="1">COUNTIF('Red Cash'!N:N,D33)</f>
        <v>20</v>
      </c>
      <c r="F33" s="1"/>
      <c r="G33" s="11" t="s">
        <v>34</v>
      </c>
      <c r="H33" s="12">
        <f ca="1">COUNTIF(Aspiring!N:N,G33)</f>
        <v>17</v>
      </c>
      <c r="I33" s="35"/>
      <c r="J33" s="35"/>
      <c r="K33" s="35"/>
      <c r="L33" s="35"/>
      <c r="M33" s="35"/>
    </row>
    <row r="34" spans="1:13" ht="15.6" customHeight="1" thickTop="1" thickBot="1" x14ac:dyDescent="0.4">
      <c r="A34" s="11" t="s">
        <v>31</v>
      </c>
      <c r="B34" s="47">
        <f>'SME-CM'!I50</f>
        <v>545.55706806282717</v>
      </c>
      <c r="C34" s="1"/>
      <c r="D34" s="11" t="s">
        <v>31</v>
      </c>
      <c r="E34" s="47">
        <f>'Red Cash'!I50</f>
        <v>327.96863999999999</v>
      </c>
      <c r="F34" s="1"/>
      <c r="G34" s="11" t="s">
        <v>31</v>
      </c>
      <c r="H34" s="47">
        <f>Aspiring!I50</f>
        <v>564.87668711656443</v>
      </c>
      <c r="I34" s="35"/>
      <c r="J34" s="35"/>
      <c r="K34" s="35"/>
      <c r="L34" s="35"/>
      <c r="M34" s="35"/>
    </row>
    <row r="35" spans="1:13" ht="22.5" hidden="1" thickTop="1" thickBot="1" x14ac:dyDescent="0.4">
      <c r="A35" s="46" t="s">
        <v>42</v>
      </c>
      <c r="B35" s="48">
        <v>68.61</v>
      </c>
      <c r="C35" s="35"/>
      <c r="D35" s="46" t="s">
        <v>42</v>
      </c>
      <c r="E35" s="48">
        <v>60.61</v>
      </c>
      <c r="F35" s="35"/>
      <c r="G35" s="46" t="s">
        <v>42</v>
      </c>
      <c r="H35" s="48">
        <v>93.69</v>
      </c>
      <c r="I35" s="35"/>
      <c r="J35" s="35"/>
      <c r="K35" s="35"/>
      <c r="L35" s="35"/>
      <c r="M35" s="35"/>
    </row>
    <row r="36" spans="1:13" ht="21.75" thickTop="1" x14ac:dyDescent="0.3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</sheetData>
  <mergeCells count="6">
    <mergeCell ref="A27:B27"/>
    <mergeCell ref="D27:E27"/>
    <mergeCell ref="G27:H27"/>
    <mergeCell ref="A10:B10"/>
    <mergeCell ref="D10:E10"/>
    <mergeCell ref="G10:H10"/>
  </mergeCells>
  <conditionalFormatting sqref="A10">
    <cfRule type="cellIs" dxfId="42" priority="50" operator="equal">
      <formula>"-"</formula>
    </cfRule>
  </conditionalFormatting>
  <conditionalFormatting sqref="A24">
    <cfRule type="cellIs" dxfId="41" priority="33" operator="equal">
      <formula>"-"</formula>
    </cfRule>
  </conditionalFormatting>
  <conditionalFormatting sqref="A27">
    <cfRule type="cellIs" dxfId="40" priority="15" operator="equal">
      <formula>"-"</formula>
    </cfRule>
  </conditionalFormatting>
  <conditionalFormatting sqref="B13">
    <cfRule type="cellIs" dxfId="39" priority="46" operator="lessThan">
      <formula>0.85</formula>
    </cfRule>
    <cfRule type="cellIs" dxfId="38" priority="47" operator="greaterThan">
      <formula>0.84</formula>
    </cfRule>
  </conditionalFormatting>
  <conditionalFormatting sqref="B14">
    <cfRule type="cellIs" dxfId="37" priority="56" operator="lessThan">
      <formula>4</formula>
    </cfRule>
    <cfRule type="cellIs" dxfId="36" priority="55" operator="greaterThan">
      <formula>3</formula>
    </cfRule>
  </conditionalFormatting>
  <conditionalFormatting sqref="B17 E17">
    <cfRule type="cellIs" dxfId="35" priority="43" operator="greaterThan">
      <formula>400</formula>
    </cfRule>
  </conditionalFormatting>
  <conditionalFormatting sqref="B30">
    <cfRule type="cellIs" dxfId="34" priority="11" operator="lessThan">
      <formula>0.85</formula>
    </cfRule>
    <cfRule type="cellIs" dxfId="33" priority="12" operator="greaterThan">
      <formula>0.84</formula>
    </cfRule>
  </conditionalFormatting>
  <conditionalFormatting sqref="B31">
    <cfRule type="cellIs" dxfId="32" priority="16" operator="greaterThan">
      <formula>1</formula>
    </cfRule>
    <cfRule type="cellIs" dxfId="31" priority="17" operator="lessThan">
      <formula>2</formula>
    </cfRule>
  </conditionalFormatting>
  <conditionalFormatting sqref="B34">
    <cfRule type="cellIs" dxfId="30" priority="5" operator="greaterThan">
      <formula>450</formula>
    </cfRule>
  </conditionalFormatting>
  <conditionalFormatting sqref="D10">
    <cfRule type="cellIs" dxfId="29" priority="49" operator="equal">
      <formula>"-"</formula>
    </cfRule>
  </conditionalFormatting>
  <conditionalFormatting sqref="D24">
    <cfRule type="cellIs" dxfId="28" priority="31" operator="equal">
      <formula>"-"</formula>
    </cfRule>
  </conditionalFormatting>
  <conditionalFormatting sqref="D27">
    <cfRule type="cellIs" dxfId="27" priority="13" operator="equal">
      <formula>"-"</formula>
    </cfRule>
  </conditionalFormatting>
  <conditionalFormatting sqref="E13">
    <cfRule type="cellIs" dxfId="26" priority="44" operator="lessThan">
      <formula>0.85</formula>
    </cfRule>
    <cfRule type="cellIs" dxfId="25" priority="45" operator="greaterThan">
      <formula>0.84</formula>
    </cfRule>
  </conditionalFormatting>
  <conditionalFormatting sqref="E14">
    <cfRule type="cellIs" dxfId="24" priority="53" operator="greaterThan">
      <formula>3</formula>
    </cfRule>
    <cfRule type="cellIs" dxfId="23" priority="54" operator="lessThan">
      <formula>4</formula>
    </cfRule>
  </conditionalFormatting>
  <conditionalFormatting sqref="E30">
    <cfRule type="cellIs" dxfId="22" priority="9" operator="lessThan">
      <formula>0.85</formula>
    </cfRule>
    <cfRule type="cellIs" dxfId="21" priority="10" operator="greaterThan">
      <formula>0.84</formula>
    </cfRule>
  </conditionalFormatting>
  <conditionalFormatting sqref="E31">
    <cfRule type="cellIs" dxfId="20" priority="18" operator="greaterThan">
      <formula>2</formula>
    </cfRule>
    <cfRule type="cellIs" dxfId="19" priority="19" operator="lessThan">
      <formula>3</formula>
    </cfRule>
  </conditionalFormatting>
  <conditionalFormatting sqref="E34">
    <cfRule type="cellIs" dxfId="18" priority="6" operator="greaterThan">
      <formula>400</formula>
    </cfRule>
  </conditionalFormatting>
  <conditionalFormatting sqref="G10">
    <cfRule type="cellIs" dxfId="17" priority="48" operator="equal">
      <formula>"-"</formula>
    </cfRule>
  </conditionalFormatting>
  <conditionalFormatting sqref="G24">
    <cfRule type="cellIs" dxfId="16" priority="32" operator="equal">
      <formula>"-"</formula>
    </cfRule>
  </conditionalFormatting>
  <conditionalFormatting sqref="G27">
    <cfRule type="cellIs" dxfId="15" priority="14" operator="equal">
      <formula>"-"</formula>
    </cfRule>
  </conditionalFormatting>
  <conditionalFormatting sqref="H13">
    <cfRule type="cellIs" dxfId="14" priority="40" operator="lessThan">
      <formula>0.85</formula>
    </cfRule>
    <cfRule type="cellIs" dxfId="13" priority="41" operator="greaterThan">
      <formula>0.84</formula>
    </cfRule>
  </conditionalFormatting>
  <conditionalFormatting sqref="H14">
    <cfRule type="cellIs" dxfId="12" priority="2" operator="greaterThan">
      <formula>3</formula>
    </cfRule>
    <cfRule type="cellIs" dxfId="11" priority="3" operator="lessThan">
      <formula>4</formula>
    </cfRule>
  </conditionalFormatting>
  <conditionalFormatting sqref="H17">
    <cfRule type="cellIs" dxfId="10" priority="1" operator="greaterThan">
      <formula>400</formula>
    </cfRule>
  </conditionalFormatting>
  <conditionalFormatting sqref="H30">
    <cfRule type="cellIs" dxfId="9" priority="8" operator="greaterThan">
      <formula>0.84</formula>
    </cfRule>
    <cfRule type="cellIs" dxfId="8" priority="7" operator="lessThan">
      <formula>0.85</formula>
    </cfRule>
  </conditionalFormatting>
  <conditionalFormatting sqref="H31">
    <cfRule type="cellIs" dxfId="7" priority="21" operator="lessThan">
      <formula>4</formula>
    </cfRule>
    <cfRule type="cellIs" dxfId="6" priority="20" operator="greaterThan">
      <formula>3</formula>
    </cfRule>
  </conditionalFormatting>
  <conditionalFormatting sqref="H34">
    <cfRule type="cellIs" dxfId="5" priority="4" operator="greaterThan">
      <formula>450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6E74E7-94ED-438A-B011-C9F6BF22F5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EU</vt:lpstr>
      <vt:lpstr>R.EU</vt:lpstr>
      <vt:lpstr>Red Cash</vt:lpstr>
      <vt:lpstr>Aspiring</vt:lpstr>
      <vt:lpstr>ICC</vt:lpstr>
      <vt:lpstr>SME-CM</vt:lpstr>
      <vt:lpstr>Validation</vt:lpstr>
      <vt:lpstr>Clint V</vt:lpstr>
    </vt:vector>
  </TitlesOfParts>
  <Company>Atheel 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Ahmed AbdElFattah</dc:creator>
  <cp:lastModifiedBy>Sara AbdElFattah-AbdElFattah, Vodafone</cp:lastModifiedBy>
  <dcterms:created xsi:type="dcterms:W3CDTF">2025-06-15T21:07:48Z</dcterms:created>
  <dcterms:modified xsi:type="dcterms:W3CDTF">2025-11-04T14:51:34Z</dcterms:modified>
</cp:coreProperties>
</file>