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V25ARizk\Desktop\"/>
    </mc:Choice>
  </mc:AlternateContent>
  <xr:revisionPtr revIDLastSave="0" documentId="13_ncr:1_{EB8E769B-A903-4310-BEBC-C0E384DE1B76}" xr6:coauthVersionLast="47" xr6:coauthVersionMax="47" xr10:uidLastSave="{00000000-0000-0000-0000-000000000000}"/>
  <bookViews>
    <workbookView xWindow="-120" yWindow="-120" windowWidth="20730" windowHeight="11040" activeTab="2" xr2:uid="{B6C9A146-5FC8-4D83-8F02-A25AB39AA675}"/>
  </bookViews>
  <sheets>
    <sheet name="Sheet6" sheetId="13" r:id="rId1"/>
    <sheet name="NPS" sheetId="7" r:id="rId2"/>
    <sheet name="NPS row data (Rizk structure)" sheetId="2" r:id="rId3"/>
    <sheet name="HC for display name " sheetId="1" r:id="rId4"/>
    <sheet name="HC for user name" sheetId="4" r:id="rId5"/>
  </sheets>
  <definedNames>
    <definedName name="_xlnm._FilterDatabase" localSheetId="1" hidden="1">NPS!$W$1:$AC$47</definedName>
    <definedName name="_xlnm._FilterDatabase" localSheetId="2" hidden="1">'NPS row data (Rizk structure)'!$A$1:$J$437</definedName>
  </definedNames>
  <calcPr calcId="191028"/>
  <pivotCaches>
    <pivotCache cacheId="2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1" i="2" l="1"/>
  <c r="I431" i="2" s="1"/>
  <c r="J431" i="2"/>
  <c r="E424" i="2"/>
  <c r="I424" i="2"/>
  <c r="J424" i="2"/>
  <c r="E376" i="2"/>
  <c r="I376" i="2" s="1"/>
  <c r="J376" i="2"/>
  <c r="H339" i="2"/>
  <c r="I339" i="2"/>
  <c r="J339" i="2"/>
  <c r="H335" i="2"/>
  <c r="I335" i="2"/>
  <c r="J335" i="2"/>
  <c r="H251" i="2"/>
  <c r="I251" i="2"/>
  <c r="J251" i="2"/>
  <c r="H223" i="2"/>
  <c r="I223" i="2"/>
  <c r="J223" i="2"/>
  <c r="H200" i="2"/>
  <c r="I200" i="2"/>
  <c r="J200" i="2"/>
  <c r="H198" i="2"/>
  <c r="I198" i="2"/>
  <c r="J198" i="2"/>
  <c r="H192" i="2"/>
  <c r="I192" i="2"/>
  <c r="J192" i="2"/>
  <c r="H186" i="2"/>
  <c r="I186" i="2"/>
  <c r="J186" i="2"/>
  <c r="H181" i="2"/>
  <c r="I181" i="2"/>
  <c r="J181" i="2"/>
  <c r="H77" i="2"/>
  <c r="I77" i="2"/>
  <c r="J77" i="2"/>
  <c r="H78" i="2"/>
  <c r="I78" i="2"/>
  <c r="J78" i="2"/>
  <c r="H67" i="2"/>
  <c r="I67" i="2"/>
  <c r="J67" i="2"/>
  <c r="H52" i="2"/>
  <c r="I52" i="2"/>
  <c r="J52" i="2"/>
  <c r="H46" i="2"/>
  <c r="I46" i="2"/>
  <c r="J46" i="2"/>
  <c r="H30" i="2"/>
  <c r="I30" i="2"/>
  <c r="J30" i="2"/>
  <c r="H21" i="2"/>
  <c r="I21" i="2"/>
  <c r="J21" i="2"/>
  <c r="G38" i="7"/>
  <c r="F38" i="7"/>
  <c r="AC47" i="7"/>
  <c r="AB47" i="7"/>
  <c r="AC42" i="7"/>
  <c r="AB42" i="7"/>
  <c r="AC15" i="7"/>
  <c r="AB15" i="7"/>
  <c r="AC16" i="7"/>
  <c r="AB16" i="7"/>
  <c r="AC14" i="7"/>
  <c r="AB14" i="7"/>
  <c r="AC28" i="7"/>
  <c r="AB28" i="7"/>
  <c r="AC26" i="7"/>
  <c r="AB26" i="7"/>
  <c r="AC8" i="7"/>
  <c r="AB8" i="7"/>
  <c r="AC35" i="7"/>
  <c r="AB35" i="7"/>
  <c r="AC12" i="7"/>
  <c r="AB12" i="7"/>
  <c r="AC20" i="7"/>
  <c r="AB20" i="7"/>
  <c r="AC31" i="7"/>
  <c r="AB31" i="7"/>
  <c r="AC19" i="7"/>
  <c r="AB19" i="7"/>
  <c r="AC11" i="7"/>
  <c r="AB11" i="7"/>
  <c r="AC25" i="7"/>
  <c r="AB25" i="7"/>
  <c r="AC46" i="7"/>
  <c r="AB46" i="7"/>
  <c r="AC3" i="7"/>
  <c r="AB3" i="7"/>
  <c r="AC5" i="7"/>
  <c r="AB5" i="7"/>
  <c r="AC24" i="7"/>
  <c r="AB24" i="7"/>
  <c r="AC33" i="7"/>
  <c r="AB33" i="7"/>
  <c r="AC7" i="7"/>
  <c r="AB7" i="7"/>
  <c r="AC41" i="7"/>
  <c r="AB41" i="7"/>
  <c r="AC22" i="7"/>
  <c r="AB22" i="7"/>
  <c r="AC18" i="7"/>
  <c r="AB18" i="7"/>
  <c r="AC39" i="7"/>
  <c r="AB39" i="7"/>
  <c r="AC2" i="7"/>
  <c r="AB2" i="7"/>
  <c r="AC21" i="7"/>
  <c r="AB21" i="7"/>
  <c r="AC17" i="7"/>
  <c r="AB17" i="7"/>
  <c r="AC43" i="7"/>
  <c r="AB43" i="7"/>
  <c r="AC44" i="7"/>
  <c r="AB44" i="7"/>
  <c r="AC13" i="7"/>
  <c r="AB13" i="7"/>
  <c r="AC34" i="7"/>
  <c r="AB34" i="7"/>
  <c r="AC6" i="7"/>
  <c r="AB6" i="7"/>
  <c r="AC23" i="7"/>
  <c r="AB23" i="7"/>
  <c r="AC37" i="7"/>
  <c r="AB37" i="7"/>
  <c r="AC27" i="7"/>
  <c r="AB27" i="7"/>
  <c r="AC30" i="7"/>
  <c r="AB30" i="7"/>
  <c r="AC29" i="7"/>
  <c r="AB29" i="7"/>
  <c r="AC9" i="7"/>
  <c r="AB9" i="7"/>
  <c r="AC36" i="7"/>
  <c r="AB36" i="7"/>
  <c r="AC38" i="7"/>
  <c r="AB38" i="7"/>
  <c r="AC32" i="7"/>
  <c r="AB32" i="7"/>
  <c r="AC10" i="7"/>
  <c r="AB10" i="7"/>
  <c r="AC45" i="7"/>
  <c r="AB45" i="7"/>
  <c r="AC40" i="7"/>
  <c r="AB40" i="7"/>
  <c r="AC4" i="7"/>
  <c r="AB4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5" i="2"/>
  <c r="J426" i="2"/>
  <c r="J427" i="2"/>
  <c r="J428" i="2"/>
  <c r="J429" i="2"/>
  <c r="J430" i="2"/>
  <c r="J432" i="2"/>
  <c r="J433" i="2"/>
  <c r="J434" i="2"/>
  <c r="J435" i="2"/>
  <c r="J436" i="2"/>
  <c r="J437" i="2"/>
  <c r="E389" i="2"/>
  <c r="I389" i="2" s="1"/>
  <c r="E390" i="2"/>
  <c r="I390" i="2" s="1"/>
  <c r="E391" i="2"/>
  <c r="I391" i="2" s="1"/>
  <c r="E392" i="2"/>
  <c r="I392" i="2" s="1"/>
  <c r="E393" i="2"/>
  <c r="I393" i="2" s="1"/>
  <c r="E394" i="2"/>
  <c r="I394" i="2" s="1"/>
  <c r="E395" i="2"/>
  <c r="I395" i="2" s="1"/>
  <c r="E396" i="2"/>
  <c r="I396" i="2" s="1"/>
  <c r="E397" i="2"/>
  <c r="I397" i="2" s="1"/>
  <c r="E398" i="2"/>
  <c r="I398" i="2" s="1"/>
  <c r="E399" i="2"/>
  <c r="I399" i="2" s="1"/>
  <c r="E400" i="2"/>
  <c r="I400" i="2" s="1"/>
  <c r="E401" i="2"/>
  <c r="I401" i="2" s="1"/>
  <c r="E402" i="2"/>
  <c r="I402" i="2" s="1"/>
  <c r="E403" i="2"/>
  <c r="I403" i="2" s="1"/>
  <c r="E404" i="2"/>
  <c r="I404" i="2" s="1"/>
  <c r="E405" i="2"/>
  <c r="I405" i="2" s="1"/>
  <c r="E406" i="2"/>
  <c r="I406" i="2" s="1"/>
  <c r="E407" i="2"/>
  <c r="I407" i="2" s="1"/>
  <c r="E408" i="2"/>
  <c r="I408" i="2" s="1"/>
  <c r="E409" i="2"/>
  <c r="I409" i="2" s="1"/>
  <c r="E410" i="2"/>
  <c r="I410" i="2" s="1"/>
  <c r="E411" i="2"/>
  <c r="I411" i="2" s="1"/>
  <c r="E412" i="2"/>
  <c r="I412" i="2" s="1"/>
  <c r="E413" i="2"/>
  <c r="I413" i="2" s="1"/>
  <c r="E414" i="2"/>
  <c r="I414" i="2" s="1"/>
  <c r="E415" i="2"/>
  <c r="I415" i="2" s="1"/>
  <c r="E416" i="2"/>
  <c r="I416" i="2" s="1"/>
  <c r="E417" i="2"/>
  <c r="I417" i="2" s="1"/>
  <c r="E418" i="2"/>
  <c r="I418" i="2" s="1"/>
  <c r="E419" i="2"/>
  <c r="I419" i="2" s="1"/>
  <c r="E420" i="2"/>
  <c r="I420" i="2" s="1"/>
  <c r="E421" i="2"/>
  <c r="I421" i="2" s="1"/>
  <c r="E422" i="2"/>
  <c r="I422" i="2" s="1"/>
  <c r="E423" i="2"/>
  <c r="I423" i="2" s="1"/>
  <c r="E425" i="2"/>
  <c r="I425" i="2" s="1"/>
  <c r="E426" i="2"/>
  <c r="I426" i="2" s="1"/>
  <c r="E427" i="2"/>
  <c r="I427" i="2" s="1"/>
  <c r="E428" i="2"/>
  <c r="I428" i="2" s="1"/>
  <c r="E429" i="2"/>
  <c r="I429" i="2" s="1"/>
  <c r="E430" i="2"/>
  <c r="I430" i="2" s="1"/>
  <c r="E432" i="2"/>
  <c r="I432" i="2" s="1"/>
  <c r="E433" i="2"/>
  <c r="I433" i="2" s="1"/>
  <c r="E434" i="2"/>
  <c r="I434" i="2" s="1"/>
  <c r="E435" i="2"/>
  <c r="I435" i="2" s="1"/>
  <c r="E436" i="2"/>
  <c r="I436" i="2" s="1"/>
  <c r="E437" i="2"/>
  <c r="I437" i="2" s="1"/>
  <c r="S55" i="7"/>
  <c r="R55" i="7"/>
  <c r="S54" i="7"/>
  <c r="R54" i="7"/>
  <c r="S45" i="7"/>
  <c r="R45" i="7"/>
  <c r="S48" i="7"/>
  <c r="R48" i="7"/>
  <c r="S47" i="7"/>
  <c r="R47" i="7"/>
  <c r="S52" i="7"/>
  <c r="R52" i="7"/>
  <c r="S51" i="7"/>
  <c r="R51" i="7"/>
  <c r="S44" i="7"/>
  <c r="R44" i="7"/>
  <c r="S53" i="7"/>
  <c r="R53" i="7"/>
  <c r="S43" i="7"/>
  <c r="R43" i="7"/>
  <c r="S46" i="7"/>
  <c r="R46" i="7"/>
  <c r="S50" i="7"/>
  <c r="R50" i="7"/>
  <c r="S49" i="7"/>
  <c r="R49" i="7"/>
  <c r="S40" i="7"/>
  <c r="R40" i="7"/>
  <c r="S37" i="7"/>
  <c r="R37" i="7"/>
  <c r="S38" i="7"/>
  <c r="R38" i="7"/>
  <c r="S29" i="7"/>
  <c r="R29" i="7"/>
  <c r="S30" i="7"/>
  <c r="R30" i="7"/>
  <c r="S33" i="7"/>
  <c r="R33" i="7"/>
  <c r="S36" i="7"/>
  <c r="R36" i="7"/>
  <c r="S31" i="7"/>
  <c r="R31" i="7"/>
  <c r="S34" i="7"/>
  <c r="R34" i="7"/>
  <c r="S35" i="7"/>
  <c r="R35" i="7"/>
  <c r="S32" i="7"/>
  <c r="R32" i="7"/>
  <c r="S39" i="7"/>
  <c r="R39" i="7"/>
  <c r="S28" i="7"/>
  <c r="R28" i="7"/>
  <c r="S25" i="7"/>
  <c r="R25" i="7"/>
  <c r="S14" i="7"/>
  <c r="R14" i="7"/>
  <c r="S24" i="7"/>
  <c r="R24" i="7"/>
  <c r="S23" i="7"/>
  <c r="R23" i="7"/>
  <c r="S21" i="7"/>
  <c r="R21" i="7"/>
  <c r="S17" i="7"/>
  <c r="R17" i="7"/>
  <c r="S18" i="7"/>
  <c r="R18" i="7"/>
  <c r="S16" i="7"/>
  <c r="R16" i="7"/>
  <c r="S20" i="7"/>
  <c r="R20" i="7"/>
  <c r="S15" i="7"/>
  <c r="R15" i="7"/>
  <c r="S19" i="7"/>
  <c r="R19" i="7"/>
  <c r="S22" i="7"/>
  <c r="R22" i="7"/>
  <c r="S11" i="7"/>
  <c r="R11" i="7"/>
  <c r="S8" i="7"/>
  <c r="R8" i="7"/>
  <c r="S2" i="7"/>
  <c r="R2" i="7"/>
  <c r="S10" i="7"/>
  <c r="R10" i="7"/>
  <c r="S6" i="7"/>
  <c r="R6" i="7"/>
  <c r="S7" i="7"/>
  <c r="R7" i="7"/>
  <c r="S4" i="7"/>
  <c r="R4" i="7"/>
  <c r="S9" i="7"/>
  <c r="R9" i="7"/>
  <c r="S5" i="7"/>
  <c r="R5" i="7"/>
  <c r="S3" i="7"/>
  <c r="R3" i="7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E364" i="2"/>
  <c r="I364" i="2" s="1"/>
  <c r="E365" i="2"/>
  <c r="I365" i="2" s="1"/>
  <c r="E366" i="2"/>
  <c r="I366" i="2" s="1"/>
  <c r="E367" i="2"/>
  <c r="I367" i="2" s="1"/>
  <c r="E368" i="2"/>
  <c r="I368" i="2" s="1"/>
  <c r="E369" i="2"/>
  <c r="I369" i="2" s="1"/>
  <c r="E370" i="2"/>
  <c r="I370" i="2" s="1"/>
  <c r="E371" i="2"/>
  <c r="I371" i="2" s="1"/>
  <c r="E372" i="2"/>
  <c r="I372" i="2" s="1"/>
  <c r="E373" i="2"/>
  <c r="I373" i="2" s="1"/>
  <c r="E374" i="2"/>
  <c r="I374" i="2" s="1"/>
  <c r="E375" i="2"/>
  <c r="I375" i="2" s="1"/>
  <c r="E377" i="2"/>
  <c r="I377" i="2" s="1"/>
  <c r="E378" i="2"/>
  <c r="I378" i="2" s="1"/>
  <c r="E379" i="2"/>
  <c r="I379" i="2" s="1"/>
  <c r="E380" i="2"/>
  <c r="I380" i="2" s="1"/>
  <c r="E381" i="2"/>
  <c r="I381" i="2" s="1"/>
  <c r="E382" i="2"/>
  <c r="I382" i="2" s="1"/>
  <c r="E383" i="2"/>
  <c r="I383" i="2" s="1"/>
  <c r="E384" i="2"/>
  <c r="I384" i="2" s="1"/>
  <c r="E385" i="2"/>
  <c r="I385" i="2" s="1"/>
  <c r="E386" i="2"/>
  <c r="I386" i="2" s="1"/>
  <c r="E387" i="2"/>
  <c r="I387" i="2" s="1"/>
  <c r="E388" i="2"/>
  <c r="I388" i="2" s="1"/>
  <c r="E363" i="2"/>
  <c r="I363" i="2" s="1"/>
  <c r="H222" i="2"/>
  <c r="I222" i="2"/>
  <c r="J222" i="2"/>
  <c r="H224" i="2"/>
  <c r="I224" i="2"/>
  <c r="J224" i="2"/>
  <c r="H225" i="2"/>
  <c r="I225" i="2"/>
  <c r="J225" i="2"/>
  <c r="H226" i="2"/>
  <c r="I226" i="2"/>
  <c r="J226" i="2"/>
  <c r="H227" i="2"/>
  <c r="I227" i="2"/>
  <c r="J227" i="2"/>
  <c r="H228" i="2"/>
  <c r="I228" i="2"/>
  <c r="J228" i="2"/>
  <c r="H229" i="2"/>
  <c r="I229" i="2"/>
  <c r="J229" i="2"/>
  <c r="H230" i="2"/>
  <c r="I230" i="2"/>
  <c r="J230" i="2"/>
  <c r="H231" i="2"/>
  <c r="I231" i="2"/>
  <c r="J231" i="2"/>
  <c r="H232" i="2"/>
  <c r="I232" i="2"/>
  <c r="J232" i="2"/>
  <c r="H233" i="2"/>
  <c r="I233" i="2"/>
  <c r="J233" i="2"/>
  <c r="H234" i="2"/>
  <c r="I234" i="2"/>
  <c r="J234" i="2"/>
  <c r="H235" i="2"/>
  <c r="I235" i="2"/>
  <c r="J235" i="2"/>
  <c r="H236" i="2"/>
  <c r="I236" i="2"/>
  <c r="J236" i="2"/>
  <c r="H237" i="2"/>
  <c r="I237" i="2"/>
  <c r="J237" i="2"/>
  <c r="H238" i="2"/>
  <c r="I238" i="2"/>
  <c r="J238" i="2"/>
  <c r="H239" i="2"/>
  <c r="I239" i="2"/>
  <c r="J239" i="2"/>
  <c r="H240" i="2"/>
  <c r="I240" i="2"/>
  <c r="J240" i="2"/>
  <c r="H241" i="2"/>
  <c r="I241" i="2"/>
  <c r="J241" i="2"/>
  <c r="H242" i="2"/>
  <c r="I242" i="2"/>
  <c r="J242" i="2"/>
  <c r="H243" i="2"/>
  <c r="I243" i="2"/>
  <c r="J243" i="2"/>
  <c r="H244" i="2"/>
  <c r="I244" i="2"/>
  <c r="J244" i="2"/>
  <c r="H245" i="2"/>
  <c r="I245" i="2"/>
  <c r="J245" i="2"/>
  <c r="H246" i="2"/>
  <c r="I246" i="2"/>
  <c r="J246" i="2"/>
  <c r="H247" i="2"/>
  <c r="I247" i="2"/>
  <c r="J247" i="2"/>
  <c r="H248" i="2"/>
  <c r="I248" i="2"/>
  <c r="J248" i="2"/>
  <c r="H249" i="2"/>
  <c r="I249" i="2"/>
  <c r="J249" i="2"/>
  <c r="H250" i="2"/>
  <c r="I250" i="2"/>
  <c r="J250" i="2"/>
  <c r="H252" i="2"/>
  <c r="I252" i="2"/>
  <c r="J252" i="2"/>
  <c r="H253" i="2"/>
  <c r="I253" i="2"/>
  <c r="J253" i="2"/>
  <c r="H254" i="2"/>
  <c r="I254" i="2"/>
  <c r="J254" i="2"/>
  <c r="H255" i="2"/>
  <c r="I255" i="2"/>
  <c r="J255" i="2"/>
  <c r="H256" i="2"/>
  <c r="I256" i="2"/>
  <c r="J256" i="2"/>
  <c r="H257" i="2"/>
  <c r="I257" i="2"/>
  <c r="J257" i="2"/>
  <c r="H258" i="2"/>
  <c r="I258" i="2"/>
  <c r="J258" i="2"/>
  <c r="H259" i="2"/>
  <c r="I259" i="2"/>
  <c r="J259" i="2"/>
  <c r="H260" i="2"/>
  <c r="I260" i="2"/>
  <c r="J260" i="2"/>
  <c r="H261" i="2"/>
  <c r="I261" i="2"/>
  <c r="J261" i="2"/>
  <c r="H262" i="2"/>
  <c r="I262" i="2"/>
  <c r="J262" i="2"/>
  <c r="H263" i="2"/>
  <c r="I263" i="2"/>
  <c r="J263" i="2"/>
  <c r="H264" i="2"/>
  <c r="I264" i="2"/>
  <c r="J264" i="2"/>
  <c r="H265" i="2"/>
  <c r="I265" i="2"/>
  <c r="J265" i="2"/>
  <c r="H266" i="2"/>
  <c r="I266" i="2"/>
  <c r="J266" i="2"/>
  <c r="H267" i="2"/>
  <c r="I267" i="2"/>
  <c r="J267" i="2"/>
  <c r="H268" i="2"/>
  <c r="I268" i="2"/>
  <c r="J268" i="2"/>
  <c r="H269" i="2"/>
  <c r="I269" i="2"/>
  <c r="J269" i="2"/>
  <c r="H270" i="2"/>
  <c r="I270" i="2"/>
  <c r="J270" i="2"/>
  <c r="H271" i="2"/>
  <c r="I271" i="2"/>
  <c r="J271" i="2"/>
  <c r="H272" i="2"/>
  <c r="I272" i="2"/>
  <c r="J272" i="2"/>
  <c r="H273" i="2"/>
  <c r="I273" i="2"/>
  <c r="J273" i="2"/>
  <c r="H274" i="2"/>
  <c r="I274" i="2"/>
  <c r="J274" i="2"/>
  <c r="H275" i="2"/>
  <c r="I275" i="2"/>
  <c r="J275" i="2"/>
  <c r="H276" i="2"/>
  <c r="I276" i="2"/>
  <c r="J276" i="2"/>
  <c r="H277" i="2"/>
  <c r="I277" i="2"/>
  <c r="J277" i="2"/>
  <c r="H278" i="2"/>
  <c r="I278" i="2"/>
  <c r="J278" i="2"/>
  <c r="H279" i="2"/>
  <c r="I279" i="2"/>
  <c r="J279" i="2"/>
  <c r="H280" i="2"/>
  <c r="I280" i="2"/>
  <c r="J280" i="2"/>
  <c r="H281" i="2"/>
  <c r="I281" i="2"/>
  <c r="J281" i="2"/>
  <c r="H282" i="2"/>
  <c r="I282" i="2"/>
  <c r="J282" i="2"/>
  <c r="H283" i="2"/>
  <c r="I283" i="2"/>
  <c r="J283" i="2"/>
  <c r="H284" i="2"/>
  <c r="I284" i="2"/>
  <c r="J284" i="2"/>
  <c r="H285" i="2"/>
  <c r="I285" i="2"/>
  <c r="J285" i="2"/>
  <c r="H286" i="2"/>
  <c r="I286" i="2"/>
  <c r="J286" i="2"/>
  <c r="H287" i="2"/>
  <c r="I287" i="2"/>
  <c r="J287" i="2"/>
  <c r="H288" i="2"/>
  <c r="I288" i="2"/>
  <c r="J288" i="2"/>
  <c r="H289" i="2"/>
  <c r="I289" i="2"/>
  <c r="J289" i="2"/>
  <c r="H290" i="2"/>
  <c r="I290" i="2"/>
  <c r="J290" i="2"/>
  <c r="H291" i="2"/>
  <c r="I291" i="2"/>
  <c r="J291" i="2"/>
  <c r="H292" i="2"/>
  <c r="I292" i="2"/>
  <c r="J292" i="2"/>
  <c r="H293" i="2"/>
  <c r="I293" i="2"/>
  <c r="J293" i="2"/>
  <c r="H294" i="2"/>
  <c r="I294" i="2"/>
  <c r="J294" i="2"/>
  <c r="H295" i="2"/>
  <c r="I295" i="2"/>
  <c r="J295" i="2"/>
  <c r="H296" i="2"/>
  <c r="I296" i="2"/>
  <c r="J296" i="2"/>
  <c r="H297" i="2"/>
  <c r="I297" i="2"/>
  <c r="J297" i="2"/>
  <c r="H298" i="2"/>
  <c r="I298" i="2"/>
  <c r="J298" i="2"/>
  <c r="H299" i="2"/>
  <c r="I299" i="2"/>
  <c r="J299" i="2"/>
  <c r="H300" i="2"/>
  <c r="I300" i="2"/>
  <c r="J300" i="2"/>
  <c r="H301" i="2"/>
  <c r="I301" i="2"/>
  <c r="J301" i="2"/>
  <c r="H302" i="2"/>
  <c r="I302" i="2"/>
  <c r="J302" i="2"/>
  <c r="H303" i="2"/>
  <c r="I303" i="2"/>
  <c r="J303" i="2"/>
  <c r="H304" i="2"/>
  <c r="I304" i="2"/>
  <c r="J304" i="2"/>
  <c r="H305" i="2"/>
  <c r="I305" i="2"/>
  <c r="J305" i="2"/>
  <c r="H306" i="2"/>
  <c r="I306" i="2"/>
  <c r="J306" i="2"/>
  <c r="H307" i="2"/>
  <c r="I307" i="2"/>
  <c r="J307" i="2"/>
  <c r="H308" i="2"/>
  <c r="I308" i="2"/>
  <c r="J308" i="2"/>
  <c r="H309" i="2"/>
  <c r="I309" i="2"/>
  <c r="J309" i="2"/>
  <c r="H310" i="2"/>
  <c r="I310" i="2"/>
  <c r="J310" i="2"/>
  <c r="H311" i="2"/>
  <c r="I311" i="2"/>
  <c r="J311" i="2"/>
  <c r="H312" i="2"/>
  <c r="I312" i="2"/>
  <c r="J312" i="2"/>
  <c r="H313" i="2"/>
  <c r="I313" i="2"/>
  <c r="J313" i="2"/>
  <c r="H314" i="2"/>
  <c r="I314" i="2"/>
  <c r="J314" i="2"/>
  <c r="H315" i="2"/>
  <c r="I315" i="2"/>
  <c r="J315" i="2"/>
  <c r="H316" i="2"/>
  <c r="I316" i="2"/>
  <c r="J316" i="2"/>
  <c r="H317" i="2"/>
  <c r="I317" i="2"/>
  <c r="J317" i="2"/>
  <c r="H318" i="2"/>
  <c r="I318" i="2"/>
  <c r="J318" i="2"/>
  <c r="H319" i="2"/>
  <c r="I319" i="2"/>
  <c r="J319" i="2"/>
  <c r="H320" i="2"/>
  <c r="I320" i="2"/>
  <c r="J320" i="2"/>
  <c r="H321" i="2"/>
  <c r="I321" i="2"/>
  <c r="J321" i="2"/>
  <c r="H322" i="2"/>
  <c r="I322" i="2"/>
  <c r="J322" i="2"/>
  <c r="H323" i="2"/>
  <c r="I323" i="2"/>
  <c r="J323" i="2"/>
  <c r="H324" i="2"/>
  <c r="I324" i="2"/>
  <c r="J324" i="2"/>
  <c r="H325" i="2"/>
  <c r="I325" i="2"/>
  <c r="J325" i="2"/>
  <c r="H326" i="2"/>
  <c r="I326" i="2"/>
  <c r="J326" i="2"/>
  <c r="H327" i="2"/>
  <c r="I327" i="2"/>
  <c r="J327" i="2"/>
  <c r="H328" i="2"/>
  <c r="I328" i="2"/>
  <c r="J328" i="2"/>
  <c r="H329" i="2"/>
  <c r="I329" i="2"/>
  <c r="J329" i="2"/>
  <c r="H330" i="2"/>
  <c r="I330" i="2"/>
  <c r="J330" i="2"/>
  <c r="H331" i="2"/>
  <c r="I331" i="2"/>
  <c r="J331" i="2"/>
  <c r="H332" i="2"/>
  <c r="I332" i="2"/>
  <c r="J332" i="2"/>
  <c r="H333" i="2"/>
  <c r="I333" i="2"/>
  <c r="J333" i="2"/>
  <c r="H334" i="2"/>
  <c r="I334" i="2"/>
  <c r="J334" i="2"/>
  <c r="H336" i="2"/>
  <c r="I336" i="2"/>
  <c r="J336" i="2"/>
  <c r="H337" i="2"/>
  <c r="I337" i="2"/>
  <c r="J337" i="2"/>
  <c r="H338" i="2"/>
  <c r="I338" i="2"/>
  <c r="J338" i="2"/>
  <c r="H340" i="2"/>
  <c r="I340" i="2"/>
  <c r="J340" i="2"/>
  <c r="H341" i="2"/>
  <c r="I341" i="2"/>
  <c r="J341" i="2"/>
  <c r="H342" i="2"/>
  <c r="I342" i="2"/>
  <c r="J342" i="2"/>
  <c r="H343" i="2"/>
  <c r="I343" i="2"/>
  <c r="J343" i="2"/>
  <c r="H344" i="2"/>
  <c r="I344" i="2"/>
  <c r="J344" i="2"/>
  <c r="H345" i="2"/>
  <c r="I345" i="2"/>
  <c r="J345" i="2"/>
  <c r="H346" i="2"/>
  <c r="I346" i="2"/>
  <c r="J346" i="2"/>
  <c r="H347" i="2"/>
  <c r="I347" i="2"/>
  <c r="J347" i="2"/>
  <c r="H348" i="2"/>
  <c r="I348" i="2"/>
  <c r="J348" i="2"/>
  <c r="H349" i="2"/>
  <c r="I349" i="2"/>
  <c r="J349" i="2"/>
  <c r="H350" i="2"/>
  <c r="I350" i="2"/>
  <c r="J350" i="2"/>
  <c r="H351" i="2"/>
  <c r="I351" i="2"/>
  <c r="J351" i="2"/>
  <c r="H352" i="2"/>
  <c r="I352" i="2"/>
  <c r="J352" i="2"/>
  <c r="H353" i="2"/>
  <c r="I353" i="2"/>
  <c r="J353" i="2"/>
  <c r="H354" i="2"/>
  <c r="I354" i="2"/>
  <c r="J354" i="2"/>
  <c r="H355" i="2"/>
  <c r="I355" i="2"/>
  <c r="J355" i="2"/>
  <c r="H356" i="2"/>
  <c r="I356" i="2"/>
  <c r="J356" i="2"/>
  <c r="H357" i="2"/>
  <c r="I357" i="2"/>
  <c r="J357" i="2"/>
  <c r="H358" i="2"/>
  <c r="I358" i="2"/>
  <c r="J358" i="2"/>
  <c r="H359" i="2"/>
  <c r="I359" i="2"/>
  <c r="J359" i="2"/>
  <c r="H360" i="2"/>
  <c r="I360" i="2"/>
  <c r="J360" i="2"/>
  <c r="H361" i="2"/>
  <c r="I361" i="2"/>
  <c r="J361" i="2"/>
  <c r="H362" i="2"/>
  <c r="I362" i="2"/>
  <c r="J362" i="2"/>
  <c r="H195" i="2"/>
  <c r="I195" i="2"/>
  <c r="J195" i="2"/>
  <c r="H196" i="2"/>
  <c r="I196" i="2"/>
  <c r="J196" i="2"/>
  <c r="H197" i="2"/>
  <c r="I197" i="2"/>
  <c r="J197" i="2"/>
  <c r="H199" i="2"/>
  <c r="I199" i="2"/>
  <c r="J199" i="2"/>
  <c r="H201" i="2"/>
  <c r="I201" i="2"/>
  <c r="J201" i="2"/>
  <c r="H202" i="2"/>
  <c r="I202" i="2"/>
  <c r="J202" i="2"/>
  <c r="H203" i="2"/>
  <c r="I203" i="2"/>
  <c r="J203" i="2"/>
  <c r="H204" i="2"/>
  <c r="I204" i="2"/>
  <c r="J204" i="2"/>
  <c r="H205" i="2"/>
  <c r="I205" i="2"/>
  <c r="J205" i="2"/>
  <c r="H206" i="2"/>
  <c r="I206" i="2"/>
  <c r="J206" i="2"/>
  <c r="H207" i="2"/>
  <c r="I207" i="2"/>
  <c r="J207" i="2"/>
  <c r="H208" i="2"/>
  <c r="I208" i="2"/>
  <c r="J208" i="2"/>
  <c r="H209" i="2"/>
  <c r="I209" i="2"/>
  <c r="J209" i="2"/>
  <c r="H210" i="2"/>
  <c r="I210" i="2"/>
  <c r="J210" i="2"/>
  <c r="H211" i="2"/>
  <c r="I211" i="2"/>
  <c r="J211" i="2"/>
  <c r="H212" i="2"/>
  <c r="I212" i="2"/>
  <c r="J212" i="2"/>
  <c r="H213" i="2"/>
  <c r="I213" i="2"/>
  <c r="J213" i="2"/>
  <c r="H214" i="2"/>
  <c r="I214" i="2"/>
  <c r="J214" i="2"/>
  <c r="H215" i="2"/>
  <c r="I215" i="2"/>
  <c r="J215" i="2"/>
  <c r="H216" i="2"/>
  <c r="I216" i="2"/>
  <c r="J216" i="2"/>
  <c r="H217" i="2"/>
  <c r="I217" i="2"/>
  <c r="J217" i="2"/>
  <c r="H218" i="2"/>
  <c r="I218" i="2"/>
  <c r="J218" i="2"/>
  <c r="H219" i="2"/>
  <c r="I219" i="2"/>
  <c r="J219" i="2"/>
  <c r="H220" i="2"/>
  <c r="I220" i="2"/>
  <c r="J220" i="2"/>
  <c r="H221" i="2"/>
  <c r="I221" i="2"/>
  <c r="J221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2" i="2"/>
  <c r="J183" i="2"/>
  <c r="J184" i="2"/>
  <c r="J185" i="2"/>
  <c r="J187" i="2"/>
  <c r="J188" i="2"/>
  <c r="J189" i="2"/>
  <c r="J190" i="2"/>
  <c r="J191" i="2"/>
  <c r="J193" i="2"/>
  <c r="J194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2" i="2"/>
  <c r="I183" i="2"/>
  <c r="I184" i="2"/>
  <c r="I185" i="2"/>
  <c r="I187" i="2"/>
  <c r="I188" i="2"/>
  <c r="I189" i="2"/>
  <c r="I190" i="2"/>
  <c r="I191" i="2"/>
  <c r="I193" i="2"/>
  <c r="I194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2" i="2"/>
  <c r="H183" i="2"/>
  <c r="H184" i="2"/>
  <c r="H185" i="2"/>
  <c r="H187" i="2"/>
  <c r="H188" i="2"/>
  <c r="H189" i="2"/>
  <c r="H190" i="2"/>
  <c r="H191" i="2"/>
  <c r="H193" i="2"/>
  <c r="H194" i="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9" i="7"/>
  <c r="G40" i="7"/>
  <c r="G41" i="7"/>
  <c r="G42" i="7"/>
  <c r="G43" i="7"/>
  <c r="G44" i="7"/>
  <c r="G45" i="7"/>
  <c r="G46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9" i="7"/>
  <c r="F40" i="7"/>
  <c r="F41" i="7"/>
  <c r="F42" i="7"/>
  <c r="F43" i="7"/>
  <c r="F44" i="7"/>
  <c r="F45" i="7"/>
  <c r="F46" i="7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2" i="2"/>
  <c r="J23" i="2"/>
  <c r="J24" i="2"/>
  <c r="J25" i="2"/>
  <c r="J26" i="2"/>
  <c r="J27" i="2"/>
  <c r="J28" i="2"/>
  <c r="J2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7" i="2"/>
  <c r="J48" i="2"/>
  <c r="J49" i="2"/>
  <c r="J50" i="2"/>
  <c r="J51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8" i="2"/>
  <c r="J69" i="2"/>
  <c r="J70" i="2"/>
  <c r="J71" i="2"/>
  <c r="J72" i="2"/>
  <c r="J73" i="2"/>
  <c r="J74" i="2"/>
  <c r="J75" i="2"/>
  <c r="J76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2" i="2"/>
  <c r="I23" i="2"/>
  <c r="I24" i="2"/>
  <c r="I25" i="2"/>
  <c r="I26" i="2"/>
  <c r="I27" i="2"/>
  <c r="I28" i="2"/>
  <c r="I29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7" i="2"/>
  <c r="I48" i="2"/>
  <c r="I49" i="2"/>
  <c r="I50" i="2"/>
  <c r="I51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8" i="2"/>
  <c r="I69" i="2"/>
  <c r="I70" i="2"/>
  <c r="I71" i="2"/>
  <c r="I72" i="2"/>
  <c r="I73" i="2"/>
  <c r="I74" i="2"/>
  <c r="I75" i="2"/>
  <c r="I76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2" i="2"/>
  <c r="H23" i="2"/>
  <c r="H24" i="2"/>
  <c r="H25" i="2"/>
  <c r="H26" i="2"/>
  <c r="H27" i="2"/>
  <c r="H28" i="2"/>
  <c r="H29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7" i="2"/>
  <c r="H48" i="2"/>
  <c r="H49" i="2"/>
  <c r="H50" i="2"/>
  <c r="H51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8" i="2"/>
  <c r="H69" i="2"/>
  <c r="H70" i="2"/>
  <c r="H71" i="2"/>
  <c r="H72" i="2"/>
  <c r="H73" i="2"/>
  <c r="H74" i="2"/>
  <c r="H75" i="2"/>
  <c r="H76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2" i="2"/>
</calcChain>
</file>

<file path=xl/sharedStrings.xml><?xml version="1.0" encoding="utf-8"?>
<sst xmlns="http://schemas.openxmlformats.org/spreadsheetml/2006/main" count="3266" uniqueCount="379">
  <si>
    <t>Mohamed Ahmed-Nagy</t>
  </si>
  <si>
    <t>D</t>
  </si>
  <si>
    <t>N</t>
  </si>
  <si>
    <t>P</t>
  </si>
  <si>
    <t>Grand Total</t>
  </si>
  <si>
    <t>Score</t>
  </si>
  <si>
    <t>AbdElRhman Hesham-AbdElFadeel</t>
  </si>
  <si>
    <t>Column Labels</t>
  </si>
  <si>
    <t>Ziad Hassan-Donkol</t>
  </si>
  <si>
    <t>Ibrahim Ahmed-Ghonimy</t>
  </si>
  <si>
    <t>AbdElRahman Adel-ElKelany</t>
  </si>
  <si>
    <t>Mohamed AbdElMohsen-Mahdy</t>
  </si>
  <si>
    <t>Tarek Ayman-Ahmed</t>
  </si>
  <si>
    <t>Mohamed Ahmed-Mansour</t>
  </si>
  <si>
    <t>Hend Yousry-AbdElRassoul</t>
  </si>
  <si>
    <t>Peter Amgad-Shehata</t>
  </si>
  <si>
    <t>Esraa Saad-Mahfod</t>
  </si>
  <si>
    <t>Mohamed AbdElazim-Farag</t>
  </si>
  <si>
    <t>Omar Mamdouh-AbdAllah</t>
  </si>
  <si>
    <t>Mohamed Khaled-Khattab</t>
  </si>
  <si>
    <t>Ahmed Maged-Wahib</t>
  </si>
  <si>
    <t>Yara Hussein-Mofleh</t>
  </si>
  <si>
    <t>Merna Ashraf-Ashrafy</t>
  </si>
  <si>
    <t>Aya Mohamed-Hassan</t>
  </si>
  <si>
    <t>Salma Taha-Ahmed</t>
  </si>
  <si>
    <t>Bassant Salah-Hassan</t>
  </si>
  <si>
    <t>Aya Ezzat-Mahmoud</t>
  </si>
  <si>
    <t>Mohada Mohamed-Hamdy</t>
  </si>
  <si>
    <t>Safaa Safwat-Zekry</t>
  </si>
  <si>
    <t>Nouran AbdAllah-Saeed</t>
  </si>
  <si>
    <t>Farha Ashraf-AboElMagd</t>
  </si>
  <si>
    <t>Omnia Wageeh-ElAzab</t>
  </si>
  <si>
    <t>Yasmine Waleed-Mohamed</t>
  </si>
  <si>
    <t>Omar Emad-Mahmoud</t>
  </si>
  <si>
    <t>Mohamed Gamil-Salah</t>
  </si>
  <si>
    <t>Sherif Madbouly-Sayed</t>
  </si>
  <si>
    <t>Islam Gamal-Zakaria</t>
  </si>
  <si>
    <t>Hatem Ibrahim-Ahmed</t>
  </si>
  <si>
    <t>Ahmed Magdy-Ewis</t>
  </si>
  <si>
    <t>Andrwa Wafeek-Zaki</t>
  </si>
  <si>
    <t>AbdElRahman Mohamed-Moslhy</t>
  </si>
  <si>
    <t>Mohamed Ali-AbdElGelil</t>
  </si>
  <si>
    <t>Agent Name</t>
  </si>
  <si>
    <t>Msisdn</t>
  </si>
  <si>
    <t>Segment</t>
  </si>
  <si>
    <t>VMT_Red_VQ_VFE1</t>
  </si>
  <si>
    <t>Agent-Name</t>
  </si>
  <si>
    <t>UserName</t>
  </si>
  <si>
    <t>Display Name</t>
  </si>
  <si>
    <t>TL</t>
  </si>
  <si>
    <t>SPV</t>
  </si>
  <si>
    <t>Site</t>
  </si>
  <si>
    <t>Full/Part</t>
  </si>
  <si>
    <t>Gender</t>
  </si>
  <si>
    <t>NUM</t>
  </si>
  <si>
    <t>Jop Title </t>
  </si>
  <si>
    <t>Mail</t>
  </si>
  <si>
    <t>V23MGELIL - Mohamed.A</t>
  </si>
  <si>
    <t>V23MGELIL</t>
  </si>
  <si>
    <t>Old</t>
  </si>
  <si>
    <t>Red </t>
  </si>
  <si>
    <t>Full Time</t>
  </si>
  <si>
    <t>M</t>
  </si>
  <si>
    <t>Credit Control VF Cash Representative</t>
  </si>
  <si>
    <t>mohamed.aliabdelgelil1@vodafone.com.eg</t>
  </si>
  <si>
    <t>V24ASAEED11 - Ali.B</t>
  </si>
  <si>
    <t>V24ASAEED11</t>
  </si>
  <si>
    <t>Ali Bahat-Saeed</t>
  </si>
  <si>
    <t>New</t>
  </si>
  <si>
    <t>ali.bahatsaeed@vodafone.com.eg</t>
  </si>
  <si>
    <t>V24KKHALEK1 - Khaled.W</t>
  </si>
  <si>
    <t>V24KKHALEK1</t>
  </si>
  <si>
    <t>Khaled Waleed-AbdElKhalek</t>
  </si>
  <si>
    <t>khaled.waleedabdelkhalek@vodafone.com.eg</t>
  </si>
  <si>
    <t>V25ARIZK - Ahmed.S</t>
  </si>
  <si>
    <t>V25ARIZK</t>
  </si>
  <si>
    <t>Ahmed Sameh-Rizk</t>
  </si>
  <si>
    <t>ahmed.samehrizk@vodafone.com</t>
  </si>
  <si>
    <t>V25YMOHAMED7 - Youssef.H</t>
  </si>
  <si>
    <t>V25YMOHAMED7</t>
  </si>
  <si>
    <t>Youssef Hamdy-Mohamed</t>
  </si>
  <si>
    <t>youssef.hamdymohamed1@vodafone.com.eg</t>
  </si>
  <si>
    <t>V25AAZIZ28 - AbdAllah.S</t>
  </si>
  <si>
    <t>V25AAZIZ28</t>
  </si>
  <si>
    <t>AbdAllah Shaker-AbdElAziz</t>
  </si>
  <si>
    <t>abdallah.shakerabdelaziz@vodafone.com.eg</t>
  </si>
  <si>
    <t>V25AEWIS2 - Ahmed.M</t>
  </si>
  <si>
    <t>V25AEWIS2</t>
  </si>
  <si>
    <t>ahmed.magdyewis@vodafone.com.eg</t>
  </si>
  <si>
    <t>V25HAHMED43 - Hatem.I</t>
  </si>
  <si>
    <t>V25HAHMED43</t>
  </si>
  <si>
    <t>hatem.ibrahimahmed@vodafone.com.eg</t>
  </si>
  <si>
    <t>V25IZAKARIA - Islam.G</t>
  </si>
  <si>
    <t>V25IZAKARIA</t>
  </si>
  <si>
    <t>islam.gamalzakaria@vodafone.com.eg</t>
  </si>
  <si>
    <t>V24OSAMEA - Omnia.S</t>
  </si>
  <si>
    <t>V24OSAMEA</t>
  </si>
  <si>
    <t>Omnia Salah-AbdElSamea</t>
  </si>
  <si>
    <t>F</t>
  </si>
  <si>
    <t>omnia.salahabdelsamea@vodafone.com.eg</t>
  </si>
  <si>
    <t>V24SAHMED28 - Salma.T</t>
  </si>
  <si>
    <t>V24SAHMED28</t>
  </si>
  <si>
    <t>salma.tahaahmed1@vodafone.com.eg</t>
  </si>
  <si>
    <t>V25FMAGD - Farha.A</t>
  </si>
  <si>
    <t>V25FMAGD</t>
  </si>
  <si>
    <t>farha.ashrafaboelmagd@vodafone.com.eg</t>
  </si>
  <si>
    <t>V25JRAZEK - Jana.H</t>
  </si>
  <si>
    <t>V25JRAZEK</t>
  </si>
  <si>
    <t>Jana HossamElDin-AbdElRazek</t>
  </si>
  <si>
    <t>jana.hossameldinabdelrazek@vodafone.com.eg</t>
  </si>
  <si>
    <t>V25MHAMDY1 - Mohada.M</t>
  </si>
  <si>
    <t>V25MHAMDY1</t>
  </si>
  <si>
    <t>mohada.mohamedhamdy@vodafone.com.eg</t>
  </si>
  <si>
    <t>V25MMOHAMED278 - Mariam.W</t>
  </si>
  <si>
    <t>V25MMOHAMED278</t>
  </si>
  <si>
    <t>Mariam Waleed-Mohamed</t>
  </si>
  <si>
    <t>mariam.waleedmohamed@vodafone.com.eg</t>
  </si>
  <si>
    <t>V25NMAWLA1 - Nesreen.E</t>
  </si>
  <si>
    <t>V25NMAWLA1</t>
  </si>
  <si>
    <t>Nesreen Emad-AbdElMawla</t>
  </si>
  <si>
    <t>nesreen.emadabdelmawla1@vodafone.com.eg</t>
  </si>
  <si>
    <t>V25NSAEED1 - Nouran.A</t>
  </si>
  <si>
    <t>V25NSAEED1</t>
  </si>
  <si>
    <t>nouran.abdallahsaeed@vodafone.com.eg</t>
  </si>
  <si>
    <t>V25OMAHMOUD1 - Ola.E</t>
  </si>
  <si>
    <t>V25OMAHMOUD1</t>
  </si>
  <si>
    <t>Ola Essam-Mahmoud</t>
  </si>
  <si>
    <t>ola.essammahmoud@vodafone.com.eg</t>
  </si>
  <si>
    <t>V25RFARAG3 - Rawan.A</t>
  </si>
  <si>
    <t>V25RFARAG3</t>
  </si>
  <si>
    <t xml:space="preserve">Rawan Ayman-Farag </t>
  </si>
  <si>
    <t>In between</t>
  </si>
  <si>
    <t>rawan.aymanfarag@vodafone.com.eg</t>
  </si>
  <si>
    <t>V25SZEKRY - Safaa.S</t>
  </si>
  <si>
    <t>V25SZekry</t>
  </si>
  <si>
    <t>safaa.safwatzekry@vodafone.com.eg</t>
  </si>
  <si>
    <t>V25YMOHAMED24 - Yasmine.W</t>
  </si>
  <si>
    <t>V25YMOHAMED24</t>
  </si>
  <si>
    <t>yasmine.waleedmohamed@vodafone.com.eg</t>
  </si>
  <si>
    <t>Rawan Ayman-Farag</t>
  </si>
  <si>
    <t>V24OMOHAMED10 - Osama.M</t>
  </si>
  <si>
    <t>V24OMohamed10</t>
  </si>
  <si>
    <t>Osama Magdy-Mohamed</t>
  </si>
  <si>
    <t>osama.magdymohamed1@vodafone.com.eg</t>
  </si>
  <si>
    <t>V25AMAHMOUD45 - Aya.E</t>
  </si>
  <si>
    <t>V25AMAHMOUD45</t>
  </si>
  <si>
    <t>aya.ezzatmahmoud@vodafone.com.eg</t>
  </si>
  <si>
    <t>V25ASAMIR2 - AbdElRahman.M</t>
  </si>
  <si>
    <t>V25ASamir2</t>
  </si>
  <si>
    <t>AbdElRahman Mohamed-Samir</t>
  </si>
  <si>
    <t>abdelrahman.mohamedsamir@vodafone.com.eg</t>
  </si>
  <si>
    <t>V25BHASSAN3 - Bassant.S</t>
  </si>
  <si>
    <t>V25BHASSAN3</t>
  </si>
  <si>
    <t>bassant.salahhassan@vodafone.com.eg</t>
  </si>
  <si>
    <t>V25OAZAB - Omnia.W</t>
  </si>
  <si>
    <t>V25OAZAB</t>
  </si>
  <si>
    <t>omnia.wageehelazab@vodafone.com.eg</t>
  </si>
  <si>
    <t>V25TAHMED3 - Tarek.A</t>
  </si>
  <si>
    <t>V25TAHMED3</t>
  </si>
  <si>
    <t>tarek.aymanahmed@vodafone.com.eg</t>
  </si>
  <si>
    <t>V25MHASSANIEN - Mohamed.A</t>
  </si>
  <si>
    <t>V25MHASSANIEN</t>
  </si>
  <si>
    <t>Mohamed Adel-Hassanien</t>
  </si>
  <si>
    <t>mohamed.adelhassanien@vodafone.com.eg</t>
  </si>
  <si>
    <t>V25AELDEMERDASH - Anas.M</t>
  </si>
  <si>
    <t>V25AELDEMERDASH</t>
  </si>
  <si>
    <t>Anas Mohamed-Eldemerdash</t>
  </si>
  <si>
    <t>anas.mohamedeldemerdash@vodafone.com.eg</t>
  </si>
  <si>
    <t>V25AFADEEL2 - AbdElRhman.H</t>
  </si>
  <si>
    <t>V25AFADEEL2</t>
  </si>
  <si>
    <t>abdelrhman.heshamabdelfadeel@vodafone.com.eg</t>
  </si>
  <si>
    <t>V25SSAGHEER - Samir.H</t>
  </si>
  <si>
    <t>V25SSAGHEER</t>
  </si>
  <si>
    <t>Samir Hosny-Sagheer</t>
  </si>
  <si>
    <t>samir.hosnysagheer@vodafone.com.eg</t>
  </si>
  <si>
    <t xml:space="preserve">V25SSAGHEER </t>
  </si>
  <si>
    <t>V25AHASSAN63 - Alaa.M</t>
  </si>
  <si>
    <t>V25AHASSAN63</t>
  </si>
  <si>
    <t>Alaa Mahmoud-Hassan</t>
  </si>
  <si>
    <t>alaa.mahmoudhassan1@vodafone.com.eg</t>
  </si>
  <si>
    <t>V25SMOHAMED145 - Salma.W</t>
  </si>
  <si>
    <t>V25SMOHAMED145</t>
  </si>
  <si>
    <t>Salma Wael-Mohamed</t>
  </si>
  <si>
    <t>salma.waelmohamed@vodafone.com.eg</t>
  </si>
  <si>
    <t>V25MSALAH21 - Mohamed.G</t>
  </si>
  <si>
    <t>V25MSALAH21</t>
  </si>
  <si>
    <t>mohamed.gamilsalah@vodafone.com.eg</t>
  </si>
  <si>
    <t>V25BSHENAWY - Badr.M</t>
  </si>
  <si>
    <t>V25BSHENAWY</t>
  </si>
  <si>
    <t>Badr Medhat-ElShenawy</t>
  </si>
  <si>
    <t>badr.medhatelshenawy@vodafone.com.eg</t>
  </si>
  <si>
    <t>V25IGHONIMY - Ibrahim.A</t>
  </si>
  <si>
    <t>V25IGHONIMY</t>
  </si>
  <si>
    <t>ibrahim.ahmedghonimy@vodafone.com.eg</t>
  </si>
  <si>
    <t>V25SSAYED67 - Sherif.M</t>
  </si>
  <si>
    <t>V25SSAYED67</t>
  </si>
  <si>
    <t>sherif.madboulysayed@vodafone.com.eg</t>
  </si>
  <si>
    <t>V25HGAMAL2 - Hany.I</t>
  </si>
  <si>
    <t>V25HGAMAL2</t>
  </si>
  <si>
    <t>Hany Ibrahim-Gamal</t>
  </si>
  <si>
    <t>hany.ibrahimgamal@vodafone.com.eg</t>
  </si>
  <si>
    <t>V25YREHIM4 - Yasmine.S</t>
  </si>
  <si>
    <t>V25YREHIM4</t>
  </si>
  <si>
    <t>Yasmine Samer AbdElRehim AbdElGelil</t>
  </si>
  <si>
    <t>V22HRASSOUL - Hend.Y</t>
  </si>
  <si>
    <t>V22HRASSOUL</t>
  </si>
  <si>
    <t>V22MASHRAFY - Merna.A</t>
  </si>
  <si>
    <t>V22MASHRAFY</t>
  </si>
  <si>
    <t>V24AHASSAN6 - Aya.M</t>
  </si>
  <si>
    <t>V24AHASSAN6</t>
  </si>
  <si>
    <t>V24AKELANY - AbdElRahman.A</t>
  </si>
  <si>
    <t>V24AKELANY</t>
  </si>
  <si>
    <t>V25SSayed21</t>
  </si>
  <si>
    <t>Sara Ahmed-ElSayed</t>
  </si>
  <si>
    <t>V25SMagd</t>
  </si>
  <si>
    <t>Sara Hassan-AboElMagd</t>
  </si>
  <si>
    <t>V25EMahfod</t>
  </si>
  <si>
    <t>V25MMansour10</t>
  </si>
  <si>
    <t>V25MFarag10</t>
  </si>
  <si>
    <t>V25MAli107</t>
  </si>
  <si>
    <t>Mohamed Mohsen-Ali</t>
  </si>
  <si>
    <t>V25ALmaaty</t>
  </si>
  <si>
    <t>AbdAllah Hassan-AboELmaaty</t>
  </si>
  <si>
    <t>V25MKhattab1</t>
  </si>
  <si>
    <t>V25MMohamed354</t>
  </si>
  <si>
    <t>Mayada Essam-Mohamed</t>
  </si>
  <si>
    <t>V25OAllah9</t>
  </si>
  <si>
    <t>V25AWahib</t>
  </si>
  <si>
    <t>V25YAhmed29</t>
  </si>
  <si>
    <t>Youssef Sharafeldin-Ahmed</t>
  </si>
  <si>
    <t>V25PShehata</t>
  </si>
  <si>
    <t>V26Ymofleh</t>
  </si>
  <si>
    <t>V26AMoslhy</t>
  </si>
  <si>
    <t>V26AZaki2</t>
  </si>
  <si>
    <t>V25ZDonkol</t>
  </si>
  <si>
    <t>V26MMahdy</t>
  </si>
  <si>
    <t>V26KThabet</t>
  </si>
  <si>
    <t>Kirollos Joseph-Thabet</t>
  </si>
  <si>
    <t>V25HHassan50</t>
  </si>
  <si>
    <t>Hassan Ramy-Hassan</t>
  </si>
  <si>
    <t>V26SMawgod</t>
  </si>
  <si>
    <t>Seif Ahmed-AbdELMawgod</t>
  </si>
  <si>
    <t>V26AFathy2</t>
  </si>
  <si>
    <t>Ahmed Fathy-Fathy</t>
  </si>
  <si>
    <t>1</t>
  </si>
  <si>
    <t>5</t>
  </si>
  <si>
    <t>V25PSHEHATA</t>
  </si>
  <si>
    <t>VMT_VQ_VFE3</t>
  </si>
  <si>
    <t>3</t>
  </si>
  <si>
    <t>V25OALLAH9</t>
  </si>
  <si>
    <t>4</t>
  </si>
  <si>
    <t>V25AWAHIB</t>
  </si>
  <si>
    <t>V25HHASSAN50</t>
  </si>
  <si>
    <t>V26MMAHDY</t>
  </si>
  <si>
    <t>V25MMANSOUR10</t>
  </si>
  <si>
    <t>N/A</t>
  </si>
  <si>
    <t>V25EMAHFOD</t>
  </si>
  <si>
    <t>V26SMAWGOD</t>
  </si>
  <si>
    <t>2</t>
  </si>
  <si>
    <t>V26AFATHY2</t>
  </si>
  <si>
    <t>V25MKHATTAB1</t>
  </si>
  <si>
    <t>V25MRAHMAN20</t>
  </si>
  <si>
    <t>V25MFARAG10</t>
  </si>
  <si>
    <t>V26YMOFLEH</t>
  </si>
  <si>
    <t>V25ZDONKOL</t>
  </si>
  <si>
    <t>V25SZEKRY</t>
  </si>
  <si>
    <t>V26AMOSLHY</t>
  </si>
  <si>
    <t>V26AZAKI2</t>
  </si>
  <si>
    <t>Question1</t>
  </si>
  <si>
    <t>Question2</t>
  </si>
  <si>
    <t>Question3</t>
  </si>
  <si>
    <t>Full Date</t>
  </si>
  <si>
    <t>Pos Queue</t>
  </si>
  <si>
    <t>V25MRahman20</t>
  </si>
  <si>
    <t>Mohamed AbdElaziz-AbdElRahman</t>
  </si>
  <si>
    <t>Team Leader</t>
  </si>
  <si>
    <t>Count of Question1</t>
  </si>
  <si>
    <t>Needed Promoters</t>
  </si>
  <si>
    <t xml:space="preserve">Display Name </t>
  </si>
  <si>
    <t>V25MNOAH1</t>
  </si>
  <si>
    <t>V26KMOHYELDIN</t>
  </si>
  <si>
    <t>V25TOMAR</t>
  </si>
  <si>
    <t>V26MREDA</t>
  </si>
  <si>
    <t>V25MHALIM7</t>
  </si>
  <si>
    <t>V26KMAHROUS</t>
  </si>
  <si>
    <t>V26OGOHAR</t>
  </si>
  <si>
    <t>V26KMohyeldin</t>
  </si>
  <si>
    <t>Kawthar Nasreldin-Mohyeldin</t>
  </si>
  <si>
    <t>V25MNoah1</t>
  </si>
  <si>
    <t>Mayar Ibrahim-Noah</t>
  </si>
  <si>
    <t>V25TOmar</t>
  </si>
  <si>
    <t>Taher Ibrahim-Omar</t>
  </si>
  <si>
    <t>V26MReda</t>
  </si>
  <si>
    <t>Mohab Mohamed-Reda</t>
  </si>
  <si>
    <t>V26OGohar</t>
  </si>
  <si>
    <t>Omar Ali-Gohar</t>
  </si>
  <si>
    <t>V26KMahrous</t>
  </si>
  <si>
    <t>Karim Medhat-Mahrous</t>
  </si>
  <si>
    <t>V25MHalim7</t>
  </si>
  <si>
    <t>Merna Mohamed-AbdElHalim</t>
  </si>
  <si>
    <t>V24OMAHMOUD</t>
  </si>
  <si>
    <t>Fares Waleed-Mohamed</t>
  </si>
  <si>
    <t>Basmala Sayed-Mahmoud</t>
  </si>
  <si>
    <t>1028763420</t>
  </si>
  <si>
    <t>1005113698</t>
  </si>
  <si>
    <t>1066045999</t>
  </si>
  <si>
    <t>1070266111</t>
  </si>
  <si>
    <t>1009070108</t>
  </si>
  <si>
    <t>1067253570</t>
  </si>
  <si>
    <t>1068367519</t>
  </si>
  <si>
    <t>1065851862</t>
  </si>
  <si>
    <t>1007288279</t>
  </si>
  <si>
    <t>1116556007</t>
  </si>
  <si>
    <t>1092279013</t>
  </si>
  <si>
    <t>1036888809</t>
  </si>
  <si>
    <t>1093211001</t>
  </si>
  <si>
    <t>1096704212</t>
  </si>
  <si>
    <t>1061167039</t>
  </si>
  <si>
    <t>1009474889</t>
  </si>
  <si>
    <t>1060896230</t>
  </si>
  <si>
    <t>1062243292</t>
  </si>
  <si>
    <t>1000300047</t>
  </si>
  <si>
    <t>1001772626</t>
  </si>
  <si>
    <t>1011048865</t>
  </si>
  <si>
    <t>1028807341</t>
  </si>
  <si>
    <t>1033582549</t>
  </si>
  <si>
    <t>1097880988</t>
  </si>
  <si>
    <t>1013043594</t>
  </si>
  <si>
    <t>1022205120</t>
  </si>
  <si>
    <t>1031244807</t>
  </si>
  <si>
    <t>1010133959</t>
  </si>
  <si>
    <t>1141706667</t>
  </si>
  <si>
    <t>1114464423</t>
  </si>
  <si>
    <t>1007472745</t>
  </si>
  <si>
    <t>1009468590</t>
  </si>
  <si>
    <t>1050317336</t>
  </si>
  <si>
    <t>1003597922</t>
  </si>
  <si>
    <t>1027361098</t>
  </si>
  <si>
    <t>1100797240</t>
  </si>
  <si>
    <t>1062000039</t>
  </si>
  <si>
    <t>1055011704</t>
  </si>
  <si>
    <t>1067968022</t>
  </si>
  <si>
    <t>1009169059</t>
  </si>
  <si>
    <t>1004192989</t>
  </si>
  <si>
    <t>1015642373</t>
  </si>
  <si>
    <t>1000727096</t>
  </si>
  <si>
    <t>1001402720</t>
  </si>
  <si>
    <t>1009187149</t>
  </si>
  <si>
    <t>1006593882</t>
  </si>
  <si>
    <t>1024024039</t>
  </si>
  <si>
    <t>1065666511</t>
  </si>
  <si>
    <t>1017110450</t>
  </si>
  <si>
    <t>1015597698</t>
  </si>
  <si>
    <t>1000483767</t>
  </si>
  <si>
    <t>1010127824</t>
  </si>
  <si>
    <t>1007003328</t>
  </si>
  <si>
    <t>1080898420</t>
  </si>
  <si>
    <t>1063288863</t>
  </si>
  <si>
    <t>1070860119</t>
  </si>
  <si>
    <t>1015495603</t>
  </si>
  <si>
    <t>Seif Ahmed-AbdElMawgod</t>
  </si>
  <si>
    <t>1097316885</t>
  </si>
  <si>
    <t>1000124612</t>
  </si>
  <si>
    <t>1009314208</t>
  </si>
  <si>
    <t>1005076403</t>
  </si>
  <si>
    <t>1066174381</t>
  </si>
  <si>
    <t>1044202422</t>
  </si>
  <si>
    <t>1007907787</t>
  </si>
  <si>
    <t>1004606176</t>
  </si>
  <si>
    <t>1090940097</t>
  </si>
  <si>
    <t>1064478969</t>
  </si>
  <si>
    <t>1020516083</t>
  </si>
  <si>
    <t>1092388590</t>
  </si>
  <si>
    <t>1001546412</t>
  </si>
  <si>
    <t>1001916651</t>
  </si>
  <si>
    <t>1040395045</t>
  </si>
  <si>
    <t>1037469608</t>
  </si>
  <si>
    <t>1018858644</t>
  </si>
  <si>
    <t>1062737232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</si>
</sst>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"/>
      <family val="2"/>
    </font>
    <font>
      <sz val="11"/>
      <color rgb="FF000000"/>
      <name val="Aptos Narrow"/>
      <family val="2"/>
      <scheme val="minor"/>
    </font>
    <font>
      <sz val="11"/>
      <color theme="1"/>
      <name val="Vodafone"/>
      <family val="2"/>
    </font>
    <font>
      <b/>
      <sz val="9"/>
      <color rgb="FFFFFFFF"/>
      <name val="Arial"/>
      <family val="2"/>
    </font>
    <font>
      <b/>
      <sz val="11"/>
      <color theme="1"/>
      <name val="Aptos Narrow"/>
      <family val="2"/>
      <scheme val="minor"/>
    </font>
    <font>
      <sz val="9"/>
      <color rgb="FF333333"/>
      <name val="Arial"/>
      <family val="2"/>
    </font>
    <font>
      <sz val="8"/>
      <name val="Aptos Narrow"/>
      <family val="2"/>
      <scheme val="minor"/>
    </font>
    <font>
      <b/>
      <sz val="11"/>
      <color theme="1"/>
      <name val="Vodafone"/>
      <family val="2"/>
    </font>
    <font>
      <b/>
      <sz val="11"/>
      <color theme="0"/>
      <name val="Aptos Narrow"/>
      <family val="2"/>
      <scheme val="minor"/>
    </font>
    <font>
      <sz val="9"/>
      <color rgb="FF333333"/>
      <name val="Arial"/>
      <family val="2"/>
    </font>
    <font>
      <sz val="9"/>
      <color rgb="FF333333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4" tint="-0.499984740745262"/>
        <bgColor theme="4" tint="-0.49998474074526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wrapText="1"/>
    </xf>
    <xf numFmtId="0" fontId="1" fillId="0" borderId="1" xfId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right"/>
    </xf>
    <xf numFmtId="22" fontId="7" fillId="6" borderId="4" xfId="0" applyNumberFormat="1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0" fontId="1" fillId="0" borderId="1" xfId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0" xfId="0" applyAlignment="1"/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" fontId="10" fillId="8" borderId="1" xfId="0" applyNumberFormat="1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left"/>
    </xf>
    <xf numFmtId="0" fontId="11" fillId="5" borderId="4" xfId="0" applyFont="1" applyFill="1" applyBorder="1" applyAlignment="1">
      <alignment horizontal="right"/>
    </xf>
    <xf numFmtId="22" fontId="11" fillId="6" borderId="4" xfId="0" applyNumberFormat="1" applyFont="1" applyFill="1" applyBorder="1" applyAlignment="1">
      <alignment horizontal="left"/>
    </xf>
    <xf numFmtId="0" fontId="11" fillId="6" borderId="4" xfId="0" applyFont="1" applyFill="1" applyBorder="1" applyAlignment="1">
      <alignment horizontal="left"/>
    </xf>
    <xf numFmtId="0" fontId="11" fillId="6" borderId="4" xfId="0" applyFont="1" applyFill="1" applyBorder="1" applyAlignment="1">
      <alignment horizontal="right"/>
    </xf>
    <xf numFmtId="0" fontId="10" fillId="9" borderId="1" xfId="0" applyNumberFormat="1" applyFont="1" applyFill="1" applyBorder="1" applyAlignment="1">
      <alignment horizontal="center"/>
    </xf>
    <xf numFmtId="164" fontId="10" fillId="8" borderId="1" xfId="0" applyNumberFormat="1" applyFont="1" applyFill="1" applyBorder="1" applyAlignment="1">
      <alignment horizontal="center"/>
    </xf>
    <xf numFmtId="14" fontId="0" fillId="0" borderId="0" xfId="0" applyNumberFormat="1"/>
    <xf numFmtId="0" fontId="12" fillId="5" borderId="4" xfId="0" applyFont="1" applyFill="1" applyBorder="1" applyAlignment="1">
      <alignment horizontal="left"/>
    </xf>
    <xf numFmtId="0" fontId="12" fillId="5" borderId="4" xfId="0" applyFont="1" applyFill="1" applyBorder="1" applyAlignment="1">
      <alignment horizontal="right"/>
    </xf>
    <xf numFmtId="22" fontId="12" fillId="6" borderId="4" xfId="0" applyNumberFormat="1" applyFont="1" applyFill="1" applyBorder="1" applyAlignment="1">
      <alignment horizontal="left"/>
    </xf>
    <xf numFmtId="0" fontId="12" fillId="6" borderId="4" xfId="0" applyFont="1" applyFill="1" applyBorder="1" applyAlignment="1">
      <alignment horizontal="left"/>
    </xf>
    <xf numFmtId="0" fontId="12" fillId="6" borderId="4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139">
    <dxf>
      <numFmt numFmtId="19" formatCode="m/d/yyyy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b/>
        <color theme="0"/>
      </font>
      <fill>
        <patternFill patternType="solid">
          <fgColor theme="4" tint="-0.499984740745262"/>
          <bgColor theme="4" tint="-0.499984740745262"/>
        </patternFill>
      </fill>
    </dxf>
    <dxf>
      <font>
        <b/>
        <color theme="0"/>
      </font>
      <fill>
        <patternFill patternType="solid">
          <fgColor theme="4" tint="-0.499984740745262"/>
          <bgColor theme="4" tint="-0.499984740745262"/>
        </patternFill>
      </fill>
    </dxf>
    <dxf>
      <font>
        <b/>
        <color theme="0"/>
      </font>
      <fill>
        <patternFill patternType="solid">
          <fgColor theme="4" tint="-0.499984740745262"/>
          <bgColor theme="4" tint="-0.499984740745262"/>
        </patternFill>
      </fill>
    </dxf>
    <dxf>
      <font>
        <b/>
        <color theme="0"/>
      </font>
      <fill>
        <patternFill patternType="solid">
          <fgColor theme="4" tint="-0.499984740745262"/>
          <bgColor theme="4" tint="-0.499984740745262"/>
        </patternFill>
      </fill>
    </dxf>
    <dxf>
      <font>
        <b/>
        <color theme="0"/>
      </font>
      <fill>
        <patternFill patternType="solid">
          <fgColor theme="4" tint="-0.499984740745262"/>
          <bgColor theme="4" tint="-0.499984740745262"/>
        </patternFill>
      </fill>
    </dxf>
    <dxf>
      <font>
        <b/>
        <color theme="0"/>
      </font>
      <fill>
        <patternFill patternType="solid">
          <fgColor theme="4" tint="-0.499984740745262"/>
          <bgColor theme="4" tint="-0.499984740745262"/>
        </patternFill>
      </fill>
    </dxf>
    <dxf>
      <font>
        <b/>
        <color theme="0"/>
      </font>
      <fill>
        <patternFill patternType="solid">
          <fgColor theme="4" tint="-0.499984740745262"/>
          <bgColor theme="4" tint="-0.499984740745262"/>
        </patternFill>
      </fill>
    </dxf>
    <dxf>
      <font>
        <b/>
        <color theme="0"/>
      </font>
      <fill>
        <patternFill patternType="solid">
          <fgColor theme="4" tint="-0.499984740745262"/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Sameh-Rizk, Vodafone" refreshedDate="46160.994334374998" createdVersion="8" refreshedVersion="8" minRefreshableVersion="3" recordCount="436" xr:uid="{87D201E6-9D73-4AFE-9155-79C9DC78180E}">
  <cacheSource type="worksheet">
    <worksheetSource ref="A1:J437" sheet="NPS row data (Rizk structure)"/>
  </cacheSource>
  <cacheFields count="10">
    <cacheField name="Msisdn" numFmtId="0">
      <sharedItems containsMixedTypes="1" containsNumber="1" containsInteger="1" minValue="1000023610" maxValue="1279090763"/>
    </cacheField>
    <cacheField name="Question1" numFmtId="0">
      <sharedItems containsSemiMixedTypes="0" containsString="0" containsNumber="1" containsInteger="1" minValue="0" maxValue="10"/>
    </cacheField>
    <cacheField name="Question2" numFmtId="49">
      <sharedItems containsMixedTypes="1" containsNumber="1" containsInteger="1" minValue="1" maxValue="4"/>
    </cacheField>
    <cacheField name="Question3" numFmtId="49">
      <sharedItems containsMixedTypes="1" containsNumber="1" containsInteger="1" minValue="1" maxValue="5"/>
    </cacheField>
    <cacheField name="Agent Name" numFmtId="49">
      <sharedItems/>
    </cacheField>
    <cacheField name="Full Date" numFmtId="14">
      <sharedItems containsSemiMixedTypes="0" containsNonDate="0" containsDate="1" containsString="0" minDate="2026-05-03T00:00:00" maxDate="2026-05-19T00:00:00"/>
    </cacheField>
    <cacheField name="Pos Queue" numFmtId="49">
      <sharedItems/>
    </cacheField>
    <cacheField name="Display Name" numFmtId="0">
      <sharedItems count="47">
        <s v="Peter Amgad-Shehata"/>
        <s v="Ahmed Magdy-Ewis"/>
        <s v="Omnia Wageeh-ElAzab"/>
        <s v="Omar Mamdouh-AbdAllah"/>
        <s v="Ibrahim Ahmed-Ghonimy"/>
        <s v="AbdElRhman Hesham-AbdElFadeel"/>
        <s v="Ahmed Maged-Wahib"/>
        <s v="Hatem Ibrahim-Ahmed"/>
        <s v="Hassan Ramy-Hassan"/>
        <s v="Mohamed AbdElMohsen-Mahdy"/>
        <s v="Nouran AbdAllah-Saeed"/>
        <s v="Mohamed Ahmed-Mansour"/>
        <s v="Bassant Salah-Hassan"/>
        <s v="Yasmine Waleed-Mohamed"/>
        <s v="Farha Ashraf-AboElMagd"/>
        <s v="Esraa Saad-Mahfod"/>
        <s v="Salma Taha-Ahmed"/>
        <s v="Mohada Mohamed-Hamdy"/>
        <s v="Seif Ahmed-AbdELMawgod"/>
        <s v="Ahmed Fathy-Fathy"/>
        <s v="Aya Ezzat-Mahmoud"/>
        <s v="Mohamed Khaled-Khattab"/>
        <s v="Mohamed AbdElaziz-AbdElRahman"/>
        <s v="Mohamed AbdElazim-Farag"/>
        <s v="Islam Gamal-Zakaria"/>
        <s v="Yara Hussein-Mofleh"/>
        <s v="Ziad Hassan-Donkol"/>
        <s v="Safaa Safwat-Zekry"/>
        <s v="Sherif Madbouly-Sayed"/>
        <s v="Mohamed Gamil-Salah"/>
        <s v="AbdElRahman Mohamed-Moslhy"/>
        <s v="Tarek Ayman-Ahmed"/>
        <s v="Mohamed Ali-AbdElGelil"/>
        <s v="Aya Mohamed-Hassan"/>
        <s v="Andrwa Wafeek-Zaki"/>
        <s v="Ahmed Sameh-Rizk"/>
        <s v="Youssef Hamdy-Mohamed"/>
        <s v="Mayar Ibrahim-Noah"/>
        <s v="Kawthar Nasreldin-Mohyeldin"/>
        <s v="Taher Ibrahim-Omar"/>
        <s v="Mohab Mohamed-Reda"/>
        <s v="Merna Mohamed-AbdElHalim"/>
        <s v="Karim Medhat-Mahrous"/>
        <s v="Omar Ali-Gohar"/>
        <s v="Fares Waleed-Mohamed"/>
        <s v="Basmala Sayed-Mahmoud"/>
        <s v="Merna Ashraf-Ashrafy"/>
      </sharedItems>
    </cacheField>
    <cacheField name="Team Leader" numFmtId="0">
      <sharedItems count="5">
        <s v="Hend Yousry-AbdElRassoul"/>
        <s v="Omar Emad-Mahmoud"/>
        <s v="Merna Ashraf-Ashrafy"/>
        <s v="AbdElRahman Adel-ElKelany"/>
        <e v="#N/A"/>
      </sharedItems>
    </cacheField>
    <cacheField name="Score" numFmtId="0">
      <sharedItems count="3">
        <s v="P"/>
        <s v="D"/>
        <s v="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6">
  <r>
    <n v="1000061099"/>
    <n v="10"/>
    <s v="1"/>
    <s v="5"/>
    <s v="V25PSHEHATA"/>
    <d v="2026-05-03T00:00:00"/>
    <s v="VMT_VQ_VFE3"/>
    <x v="0"/>
    <x v="0"/>
    <x v="0"/>
  </r>
  <r>
    <n v="1001305864"/>
    <n v="10"/>
    <s v="1"/>
    <s v="5"/>
    <s v="V25AEWIS2"/>
    <d v="2026-05-03T00:00:00"/>
    <s v="VMT_VQ_VFE3"/>
    <x v="1"/>
    <x v="1"/>
    <x v="0"/>
  </r>
  <r>
    <n v="1001454085"/>
    <n v="10"/>
    <s v="1"/>
    <s v="5"/>
    <s v="V25OAZAB"/>
    <d v="2026-05-03T00:00:00"/>
    <s v="VMT_Red_VQ_VFE1"/>
    <x v="2"/>
    <x v="2"/>
    <x v="0"/>
  </r>
  <r>
    <n v="1005842115"/>
    <n v="5"/>
    <s v="3"/>
    <s v="5"/>
    <s v="V25OALLAH9"/>
    <d v="2026-05-03T00:00:00"/>
    <s v="VMT_Red_VQ_VFE1"/>
    <x v="3"/>
    <x v="0"/>
    <x v="1"/>
  </r>
  <r>
    <n v="1009900071"/>
    <n v="10"/>
    <s v="1"/>
    <s v="5"/>
    <s v="V25IGHONIMY"/>
    <d v="2026-05-03T00:00:00"/>
    <s v="VMT_Red_VQ_VFE1"/>
    <x v="4"/>
    <x v="3"/>
    <x v="0"/>
  </r>
  <r>
    <n v="1010858015"/>
    <n v="0"/>
    <s v="3"/>
    <s v="1"/>
    <s v="V25AFADEEL2"/>
    <d v="2026-05-03T00:00:00"/>
    <s v="VMT_VQ_VFE3"/>
    <x v="5"/>
    <x v="3"/>
    <x v="1"/>
  </r>
  <r>
    <n v="1011031229"/>
    <n v="10"/>
    <s v="4"/>
    <s v="5"/>
    <s v="V25PSHEHATA"/>
    <d v="2026-05-03T00:00:00"/>
    <s v="VMT_Red_VQ_VFE1"/>
    <x v="0"/>
    <x v="0"/>
    <x v="0"/>
  </r>
  <r>
    <n v="1011299898"/>
    <n v="9"/>
    <s v="1"/>
    <s v="5"/>
    <s v="V25AWAHIB"/>
    <d v="2026-05-03T00:00:00"/>
    <s v="VMT_Red_VQ_VFE1"/>
    <x v="6"/>
    <x v="0"/>
    <x v="0"/>
  </r>
  <r>
    <n v="1014945118"/>
    <n v="10"/>
    <s v="1"/>
    <s v="5"/>
    <s v="V25HAHMED43"/>
    <d v="2026-05-03T00:00:00"/>
    <s v="VMT_VQ_VFE3"/>
    <x v="7"/>
    <x v="1"/>
    <x v="0"/>
  </r>
  <r>
    <n v="1015779232"/>
    <n v="9"/>
    <s v="1"/>
    <s v="5"/>
    <s v="V25AEWIS2"/>
    <d v="2026-05-03T00:00:00"/>
    <s v="VMT_VQ_VFE3"/>
    <x v="1"/>
    <x v="1"/>
    <x v="0"/>
  </r>
  <r>
    <n v="1017470008"/>
    <n v="10"/>
    <s v="1"/>
    <s v="5"/>
    <s v="V25HHASSAN50"/>
    <d v="2026-05-03T00:00:00"/>
    <s v="VMT_VQ_VFE3"/>
    <x v="8"/>
    <x v="2"/>
    <x v="0"/>
  </r>
  <r>
    <n v="1022848164"/>
    <n v="10"/>
    <s v="4"/>
    <s v="5"/>
    <s v="V25OALLAH9"/>
    <d v="2026-05-03T00:00:00"/>
    <s v="VMT_Red_VQ_VFE1"/>
    <x v="3"/>
    <x v="0"/>
    <x v="0"/>
  </r>
  <r>
    <n v="1027107865"/>
    <n v="10"/>
    <s v="1"/>
    <s v="5"/>
    <s v="V25AWAHIB"/>
    <d v="2026-05-03T00:00:00"/>
    <s v="VMT_Red_VQ_VFE1"/>
    <x v="6"/>
    <x v="0"/>
    <x v="0"/>
  </r>
  <r>
    <n v="1031529082"/>
    <n v="0"/>
    <s v="3"/>
    <s v="1"/>
    <s v="V26MMAHDY"/>
    <d v="2026-05-03T00:00:00"/>
    <s v="VMT_VQ_VFE3"/>
    <x v="9"/>
    <x v="3"/>
    <x v="1"/>
  </r>
  <r>
    <n v="1035021343"/>
    <n v="5"/>
    <s v="4"/>
    <s v="4"/>
    <s v="V26MMAHDY"/>
    <d v="2026-05-03T00:00:00"/>
    <s v="VMT_VQ_VFE3"/>
    <x v="9"/>
    <x v="3"/>
    <x v="1"/>
  </r>
  <r>
    <n v="1035548000"/>
    <n v="10"/>
    <s v="3"/>
    <s v="5"/>
    <s v="V25NSAEED1"/>
    <d v="2026-05-03T00:00:00"/>
    <s v="VMT_Red_VQ_VFE1"/>
    <x v="10"/>
    <x v="2"/>
    <x v="0"/>
  </r>
  <r>
    <n v="1037877269"/>
    <n v="0"/>
    <s v="3"/>
    <s v="1"/>
    <s v="V25MMANSOUR10"/>
    <d v="2026-05-03T00:00:00"/>
    <s v="VMT_VQ_VFE3"/>
    <x v="11"/>
    <x v="0"/>
    <x v="1"/>
  </r>
  <r>
    <n v="1040398992"/>
    <n v="10"/>
    <s v="1"/>
    <s v="5"/>
    <s v="V25BHASSAN3"/>
    <d v="2026-05-03T00:00:00"/>
    <s v="VMT_Red_VQ_VFE1"/>
    <x v="12"/>
    <x v="2"/>
    <x v="0"/>
  </r>
  <r>
    <n v="1063323820"/>
    <n v="9"/>
    <s v="1"/>
    <s v="N/A"/>
    <s v="V25BHASSAN3"/>
    <d v="2026-05-03T00:00:00"/>
    <s v="VMT_Red_VQ_VFE1"/>
    <x v="12"/>
    <x v="2"/>
    <x v="0"/>
  </r>
  <r>
    <n v="1065332825"/>
    <n v="10"/>
    <s v="4"/>
    <s v="5"/>
    <s v="V25YMOHAMED24"/>
    <d v="2026-05-03T00:00:00"/>
    <s v="VMT_Red_VQ_VFE1"/>
    <x v="13"/>
    <x v="2"/>
    <x v="0"/>
  </r>
  <r>
    <n v="1066261519"/>
    <n v="0"/>
    <s v="3"/>
    <s v="5"/>
    <s v="V25FMAGD"/>
    <d v="2026-05-03T00:00:00"/>
    <s v="VMT_Red_VQ_VFE1"/>
    <x v="14"/>
    <x v="2"/>
    <x v="1"/>
  </r>
  <r>
    <n v="1069214805"/>
    <n v="0"/>
    <s v="4"/>
    <s v="5"/>
    <s v="V25EMAHFOD"/>
    <d v="2026-05-03T00:00:00"/>
    <s v="VMT_Red_VQ_VFE1"/>
    <x v="15"/>
    <x v="0"/>
    <x v="1"/>
  </r>
  <r>
    <n v="1070050788"/>
    <n v="10"/>
    <s v="4"/>
    <s v="5"/>
    <s v="V25EMAHFOD"/>
    <d v="2026-05-03T00:00:00"/>
    <s v="VMT_Red_VQ_VFE1"/>
    <x v="15"/>
    <x v="0"/>
    <x v="0"/>
  </r>
  <r>
    <n v="1070381335"/>
    <n v="10"/>
    <s v="4"/>
    <s v="5"/>
    <s v="V25AFADEEL2"/>
    <d v="2026-05-03T00:00:00"/>
    <s v="VMT_Red_VQ_VFE1"/>
    <x v="5"/>
    <x v="3"/>
    <x v="0"/>
  </r>
  <r>
    <n v="1090032514"/>
    <n v="10"/>
    <s v="1"/>
    <s v="5"/>
    <s v="V24SAHMED28"/>
    <d v="2026-05-03T00:00:00"/>
    <s v="VMT_Red_VQ_VFE1"/>
    <x v="16"/>
    <x v="2"/>
    <x v="0"/>
  </r>
  <r>
    <n v="1090175540"/>
    <n v="10"/>
    <s v="1"/>
    <s v="5"/>
    <s v="V25MHAMDY1"/>
    <d v="2026-05-03T00:00:00"/>
    <s v="VMT_Red_VQ_VFE1"/>
    <x v="17"/>
    <x v="2"/>
    <x v="0"/>
  </r>
  <r>
    <n v="1090202938"/>
    <n v="9"/>
    <s v="3"/>
    <s v="5"/>
    <s v="V25MHAMDY1"/>
    <d v="2026-05-03T00:00:00"/>
    <s v="VMT_Red_VQ_VFE1"/>
    <x v="17"/>
    <x v="2"/>
    <x v="0"/>
  </r>
  <r>
    <n v="1091040116"/>
    <n v="10"/>
    <s v="3"/>
    <s v="5"/>
    <s v="V25HAHMED43"/>
    <d v="2026-05-03T00:00:00"/>
    <s v="VMT_VQ_VFE3"/>
    <x v="7"/>
    <x v="1"/>
    <x v="0"/>
  </r>
  <r>
    <n v="1094072410"/>
    <n v="5"/>
    <s v="1"/>
    <s v="5"/>
    <s v="V25YMOHAMED24"/>
    <d v="2026-05-03T00:00:00"/>
    <s v="VMT_Red_VQ_VFE1"/>
    <x v="13"/>
    <x v="2"/>
    <x v="1"/>
  </r>
  <r>
    <n v="1094571105"/>
    <n v="0"/>
    <s v="3"/>
    <s v="1"/>
    <s v="V25HHASSAN50"/>
    <d v="2026-05-03T00:00:00"/>
    <s v="VMT_VQ_VFE3"/>
    <x v="8"/>
    <x v="2"/>
    <x v="1"/>
  </r>
  <r>
    <n v="1097957591"/>
    <n v="10"/>
    <s v="3"/>
    <s v="3"/>
    <s v="V26SMAWGOD"/>
    <d v="2026-05-03T00:00:00"/>
    <s v="VMT_VQ_VFE3"/>
    <x v="18"/>
    <x v="3"/>
    <x v="0"/>
  </r>
  <r>
    <n v="1099958364"/>
    <n v="0"/>
    <s v="3"/>
    <s v="1"/>
    <s v="V26MMAHDY"/>
    <d v="2026-05-03T00:00:00"/>
    <s v="VMT_Red_VQ_VFE1"/>
    <x v="9"/>
    <x v="3"/>
    <x v="1"/>
  </r>
  <r>
    <n v="1003069053"/>
    <n v="8"/>
    <s v="2"/>
    <s v="5"/>
    <s v="V25OAZAB"/>
    <d v="2026-05-04T00:00:00"/>
    <s v="VMT_Red_VQ_VFE1"/>
    <x v="2"/>
    <x v="2"/>
    <x v="2"/>
  </r>
  <r>
    <n v="1005823345"/>
    <n v="10"/>
    <s v="4"/>
    <s v="5"/>
    <s v="V26AFATHY2"/>
    <d v="2026-05-04T00:00:00"/>
    <s v="VMT_Red_VQ_VFE1"/>
    <x v="19"/>
    <x v="1"/>
    <x v="0"/>
  </r>
  <r>
    <n v="1005833591"/>
    <n v="10"/>
    <s v="1"/>
    <s v="5"/>
    <s v="V25BHASSAN3"/>
    <d v="2026-05-04T00:00:00"/>
    <s v="VMT_Red_VQ_VFE1"/>
    <x v="12"/>
    <x v="2"/>
    <x v="0"/>
  </r>
  <r>
    <n v="1005862843"/>
    <n v="0"/>
    <s v="3"/>
    <s v="5"/>
    <s v="V25HHASSAN50"/>
    <d v="2026-05-04T00:00:00"/>
    <s v="VMT_VQ_VFE3"/>
    <x v="8"/>
    <x v="2"/>
    <x v="1"/>
  </r>
  <r>
    <n v="1007731269"/>
    <n v="0"/>
    <s v="3"/>
    <s v="1"/>
    <s v="V25HHASSAN50"/>
    <d v="2026-05-04T00:00:00"/>
    <s v="VMT_VQ_VFE3"/>
    <x v="8"/>
    <x v="2"/>
    <x v="1"/>
  </r>
  <r>
    <n v="1008910270"/>
    <n v="10"/>
    <s v="1"/>
    <s v="5"/>
    <s v="V25AMAHMOUD45"/>
    <d v="2026-05-04T00:00:00"/>
    <s v="VMT_Red_VQ_VFE1"/>
    <x v="20"/>
    <x v="2"/>
    <x v="0"/>
  </r>
  <r>
    <n v="1010080713"/>
    <n v="10"/>
    <s v="4"/>
    <s v="5"/>
    <s v="V25IGHONIMY"/>
    <d v="2026-05-04T00:00:00"/>
    <s v="VMT_VQ_VFE3"/>
    <x v="4"/>
    <x v="3"/>
    <x v="0"/>
  </r>
  <r>
    <n v="1011577058"/>
    <n v="9"/>
    <s v="1"/>
    <s v="5"/>
    <s v="V25BHASSAN3"/>
    <d v="2026-05-04T00:00:00"/>
    <s v="VMT_Red_VQ_VFE1"/>
    <x v="12"/>
    <x v="2"/>
    <x v="0"/>
  </r>
  <r>
    <n v="1012031818"/>
    <n v="10"/>
    <s v="1"/>
    <s v="5"/>
    <s v="V25MKHATTAB1"/>
    <d v="2026-05-04T00:00:00"/>
    <s v="VMT_Red_VQ_VFE1"/>
    <x v="21"/>
    <x v="0"/>
    <x v="0"/>
  </r>
  <r>
    <n v="1012388854"/>
    <n v="8"/>
    <s v="4"/>
    <s v="5"/>
    <s v="V25MRAHMAN20"/>
    <d v="2026-05-04T00:00:00"/>
    <s v="VMT_VQ_VFE3"/>
    <x v="22"/>
    <x v="1"/>
    <x v="2"/>
  </r>
  <r>
    <n v="1016431803"/>
    <n v="10"/>
    <s v="1"/>
    <s v="5"/>
    <s v="V25MFARAG10"/>
    <d v="2026-05-04T00:00:00"/>
    <s v="VMT_Red_VQ_VFE1"/>
    <x v="23"/>
    <x v="0"/>
    <x v="0"/>
  </r>
  <r>
    <n v="1018690142"/>
    <n v="10"/>
    <s v="4"/>
    <s v="5"/>
    <s v="V25IZAKARIA"/>
    <d v="2026-05-04T00:00:00"/>
    <s v="VMT_Red_VQ_VFE1"/>
    <x v="24"/>
    <x v="1"/>
    <x v="0"/>
  </r>
  <r>
    <n v="1020211424"/>
    <n v="9"/>
    <s v="1"/>
    <s v="5"/>
    <s v="V25YMOHAMED24"/>
    <d v="2026-05-04T00:00:00"/>
    <s v="VMT_Red_VQ_VFE1"/>
    <x v="13"/>
    <x v="2"/>
    <x v="0"/>
  </r>
  <r>
    <n v="1020397889"/>
    <n v="10"/>
    <s v="1"/>
    <s v="5"/>
    <s v="V25AMAHMOUD45"/>
    <d v="2026-05-04T00:00:00"/>
    <s v="VMT_Red_VQ_VFE1"/>
    <x v="20"/>
    <x v="2"/>
    <x v="0"/>
  </r>
  <r>
    <n v="1022839500"/>
    <n v="10"/>
    <s v="4"/>
    <s v="5"/>
    <s v="V25EMAHFOD"/>
    <d v="2026-05-04T00:00:00"/>
    <s v="VMT_Red_VQ_VFE1"/>
    <x v="15"/>
    <x v="0"/>
    <x v="0"/>
  </r>
  <r>
    <n v="1026746434"/>
    <n v="0"/>
    <s v="3"/>
    <s v="1"/>
    <s v="V26YMOFLEH"/>
    <d v="2026-05-04T00:00:00"/>
    <s v="VMT_Red_VQ_VFE1"/>
    <x v="25"/>
    <x v="0"/>
    <x v="1"/>
  </r>
  <r>
    <n v="1032405991"/>
    <n v="8"/>
    <s v="2"/>
    <s v="5"/>
    <s v="V25OAZAB"/>
    <d v="2026-05-04T00:00:00"/>
    <s v="VMT_Red_VQ_VFE1"/>
    <x v="2"/>
    <x v="2"/>
    <x v="2"/>
  </r>
  <r>
    <n v="1050062333"/>
    <n v="10"/>
    <s v="4"/>
    <s v="5"/>
    <s v="V26YMOFLEH"/>
    <d v="2026-05-04T00:00:00"/>
    <s v="VMT_Red_VQ_VFE1"/>
    <x v="25"/>
    <x v="0"/>
    <x v="0"/>
  </r>
  <r>
    <n v="1061355888"/>
    <n v="0"/>
    <s v="3"/>
    <s v="1"/>
    <s v="V25YMOHAMED24"/>
    <d v="2026-05-04T00:00:00"/>
    <s v="VMT_Red_VQ_VFE1"/>
    <x v="13"/>
    <x v="2"/>
    <x v="1"/>
  </r>
  <r>
    <n v="1063194199"/>
    <n v="8"/>
    <s v="1"/>
    <s v="4"/>
    <s v="V25HHASSAN50"/>
    <d v="2026-05-04T00:00:00"/>
    <s v="VMT_VQ_VFE3"/>
    <x v="8"/>
    <x v="2"/>
    <x v="2"/>
  </r>
  <r>
    <n v="1066099301"/>
    <n v="0"/>
    <s v="4"/>
    <s v="1"/>
    <s v="V25ZDONKOL"/>
    <d v="2026-05-04T00:00:00"/>
    <s v="VMT_VQ_VFE3"/>
    <x v="26"/>
    <x v="3"/>
    <x v="1"/>
  </r>
  <r>
    <n v="1070083603"/>
    <n v="10"/>
    <s v="1"/>
    <s v="5"/>
    <s v="V25BHASSAN3"/>
    <d v="2026-05-04T00:00:00"/>
    <s v="VMT_Red_VQ_VFE1"/>
    <x v="12"/>
    <x v="2"/>
    <x v="0"/>
  </r>
  <r>
    <n v="1070636014"/>
    <n v="5"/>
    <s v="2"/>
    <s v="3"/>
    <s v="V25MFARAG10"/>
    <d v="2026-05-04T00:00:00"/>
    <s v="VMT_VQ_VFE3"/>
    <x v="23"/>
    <x v="0"/>
    <x v="1"/>
  </r>
  <r>
    <n v="1080801906"/>
    <n v="0"/>
    <s v="4"/>
    <s v="1"/>
    <s v="V25MKHATTAB1"/>
    <d v="2026-05-04T00:00:00"/>
    <s v="VMT_Red_VQ_VFE1"/>
    <x v="21"/>
    <x v="0"/>
    <x v="1"/>
  </r>
  <r>
    <n v="1090019530"/>
    <n v="0"/>
    <s v="3"/>
    <s v="1"/>
    <s v="V25NSAEED1"/>
    <d v="2026-05-04T00:00:00"/>
    <s v="VMT_Red_VQ_VFE1"/>
    <x v="10"/>
    <x v="2"/>
    <x v="1"/>
  </r>
  <r>
    <n v="1090687784"/>
    <n v="10"/>
    <s v="4"/>
    <s v="1"/>
    <s v="V25EMAHFOD"/>
    <d v="2026-05-04T00:00:00"/>
    <s v="VMT_Red_VQ_VFE1"/>
    <x v="15"/>
    <x v="0"/>
    <x v="0"/>
  </r>
  <r>
    <n v="1094507927"/>
    <n v="10"/>
    <s v="1"/>
    <s v="5"/>
    <s v="V25AEWIS2"/>
    <d v="2026-05-04T00:00:00"/>
    <s v="VMT_VQ_VFE3"/>
    <x v="1"/>
    <x v="1"/>
    <x v="0"/>
  </r>
  <r>
    <n v="1095885086"/>
    <n v="10"/>
    <s v="1"/>
    <s v="5"/>
    <s v="V25AEWIS2"/>
    <d v="2026-05-04T00:00:00"/>
    <s v="VMT_VQ_VFE3"/>
    <x v="1"/>
    <x v="1"/>
    <x v="0"/>
  </r>
  <r>
    <n v="1098044170"/>
    <n v="10"/>
    <s v="4"/>
    <s v="5"/>
    <s v="V26YMOFLEH"/>
    <d v="2026-05-04T00:00:00"/>
    <s v="VMT_Red_VQ_VFE1"/>
    <x v="25"/>
    <x v="0"/>
    <x v="0"/>
  </r>
  <r>
    <n v="1099097342"/>
    <n v="10"/>
    <s v="1"/>
    <s v="5"/>
    <s v="V26YMOFLEH"/>
    <d v="2026-05-04T00:00:00"/>
    <s v="VMT_Red_VQ_VFE1"/>
    <x v="25"/>
    <x v="0"/>
    <x v="0"/>
  </r>
  <r>
    <n v="1142221000"/>
    <n v="9"/>
    <s v="1"/>
    <s v="1"/>
    <s v="V26YMOFLEH"/>
    <d v="2026-05-04T00:00:00"/>
    <s v="VMT_Red_VQ_VFE1"/>
    <x v="25"/>
    <x v="0"/>
    <x v="0"/>
  </r>
  <r>
    <n v="1002392007"/>
    <n v="9"/>
    <s v="1"/>
    <s v="5"/>
    <s v="V25SZEKRY"/>
    <d v="2026-05-05T00:00:00"/>
    <s v="VMT_Red_VQ_VFE1"/>
    <x v="27"/>
    <x v="2"/>
    <x v="0"/>
  </r>
  <r>
    <n v="1002722630"/>
    <n v="10"/>
    <s v="4"/>
    <s v="5"/>
    <s v="V25MKHATTAB1"/>
    <d v="2026-05-05T00:00:00"/>
    <s v="VMT_Red_VQ_VFE1"/>
    <x v="21"/>
    <x v="0"/>
    <x v="0"/>
  </r>
  <r>
    <n v="1003506085"/>
    <n v="10"/>
    <s v="1"/>
    <s v="5"/>
    <s v="V25YMOHAMED24"/>
    <d v="2026-05-05T00:00:00"/>
    <s v="VMT_Red_VQ_VFE1"/>
    <x v="13"/>
    <x v="2"/>
    <x v="0"/>
  </r>
  <r>
    <n v="1003840779"/>
    <n v="8"/>
    <s v="4"/>
    <s v="5"/>
    <s v="V25MHAMDY1"/>
    <d v="2026-05-05T00:00:00"/>
    <s v="VMT_Red_VQ_VFE1"/>
    <x v="17"/>
    <x v="2"/>
    <x v="2"/>
  </r>
  <r>
    <n v="1004663436"/>
    <n v="5"/>
    <s v="4"/>
    <s v="4"/>
    <s v="V26MMAHDY"/>
    <d v="2026-05-05T00:00:00"/>
    <s v="VMT_Red_VQ_VFE1"/>
    <x v="9"/>
    <x v="3"/>
    <x v="1"/>
  </r>
  <r>
    <n v="1009824409"/>
    <n v="10"/>
    <s v="1"/>
    <s v="5"/>
    <s v="V26MMAHDY"/>
    <d v="2026-05-05T00:00:00"/>
    <s v="VMT_Red_VQ_VFE1"/>
    <x v="9"/>
    <x v="3"/>
    <x v="0"/>
  </r>
  <r>
    <n v="1010359013"/>
    <n v="8"/>
    <s v="4"/>
    <s v="3"/>
    <s v="V26SMAWGOD"/>
    <d v="2026-05-05T00:00:00"/>
    <s v="VMT_Red_VQ_VFE1"/>
    <x v="18"/>
    <x v="3"/>
    <x v="2"/>
  </r>
  <r>
    <n v="1011708174"/>
    <n v="9"/>
    <s v="1"/>
    <s v="5"/>
    <s v="V25EMAHFOD"/>
    <d v="2026-05-05T00:00:00"/>
    <s v="VMT_Red_VQ_VFE1"/>
    <x v="15"/>
    <x v="0"/>
    <x v="0"/>
  </r>
  <r>
    <n v="1014624389"/>
    <n v="0"/>
    <s v="3"/>
    <s v="3"/>
    <s v="V25BHASSAN3"/>
    <d v="2026-05-05T00:00:00"/>
    <s v="VMT_Red_VQ_VFE1"/>
    <x v="12"/>
    <x v="2"/>
    <x v="1"/>
  </r>
  <r>
    <n v="1016102019"/>
    <n v="10"/>
    <s v="1"/>
    <s v="5"/>
    <s v="V25FMAGD"/>
    <d v="2026-05-05T00:00:00"/>
    <s v="VMT_Red_VQ_VFE1"/>
    <x v="14"/>
    <x v="2"/>
    <x v="0"/>
  </r>
  <r>
    <n v="1017058085"/>
    <n v="10"/>
    <s v="1"/>
    <s v="5"/>
    <s v="V25SSAYED67"/>
    <d v="2026-05-05T00:00:00"/>
    <s v="VMT_Red_VQ_VFE1"/>
    <x v="28"/>
    <x v="1"/>
    <x v="0"/>
  </r>
  <r>
    <n v="1022434081"/>
    <n v="10"/>
    <s v="1"/>
    <s v="5"/>
    <s v="V25MKHATTAB1"/>
    <d v="2026-05-05T00:00:00"/>
    <s v="VMT_Red_VQ_VFE1"/>
    <x v="21"/>
    <x v="0"/>
    <x v="0"/>
  </r>
  <r>
    <n v="1023883144"/>
    <n v="0"/>
    <s v="4"/>
    <s v="5"/>
    <s v="V25YMOHAMED24"/>
    <d v="2026-05-05T00:00:00"/>
    <s v="VMT_Red_VQ_VFE1"/>
    <x v="13"/>
    <x v="2"/>
    <x v="1"/>
  </r>
  <r>
    <n v="1032050505"/>
    <n v="10"/>
    <s v="4"/>
    <s v="5"/>
    <s v="V25YMOHAMED24"/>
    <d v="2026-05-05T00:00:00"/>
    <s v="VMT_Red_VQ_VFE1"/>
    <x v="13"/>
    <x v="2"/>
    <x v="0"/>
  </r>
  <r>
    <n v="1033752375"/>
    <n v="9"/>
    <s v="4"/>
    <s v="4"/>
    <s v="V25AMAHMOUD45"/>
    <d v="2026-05-05T00:00:00"/>
    <s v="VMT_Red_VQ_VFE1"/>
    <x v="20"/>
    <x v="2"/>
    <x v="0"/>
  </r>
  <r>
    <n v="1060700949"/>
    <n v="10"/>
    <s v="1"/>
    <s v="5"/>
    <s v="V26AFATHY2"/>
    <d v="2026-05-05T00:00:00"/>
    <s v="VMT_Red_VQ_VFE1"/>
    <x v="19"/>
    <x v="1"/>
    <x v="0"/>
  </r>
  <r>
    <n v="1066162386"/>
    <n v="3"/>
    <s v="4"/>
    <s v="3"/>
    <s v="V25MFARAG10"/>
    <d v="2026-05-05T00:00:00"/>
    <s v="VMT_Red_VQ_VFE1"/>
    <x v="23"/>
    <x v="0"/>
    <x v="1"/>
  </r>
  <r>
    <n v="1067449502"/>
    <n v="10"/>
    <s v="1"/>
    <s v="5"/>
    <s v="V25SZEKRY"/>
    <d v="2026-05-05T00:00:00"/>
    <s v="VMT_Red_VQ_VFE1"/>
    <x v="27"/>
    <x v="2"/>
    <x v="0"/>
  </r>
  <r>
    <n v="1068037945"/>
    <n v="10"/>
    <s v="4"/>
    <s v="5"/>
    <s v="V25HAHMED43"/>
    <d v="2026-05-05T00:00:00"/>
    <s v="VMT_Red_VQ_VFE1"/>
    <x v="7"/>
    <x v="1"/>
    <x v="0"/>
  </r>
  <r>
    <n v="1090907901"/>
    <n v="10"/>
    <s v="1"/>
    <s v="5"/>
    <s v="V25HAHMED43"/>
    <d v="2026-05-05T00:00:00"/>
    <s v="VMT_Red_VQ_VFE1"/>
    <x v="7"/>
    <x v="1"/>
    <x v="0"/>
  </r>
  <r>
    <n v="1091110449"/>
    <n v="10"/>
    <s v="1"/>
    <s v="5"/>
    <s v="V25MKHATTAB1"/>
    <d v="2026-05-05T00:00:00"/>
    <s v="VMT_Red_VQ_VFE1"/>
    <x v="21"/>
    <x v="0"/>
    <x v="0"/>
  </r>
  <r>
    <n v="1093269451"/>
    <n v="10"/>
    <s v="1"/>
    <s v="5"/>
    <s v="V25SZEKRY"/>
    <d v="2026-05-05T00:00:00"/>
    <s v="VMT_Red_VQ_VFE1"/>
    <x v="27"/>
    <x v="2"/>
    <x v="0"/>
  </r>
  <r>
    <n v="1097313575"/>
    <n v="10"/>
    <s v="4"/>
    <s v="5"/>
    <s v="V25MSALAH21"/>
    <d v="2026-05-05T00:00:00"/>
    <s v="VMT_Red_VQ_VFE1"/>
    <x v="29"/>
    <x v="1"/>
    <x v="0"/>
  </r>
  <r>
    <n v="1157740003"/>
    <n v="0"/>
    <s v="3"/>
    <s v="2"/>
    <s v="V25AEWIS2"/>
    <d v="2026-05-05T00:00:00"/>
    <s v="VMT_Red_VQ_VFE1"/>
    <x v="1"/>
    <x v="1"/>
    <x v="1"/>
  </r>
  <r>
    <n v="1000621001"/>
    <n v="9"/>
    <s v="4"/>
    <s v="5"/>
    <s v="V25MMANSOUR10"/>
    <d v="2026-05-06T00:00:00"/>
    <s v="VMT_Red_VQ_VFE1"/>
    <x v="11"/>
    <x v="0"/>
    <x v="0"/>
  </r>
  <r>
    <n v="1002695206"/>
    <n v="10"/>
    <s v="2"/>
    <s v="5"/>
    <s v="V25SZEKRY"/>
    <d v="2026-05-06T00:00:00"/>
    <s v="VMT_Red_VQ_VFE1"/>
    <x v="27"/>
    <x v="2"/>
    <x v="0"/>
  </r>
  <r>
    <n v="1002777200"/>
    <n v="7"/>
    <s v="4"/>
    <s v="4"/>
    <s v="V25MRAHMAN20"/>
    <d v="2026-05-06T00:00:00"/>
    <s v="VMT_Red_VQ_VFE1"/>
    <x v="22"/>
    <x v="1"/>
    <x v="2"/>
  </r>
  <r>
    <n v="1003711910"/>
    <n v="10"/>
    <s v="1"/>
    <s v="5"/>
    <s v="V25MHAMDY1"/>
    <d v="2026-05-06T00:00:00"/>
    <s v="VMT_Red_VQ_VFE1"/>
    <x v="17"/>
    <x v="2"/>
    <x v="0"/>
  </r>
  <r>
    <n v="1005452345"/>
    <n v="9"/>
    <s v="1"/>
    <s v="5"/>
    <s v="V25AMAHMOUD45"/>
    <d v="2026-05-06T00:00:00"/>
    <s v="VMT_Red_VQ_VFE1"/>
    <x v="20"/>
    <x v="2"/>
    <x v="0"/>
  </r>
  <r>
    <n v="1013277739"/>
    <n v="10"/>
    <s v="1"/>
    <s v="5"/>
    <s v="V25MMANSOUR10"/>
    <d v="2026-05-06T00:00:00"/>
    <s v="VMT_Red_VQ_VFE1"/>
    <x v="11"/>
    <x v="0"/>
    <x v="0"/>
  </r>
  <r>
    <n v="1020731172"/>
    <n v="10"/>
    <s v="1"/>
    <s v="5"/>
    <s v="V25MKHATTAB1"/>
    <d v="2026-05-06T00:00:00"/>
    <s v="VMT_Red_VQ_VFE1"/>
    <x v="21"/>
    <x v="0"/>
    <x v="0"/>
  </r>
  <r>
    <n v="1022777335"/>
    <n v="0"/>
    <s v="3"/>
    <s v="2"/>
    <s v="V25IGHONIMY"/>
    <d v="2026-05-06T00:00:00"/>
    <s v="VMT_Red_VQ_VFE1"/>
    <x v="4"/>
    <x v="3"/>
    <x v="1"/>
  </r>
  <r>
    <n v="1023114116"/>
    <n v="10"/>
    <s v="1"/>
    <s v="5"/>
    <s v="V25PSHEHATA"/>
    <d v="2026-05-06T00:00:00"/>
    <s v="VMT_Red_VQ_VFE1"/>
    <x v="0"/>
    <x v="0"/>
    <x v="0"/>
  </r>
  <r>
    <n v="1023843464"/>
    <n v="2"/>
    <s v="4"/>
    <s v="3"/>
    <s v="V26AMOSLHY"/>
    <d v="2026-05-06T00:00:00"/>
    <s v="VMT_Red_VQ_VFE1"/>
    <x v="30"/>
    <x v="1"/>
    <x v="1"/>
  </r>
  <r>
    <n v="1026850330"/>
    <n v="10"/>
    <s v="1"/>
    <s v="5"/>
    <s v="V25SZEKRY"/>
    <d v="2026-05-06T00:00:00"/>
    <s v="VMT_Red_VQ_VFE1"/>
    <x v="27"/>
    <x v="2"/>
    <x v="0"/>
  </r>
  <r>
    <n v="1030993752"/>
    <n v="10"/>
    <s v="1"/>
    <s v="5"/>
    <s v="V24SAHMED28"/>
    <d v="2026-05-06T00:00:00"/>
    <s v="VMT_Red_VQ_VFE1"/>
    <x v="16"/>
    <x v="2"/>
    <x v="0"/>
  </r>
  <r>
    <n v="1032357722"/>
    <n v="8"/>
    <s v="3"/>
    <s v="2"/>
    <s v="V26AMOSLHY"/>
    <d v="2026-05-06T00:00:00"/>
    <s v="VMT_Red_VQ_VFE1"/>
    <x v="30"/>
    <x v="1"/>
    <x v="2"/>
  </r>
  <r>
    <n v="1044710610"/>
    <n v="10"/>
    <s v="4"/>
    <s v="5"/>
    <s v="V26AMOSLHY"/>
    <d v="2026-05-06T00:00:00"/>
    <s v="VMT_Red_VQ_VFE1"/>
    <x v="30"/>
    <x v="1"/>
    <x v="0"/>
  </r>
  <r>
    <n v="1092254220"/>
    <n v="10"/>
    <s v="3"/>
    <s v="5"/>
    <s v="V25FMAGD"/>
    <d v="2026-05-06T00:00:00"/>
    <s v="VMT_Red_VQ_VFE1"/>
    <x v="14"/>
    <x v="2"/>
    <x v="0"/>
  </r>
  <r>
    <n v="1095028017"/>
    <n v="10"/>
    <s v="4"/>
    <s v="5"/>
    <s v="V26YMOFLEH"/>
    <d v="2026-05-06T00:00:00"/>
    <s v="VMT_Red_VQ_VFE1"/>
    <x v="25"/>
    <x v="0"/>
    <x v="0"/>
  </r>
  <r>
    <n v="1095189204"/>
    <n v="9"/>
    <s v="1"/>
    <s v="5"/>
    <s v="V25AFADEEL2"/>
    <d v="2026-05-06T00:00:00"/>
    <s v="VMT_Red_VQ_VFE1"/>
    <x v="5"/>
    <x v="3"/>
    <x v="0"/>
  </r>
  <r>
    <n v="1097937870"/>
    <n v="10"/>
    <s v="4"/>
    <s v="5"/>
    <s v="V25MFARAG10"/>
    <d v="2026-05-06T00:00:00"/>
    <s v="VMT_Red_VQ_VFE1"/>
    <x v="23"/>
    <x v="0"/>
    <x v="0"/>
  </r>
  <r>
    <n v="1099988715"/>
    <n v="0"/>
    <s v="3"/>
    <s v="2"/>
    <s v="V25TAHMED3"/>
    <d v="2026-05-06T00:00:00"/>
    <s v="VMT_Red_VQ_VFE1"/>
    <x v="31"/>
    <x v="3"/>
    <x v="1"/>
  </r>
  <r>
    <n v="1279090763"/>
    <n v="10"/>
    <s v="4"/>
    <s v="5"/>
    <s v="V25AMAHMOUD45"/>
    <d v="2026-05-06T00:00:00"/>
    <s v="VMT_Red_VQ_VFE1"/>
    <x v="20"/>
    <x v="2"/>
    <x v="0"/>
  </r>
  <r>
    <n v="1003325506"/>
    <n v="10"/>
    <s v="1"/>
    <s v="5"/>
    <s v="V25SZEKRY"/>
    <d v="2026-05-07T00:00:00"/>
    <s v="VMT_Red_VQ_VFE1"/>
    <x v="27"/>
    <x v="2"/>
    <x v="0"/>
  </r>
  <r>
    <n v="1004179183"/>
    <n v="10"/>
    <s v="1"/>
    <s v="5"/>
    <s v="V26YMOFLEH"/>
    <d v="2026-05-07T00:00:00"/>
    <s v="VMT_Red_VQ_VFE1"/>
    <x v="25"/>
    <x v="0"/>
    <x v="0"/>
  </r>
  <r>
    <n v="1004216599"/>
    <n v="5"/>
    <s v="3"/>
    <s v="5"/>
    <s v="V25AWAHIB"/>
    <d v="2026-05-07T00:00:00"/>
    <s v="VMT_Red_VQ_VFE1"/>
    <x v="6"/>
    <x v="0"/>
    <x v="1"/>
  </r>
  <r>
    <n v="1004308849"/>
    <n v="5"/>
    <s v="3"/>
    <s v="5"/>
    <s v="V26AFATHY2"/>
    <d v="2026-05-07T00:00:00"/>
    <s v="VMT_Red_VQ_VFE1"/>
    <x v="19"/>
    <x v="1"/>
    <x v="1"/>
  </r>
  <r>
    <n v="1004506362"/>
    <n v="10"/>
    <s v="4"/>
    <s v="5"/>
    <s v="V25AFADEEL2"/>
    <d v="2026-05-07T00:00:00"/>
    <s v="VMT_Red_VQ_VFE1"/>
    <x v="5"/>
    <x v="3"/>
    <x v="0"/>
  </r>
  <r>
    <n v="1005162817"/>
    <n v="9"/>
    <s v="1"/>
    <s v="5"/>
    <s v="V26AFATHY2"/>
    <d v="2026-05-07T00:00:00"/>
    <s v="VMT_Red_VQ_VFE1"/>
    <x v="19"/>
    <x v="1"/>
    <x v="0"/>
  </r>
  <r>
    <n v="1005195196"/>
    <n v="9"/>
    <s v="1"/>
    <s v="5"/>
    <s v="V25SZEKRY"/>
    <d v="2026-05-07T00:00:00"/>
    <s v="VMT_Red_VQ_VFE1"/>
    <x v="27"/>
    <x v="2"/>
    <x v="0"/>
  </r>
  <r>
    <n v="1007725148"/>
    <n v="10"/>
    <s v="3"/>
    <s v="5"/>
    <s v="V26AMOSLHY"/>
    <d v="2026-05-07T00:00:00"/>
    <s v="VMT_Red_VQ_VFE1"/>
    <x v="30"/>
    <x v="1"/>
    <x v="0"/>
  </r>
  <r>
    <n v="1016719264"/>
    <n v="10"/>
    <s v="1"/>
    <s v="5"/>
    <s v="V25EMAHFOD"/>
    <d v="2026-05-07T00:00:00"/>
    <s v="VMT_Red_VQ_VFE1"/>
    <x v="15"/>
    <x v="0"/>
    <x v="0"/>
  </r>
  <r>
    <n v="1017672054"/>
    <n v="10"/>
    <s v="4"/>
    <s v="5"/>
    <s v="V26AMOSLHY"/>
    <d v="2026-05-07T00:00:00"/>
    <s v="VMT_Red_VQ_VFE1"/>
    <x v="30"/>
    <x v="1"/>
    <x v="0"/>
  </r>
  <r>
    <n v="1018052407"/>
    <n v="10"/>
    <s v="1"/>
    <s v="5"/>
    <s v="V25MHAMDY1"/>
    <d v="2026-05-07T00:00:00"/>
    <s v="VMT_Red_VQ_VFE1"/>
    <x v="17"/>
    <x v="2"/>
    <x v="0"/>
  </r>
  <r>
    <n v="1030793991"/>
    <n v="0"/>
    <s v="3"/>
    <s v="5"/>
    <s v="V23MGELIL"/>
    <d v="2026-05-07T00:00:00"/>
    <s v="VMT_Red_VQ_VFE1"/>
    <x v="32"/>
    <x v="1"/>
    <x v="1"/>
  </r>
  <r>
    <n v="1030806246"/>
    <n v="10"/>
    <s v="1"/>
    <s v="5"/>
    <s v="V25SSAYED67"/>
    <d v="2026-05-07T00:00:00"/>
    <s v="VMT_Red_VQ_VFE1"/>
    <x v="28"/>
    <x v="1"/>
    <x v="0"/>
  </r>
  <r>
    <n v="1033002254"/>
    <n v="10"/>
    <s v="1"/>
    <s v="5"/>
    <s v="V25OAZAB"/>
    <d v="2026-05-07T00:00:00"/>
    <s v="VMT_Red_VQ_VFE1"/>
    <x v="2"/>
    <x v="2"/>
    <x v="0"/>
  </r>
  <r>
    <n v="1061167774"/>
    <n v="10"/>
    <s v="1"/>
    <s v="5"/>
    <s v="V26AFATHY2"/>
    <d v="2026-05-07T00:00:00"/>
    <s v="VMT_Red_VQ_VFE1"/>
    <x v="19"/>
    <x v="1"/>
    <x v="0"/>
  </r>
  <r>
    <n v="1069570090"/>
    <n v="10"/>
    <s v="1"/>
    <s v="5"/>
    <s v="V26AFATHY2"/>
    <d v="2026-05-07T00:00:00"/>
    <s v="VMT_Red_VQ_VFE1"/>
    <x v="19"/>
    <x v="1"/>
    <x v="0"/>
  </r>
  <r>
    <n v="1090067647"/>
    <n v="6"/>
    <s v="4"/>
    <s v="5"/>
    <s v="V24AHASSAN6"/>
    <d v="2026-05-07T00:00:00"/>
    <s v="VMT_Red_VQ_VFE1"/>
    <x v="33"/>
    <x v="2"/>
    <x v="1"/>
  </r>
  <r>
    <n v="1094315561"/>
    <n v="10"/>
    <s v="1"/>
    <s v="5"/>
    <s v="V26AFATHY2"/>
    <d v="2026-05-07T00:00:00"/>
    <s v="VMT_Red_VQ_VFE1"/>
    <x v="19"/>
    <x v="1"/>
    <x v="0"/>
  </r>
  <r>
    <n v="1000930406"/>
    <n v="0"/>
    <s v="2"/>
    <s v="1"/>
    <s v="V25MSALAH21"/>
    <d v="2026-05-08T00:00:00"/>
    <s v="VMT_Red_VQ_VFE1"/>
    <x v="29"/>
    <x v="1"/>
    <x v="1"/>
  </r>
  <r>
    <n v="1003980525"/>
    <n v="10"/>
    <s v="1"/>
    <s v="5"/>
    <s v="V25AFADEEL2"/>
    <d v="2026-05-08T00:00:00"/>
    <s v="VMT_Red_VQ_VFE1"/>
    <x v="5"/>
    <x v="3"/>
    <x v="0"/>
  </r>
  <r>
    <n v="1004801928"/>
    <n v="10"/>
    <s v="2"/>
    <s v="5"/>
    <s v="V25OALLAH9"/>
    <d v="2026-05-08T00:00:00"/>
    <s v="VMT_Red_VQ_VFE1"/>
    <x v="3"/>
    <x v="0"/>
    <x v="0"/>
  </r>
  <r>
    <n v="1006347909"/>
    <n v="9"/>
    <s v="4"/>
    <s v="5"/>
    <s v="V25AFADEEL2"/>
    <d v="2026-05-08T00:00:00"/>
    <s v="VMT_Red_VQ_VFE1"/>
    <x v="5"/>
    <x v="3"/>
    <x v="0"/>
  </r>
  <r>
    <n v="1006791809"/>
    <n v="9"/>
    <s v="1"/>
    <s v="5"/>
    <s v="V25MKHATTAB1"/>
    <d v="2026-05-08T00:00:00"/>
    <s v="VMT_Red_VQ_VFE1"/>
    <x v="21"/>
    <x v="0"/>
    <x v="0"/>
  </r>
  <r>
    <n v="1009162895"/>
    <n v="0"/>
    <s v="4"/>
    <s v="5"/>
    <s v="V26MMAHDY"/>
    <d v="2026-05-08T00:00:00"/>
    <s v="VMT_Red_VQ_VFE1"/>
    <x v="9"/>
    <x v="3"/>
    <x v="1"/>
  </r>
  <r>
    <n v="1013193030"/>
    <n v="10"/>
    <s v="1"/>
    <s v="5"/>
    <s v="V25PSHEHATA"/>
    <d v="2026-05-08T00:00:00"/>
    <s v="VMT_Red_VQ_VFE1"/>
    <x v="0"/>
    <x v="0"/>
    <x v="0"/>
  </r>
  <r>
    <n v="1016690622"/>
    <n v="0"/>
    <s v="4"/>
    <s v="3"/>
    <s v="V26YMOFLEH"/>
    <d v="2026-05-08T00:00:00"/>
    <s v="VMT_Red_VQ_VFE1"/>
    <x v="25"/>
    <x v="0"/>
    <x v="1"/>
  </r>
  <r>
    <n v="1019854458"/>
    <n v="10"/>
    <s v="2"/>
    <s v="5"/>
    <s v="V25OALLAH9"/>
    <d v="2026-05-08T00:00:00"/>
    <s v="VMT_Red_VQ_VFE1"/>
    <x v="3"/>
    <x v="0"/>
    <x v="0"/>
  </r>
  <r>
    <n v="1024649550"/>
    <n v="7"/>
    <s v="4"/>
    <s v="5"/>
    <s v="V25MKHATTAB1"/>
    <d v="2026-05-08T00:00:00"/>
    <s v="VMT_Red_VQ_VFE1"/>
    <x v="21"/>
    <x v="0"/>
    <x v="2"/>
  </r>
  <r>
    <n v="1029136154"/>
    <n v="10"/>
    <s v="1"/>
    <s v="5"/>
    <s v="V26YMOFLEH"/>
    <d v="2026-05-08T00:00:00"/>
    <s v="VMT_Red_VQ_VFE1"/>
    <x v="25"/>
    <x v="0"/>
    <x v="0"/>
  </r>
  <r>
    <n v="1034619999"/>
    <n v="10"/>
    <s v="1"/>
    <s v="5"/>
    <s v="V25OAZAB"/>
    <d v="2026-05-08T00:00:00"/>
    <s v="VMT_Red_VQ_VFE1"/>
    <x v="2"/>
    <x v="2"/>
    <x v="0"/>
  </r>
  <r>
    <n v="1055387059"/>
    <n v="8"/>
    <s v="1"/>
    <s v="5"/>
    <s v="V26MMAHDY"/>
    <d v="2026-05-08T00:00:00"/>
    <s v="VMT_Red_VQ_VFE1"/>
    <x v="9"/>
    <x v="3"/>
    <x v="2"/>
  </r>
  <r>
    <n v="1063018745"/>
    <n v="9"/>
    <s v="4"/>
    <s v="5"/>
    <s v="V25OALLAH9"/>
    <d v="2026-05-08T00:00:00"/>
    <s v="VMT_Red_VQ_VFE1"/>
    <x v="3"/>
    <x v="0"/>
    <x v="0"/>
  </r>
  <r>
    <n v="1080066061"/>
    <n v="10"/>
    <s v="1"/>
    <s v="5"/>
    <s v="V25AFADEEL2"/>
    <d v="2026-05-08T00:00:00"/>
    <s v="VMT_Red_VQ_VFE1"/>
    <x v="5"/>
    <x v="3"/>
    <x v="0"/>
  </r>
  <r>
    <n v="1223357547"/>
    <n v="9"/>
    <s v="1"/>
    <s v="5"/>
    <s v="V26AFATHY2"/>
    <d v="2026-05-08T00:00:00"/>
    <s v="VMT_Red_VQ_VFE1"/>
    <x v="19"/>
    <x v="1"/>
    <x v="0"/>
  </r>
  <r>
    <n v="1000023610"/>
    <n v="8"/>
    <s v="2"/>
    <s v="5"/>
    <s v="V25IZAKARIA"/>
    <d v="2026-05-09T00:00:00"/>
    <s v="VMT_Red_VQ_VFE1"/>
    <x v="24"/>
    <x v="1"/>
    <x v="2"/>
  </r>
  <r>
    <n v="1001232625"/>
    <n v="0"/>
    <s v="4"/>
    <s v="1"/>
    <s v="V26YMOFLEH"/>
    <d v="2026-05-09T00:00:00"/>
    <s v="VMT_Red_VQ_VFE1"/>
    <x v="25"/>
    <x v="0"/>
    <x v="1"/>
  </r>
  <r>
    <n v="1001912447"/>
    <n v="10"/>
    <s v="1"/>
    <s v="5"/>
    <s v="V26YMOFLEH"/>
    <d v="2026-05-09T00:00:00"/>
    <s v="VMT_Red_VQ_VFE1"/>
    <x v="25"/>
    <x v="0"/>
    <x v="0"/>
  </r>
  <r>
    <n v="1002480807"/>
    <n v="10"/>
    <s v="1"/>
    <s v="5"/>
    <s v="V25IGHONIMY"/>
    <d v="2026-05-09T00:00:00"/>
    <s v="VMT_Red_VQ_VFE1"/>
    <x v="4"/>
    <x v="3"/>
    <x v="0"/>
  </r>
  <r>
    <n v="1002832838"/>
    <n v="10"/>
    <s v="4"/>
    <s v="5"/>
    <s v="V25MSALAH21"/>
    <d v="2026-05-09T00:00:00"/>
    <s v="VMT_Red_VQ_VFE1"/>
    <x v="29"/>
    <x v="1"/>
    <x v="0"/>
  </r>
  <r>
    <n v="1003500334"/>
    <n v="6"/>
    <s v="1"/>
    <s v="5"/>
    <s v="V26YMOFLEH"/>
    <d v="2026-05-09T00:00:00"/>
    <s v="VMT_Red_VQ_VFE1"/>
    <x v="25"/>
    <x v="0"/>
    <x v="1"/>
  </r>
  <r>
    <n v="1005137177"/>
    <n v="10"/>
    <s v="2"/>
    <s v="5"/>
    <s v="V25IGHONIMY"/>
    <d v="2026-05-09T00:00:00"/>
    <s v="VMT_Red_VQ_VFE1"/>
    <x v="4"/>
    <x v="3"/>
    <x v="0"/>
  </r>
  <r>
    <n v="1005240132"/>
    <n v="7"/>
    <s v="1"/>
    <s v="5"/>
    <s v="V25TAHMED3"/>
    <d v="2026-05-09T00:00:00"/>
    <s v="VMT_Red_VQ_VFE1"/>
    <x v="31"/>
    <x v="3"/>
    <x v="2"/>
  </r>
  <r>
    <n v="1006931005"/>
    <n v="5"/>
    <s v="4"/>
    <s v="5"/>
    <s v="V26YMOFLEH"/>
    <d v="2026-05-09T00:00:00"/>
    <s v="VMT_Red_VQ_VFE1"/>
    <x v="25"/>
    <x v="0"/>
    <x v="1"/>
  </r>
  <r>
    <n v="1014809048"/>
    <n v="10"/>
    <s v="4"/>
    <s v="5"/>
    <s v="V25PSHEHATA"/>
    <d v="2026-05-09T00:00:00"/>
    <s v="VMT_Red_VQ_VFE1"/>
    <x v="0"/>
    <x v="0"/>
    <x v="0"/>
  </r>
  <r>
    <n v="1017065546"/>
    <n v="10"/>
    <s v="1"/>
    <s v="5"/>
    <s v="V26AZAKI2"/>
    <d v="2026-05-09T00:00:00"/>
    <s v="VMT_Red_VQ_VFE1"/>
    <x v="34"/>
    <x v="1"/>
    <x v="0"/>
  </r>
  <r>
    <n v="1017103785"/>
    <n v="9"/>
    <s v="1"/>
    <s v="5"/>
    <s v="V23MGELIL"/>
    <d v="2026-05-09T00:00:00"/>
    <s v="VMT_Red_VQ_VFE1"/>
    <x v="32"/>
    <x v="1"/>
    <x v="0"/>
  </r>
  <r>
    <n v="1020094747"/>
    <n v="8"/>
    <s v="4"/>
    <s v="5"/>
    <s v="V25IZAKARIA"/>
    <d v="2026-05-09T00:00:00"/>
    <s v="VMT_Red_VQ_VFE1"/>
    <x v="24"/>
    <x v="1"/>
    <x v="2"/>
  </r>
  <r>
    <n v="1021532410"/>
    <n v="10"/>
    <s v="4"/>
    <s v="5"/>
    <s v="V25IZAKARIA"/>
    <d v="2026-05-09T00:00:00"/>
    <s v="VMT_Red_VQ_VFE1"/>
    <x v="24"/>
    <x v="1"/>
    <x v="0"/>
  </r>
  <r>
    <n v="1022888668"/>
    <n v="10"/>
    <s v="4"/>
    <s v="5"/>
    <s v="V26AZAKI2"/>
    <d v="2026-05-09T00:00:00"/>
    <s v="VMT_Red_VQ_VFE1"/>
    <x v="34"/>
    <x v="1"/>
    <x v="0"/>
  </r>
  <r>
    <n v="1023735406"/>
    <n v="10"/>
    <s v="4"/>
    <s v="5"/>
    <s v="V25OAZAB"/>
    <d v="2026-05-09T00:00:00"/>
    <s v="VMT_Red_VQ_VFE1"/>
    <x v="2"/>
    <x v="2"/>
    <x v="0"/>
  </r>
  <r>
    <n v="1024908003"/>
    <n v="0"/>
    <s v="3"/>
    <s v="1"/>
    <s v="V25OAZAB"/>
    <d v="2026-05-09T00:00:00"/>
    <s v="VMT_Red_VQ_VFE1"/>
    <x v="2"/>
    <x v="2"/>
    <x v="1"/>
  </r>
  <r>
    <n v="1033205019"/>
    <n v="10"/>
    <s v="4"/>
    <s v="5"/>
    <s v="V25AMAHMOUD45"/>
    <d v="2026-05-09T00:00:00"/>
    <s v="VMT_Red_VQ_VFE1"/>
    <x v="20"/>
    <x v="2"/>
    <x v="0"/>
  </r>
  <r>
    <n v="1055000725"/>
    <n v="10"/>
    <s v="1"/>
    <s v="5"/>
    <s v="V23MGELIL"/>
    <d v="2026-05-09T00:00:00"/>
    <s v="VMT_Red_VQ_VFE1"/>
    <x v="32"/>
    <x v="1"/>
    <x v="0"/>
  </r>
  <r>
    <n v="1055559085"/>
    <n v="10"/>
    <s v="1"/>
    <s v="5"/>
    <s v="V25MSALAH21"/>
    <d v="2026-05-09T00:00:00"/>
    <s v="VMT_Red_VQ_VFE1"/>
    <x v="29"/>
    <x v="1"/>
    <x v="0"/>
  </r>
  <r>
    <n v="1064445354"/>
    <n v="10"/>
    <s v="1"/>
    <s v="5"/>
    <s v="V25ZDONKOL"/>
    <d v="2026-05-09T00:00:00"/>
    <s v="VMT_Red_VQ_VFE1"/>
    <x v="26"/>
    <x v="3"/>
    <x v="0"/>
  </r>
  <r>
    <n v="1080080528"/>
    <n v="0"/>
    <s v="3"/>
    <s v="1"/>
    <s v="V25IGHONIMY"/>
    <d v="2026-05-09T00:00:00"/>
    <s v="VMT_Red_VQ_VFE1"/>
    <x v="4"/>
    <x v="3"/>
    <x v="1"/>
  </r>
  <r>
    <n v="1090009666"/>
    <n v="10"/>
    <s v="1"/>
    <s v="5"/>
    <s v="V25IZAKARIA"/>
    <d v="2026-05-09T00:00:00"/>
    <s v="VMT_Red_VQ_VFE1"/>
    <x v="24"/>
    <x v="1"/>
    <x v="0"/>
  </r>
  <r>
    <n v="1090666680"/>
    <n v="10"/>
    <s v="1"/>
    <s v="5"/>
    <s v="V25IZAKARIA"/>
    <d v="2026-05-09T00:00:00"/>
    <s v="VMT_Red_VQ_VFE1"/>
    <x v="24"/>
    <x v="1"/>
    <x v="0"/>
  </r>
  <r>
    <n v="1153143786"/>
    <n v="8"/>
    <s v="4"/>
    <s v="5"/>
    <s v="V25OAZAB"/>
    <d v="2026-05-09T00:00:00"/>
    <s v="VMT_Red_VQ_VFE1"/>
    <x v="2"/>
    <x v="2"/>
    <x v="2"/>
  </r>
  <r>
    <n v="1000033147"/>
    <n v="10"/>
    <s v="1"/>
    <s v="5"/>
    <s v="V25TAHMED3"/>
    <d v="2026-05-10T00:00:00"/>
    <s v="VMT_Red_VQ_VFE1"/>
    <x v="31"/>
    <x v="3"/>
    <x v="0"/>
  </r>
  <r>
    <n v="1000877117"/>
    <n v="10"/>
    <s v="1"/>
    <s v="5"/>
    <s v="V26MMAHDY"/>
    <d v="2026-05-10T00:00:00"/>
    <s v="VMT_Red_VQ_VFE1"/>
    <x v="9"/>
    <x v="3"/>
    <x v="0"/>
  </r>
  <r>
    <n v="1001073051"/>
    <n v="10"/>
    <s v="1"/>
    <s v="5"/>
    <s v="V25MFARAG10"/>
    <d v="2026-05-10T00:00:00"/>
    <s v="VMT_Red_VQ_VFE1"/>
    <x v="23"/>
    <x v="0"/>
    <x v="0"/>
  </r>
  <r>
    <n v="1003250660"/>
    <n v="0"/>
    <s v="3"/>
    <s v="1"/>
    <s v="V25HHASSAN50"/>
    <d v="2026-05-10T00:00:00"/>
    <s v="VMT_Red_VQ_VFE1"/>
    <x v="8"/>
    <x v="2"/>
    <x v="1"/>
  </r>
  <r>
    <n v="1003532624"/>
    <n v="10"/>
    <s v="1"/>
    <s v="5"/>
    <s v="V25AWAHIB"/>
    <d v="2026-05-10T00:00:00"/>
    <s v="VMT_Red_VQ_VFE1"/>
    <x v="6"/>
    <x v="0"/>
    <x v="0"/>
  </r>
  <r>
    <n v="1004860144"/>
    <n v="10"/>
    <s v="4"/>
    <s v="5"/>
    <s v="V25TAHMED3"/>
    <d v="2026-05-10T00:00:00"/>
    <s v="VMT_Red_VQ_VFE1"/>
    <x v="31"/>
    <x v="3"/>
    <x v="0"/>
  </r>
  <r>
    <n v="1004915114"/>
    <n v="10"/>
    <s v="1"/>
    <s v="5"/>
    <s v="V24SAHMED28"/>
    <d v="2026-05-10T00:00:00"/>
    <s v="VMT_Red_VQ_VFE1"/>
    <x v="16"/>
    <x v="2"/>
    <x v="0"/>
  </r>
  <r>
    <n v="1011091760"/>
    <n v="10"/>
    <s v="3"/>
    <s v="5"/>
    <s v="V24SAHMED28"/>
    <d v="2026-05-10T00:00:00"/>
    <s v="VMT_Red_VQ_VFE1"/>
    <x v="16"/>
    <x v="2"/>
    <x v="0"/>
  </r>
  <r>
    <n v="1011112461"/>
    <n v="10"/>
    <s v="1"/>
    <s v="5"/>
    <s v="V25OALLAH9"/>
    <d v="2026-05-10T00:00:00"/>
    <s v="VMT_Red_VQ_VFE1"/>
    <x v="3"/>
    <x v="0"/>
    <x v="0"/>
  </r>
  <r>
    <n v="1016496127"/>
    <n v="10"/>
    <s v="4"/>
    <s v="5"/>
    <s v="V25OAZAB"/>
    <d v="2026-05-10T00:00:00"/>
    <s v="VMT_Red_VQ_VFE1"/>
    <x v="2"/>
    <x v="2"/>
    <x v="0"/>
  </r>
  <r>
    <n v="1021456984"/>
    <n v="10"/>
    <s v="4"/>
    <s v="5"/>
    <s v="V23MGELIL"/>
    <d v="2026-05-10T00:00:00"/>
    <s v="VMT_Red_VQ_VFE1"/>
    <x v="32"/>
    <x v="1"/>
    <x v="0"/>
  </r>
  <r>
    <n v="1024307793"/>
    <n v="10"/>
    <s v="2"/>
    <s v="5"/>
    <s v="V25EMAHFOD"/>
    <d v="2026-05-10T00:00:00"/>
    <s v="VMT_Red_VQ_VFE1"/>
    <x v="15"/>
    <x v="0"/>
    <x v="0"/>
  </r>
  <r>
    <n v="1028202031"/>
    <n v="8"/>
    <s v="4"/>
    <s v="5"/>
    <s v="V25MHAMDY1"/>
    <d v="2026-05-10T00:00:00"/>
    <s v="VMT_Red_VQ_VFE1"/>
    <x v="17"/>
    <x v="2"/>
    <x v="2"/>
  </r>
  <r>
    <n v="1032398029"/>
    <n v="10"/>
    <s v="1"/>
    <s v="5"/>
    <s v="V25YMOHAMED24"/>
    <d v="2026-05-10T00:00:00"/>
    <s v="VMT_Red_VQ_VFE1"/>
    <x v="13"/>
    <x v="2"/>
    <x v="0"/>
  </r>
  <r>
    <n v="1032463484"/>
    <n v="0"/>
    <s v="3"/>
    <s v="1"/>
    <s v="V26AFATHY2"/>
    <d v="2026-05-10T00:00:00"/>
    <s v="VMT_Red_VQ_VFE1"/>
    <x v="19"/>
    <x v="1"/>
    <x v="1"/>
  </r>
  <r>
    <n v="1033591028"/>
    <n v="1"/>
    <s v="4"/>
    <s v="5"/>
    <s v="V25IGHONIMY"/>
    <d v="2026-05-10T00:00:00"/>
    <s v="VMT_Red_VQ_VFE1"/>
    <x v="4"/>
    <x v="3"/>
    <x v="1"/>
  </r>
  <r>
    <n v="1035553544"/>
    <n v="2"/>
    <s v="4"/>
    <s v="3"/>
    <s v="V25NSAEED1"/>
    <d v="2026-05-10T00:00:00"/>
    <s v="VMT_Red_VQ_VFE1"/>
    <x v="10"/>
    <x v="2"/>
    <x v="1"/>
  </r>
  <r>
    <n v="1063201006"/>
    <n v="10"/>
    <s v="3"/>
    <s v="4"/>
    <s v="V26AFATHY2"/>
    <d v="2026-05-10T00:00:00"/>
    <s v="VMT_Red_VQ_VFE1"/>
    <x v="19"/>
    <x v="1"/>
    <x v="0"/>
  </r>
  <r>
    <n v="1065337299"/>
    <n v="5"/>
    <s v="1"/>
    <s v="5"/>
    <s v="V25YMOHAMED24"/>
    <d v="2026-05-10T00:00:00"/>
    <s v="VMT_Red_VQ_VFE1"/>
    <x v="13"/>
    <x v="2"/>
    <x v="1"/>
  </r>
  <r>
    <n v="1066144146"/>
    <n v="10"/>
    <s v="4"/>
    <s v="5"/>
    <s v="V25MHAMDY1"/>
    <d v="2026-05-10T00:00:00"/>
    <s v="VMT_Red_VQ_VFE1"/>
    <x v="17"/>
    <x v="2"/>
    <x v="0"/>
  </r>
  <r>
    <n v="1080489068"/>
    <n v="0"/>
    <s v="3"/>
    <s v="1"/>
    <s v="V25TAHMED3"/>
    <d v="2026-05-10T00:00:00"/>
    <s v="VMT_Red_VQ_VFE1"/>
    <x v="31"/>
    <x v="3"/>
    <x v="1"/>
  </r>
  <r>
    <n v="1094742149"/>
    <n v="8"/>
    <s v="1"/>
    <s v="5"/>
    <s v="V25OALLAH9"/>
    <d v="2026-05-10T00:00:00"/>
    <s v="VMT_Red_VQ_VFE1"/>
    <x v="3"/>
    <x v="0"/>
    <x v="2"/>
  </r>
  <r>
    <n v="1096712464"/>
    <n v="10"/>
    <s v="4"/>
    <s v="5"/>
    <s v="V25AMAHMOUD45"/>
    <d v="2026-05-10T00:00:00"/>
    <s v="VMT_Red_VQ_VFE1"/>
    <x v="20"/>
    <x v="2"/>
    <x v="0"/>
  </r>
  <r>
    <n v="1096883066"/>
    <n v="0"/>
    <s v="3"/>
    <s v="5"/>
    <s v="V24AHASSAN6"/>
    <d v="2026-05-10T00:00:00"/>
    <s v="VMT_Red_VQ_VFE1"/>
    <x v="33"/>
    <x v="2"/>
    <x v="1"/>
  </r>
  <r>
    <n v="1097979783"/>
    <n v="10"/>
    <s v="2"/>
    <s v="5"/>
    <s v="V25YMOHAMED24"/>
    <d v="2026-05-10T00:00:00"/>
    <s v="VMT_Red_VQ_VFE1"/>
    <x v="13"/>
    <x v="2"/>
    <x v="0"/>
  </r>
  <r>
    <n v="1099594136"/>
    <n v="10"/>
    <s v="4"/>
    <s v="5"/>
    <s v="V25EMAHFOD"/>
    <d v="2026-05-10T00:00:00"/>
    <s v="VMT_Red_VQ_VFE1"/>
    <x v="15"/>
    <x v="0"/>
    <x v="0"/>
  </r>
  <r>
    <n v="1099923455"/>
    <n v="9"/>
    <s v="1"/>
    <s v="5"/>
    <s v="V25EMAHFOD"/>
    <d v="2026-05-10T00:00:00"/>
    <s v="VMT_Red_VQ_VFE1"/>
    <x v="15"/>
    <x v="0"/>
    <x v="0"/>
  </r>
  <r>
    <n v="1001273833"/>
    <n v="10"/>
    <s v="4"/>
    <s v="5"/>
    <s v="V25MHAMDY1"/>
    <d v="2026-05-11T00:00:00"/>
    <s v="VMT_Red_VQ_VFE1"/>
    <x v="17"/>
    <x v="2"/>
    <x v="0"/>
  </r>
  <r>
    <n v="1002283588"/>
    <n v="10"/>
    <s v="1"/>
    <s v="5"/>
    <s v="V26YMOFLEH"/>
    <d v="2026-05-11T00:00:00"/>
    <s v="VMT_Red_VQ_VFE1"/>
    <x v="25"/>
    <x v="0"/>
    <x v="0"/>
  </r>
  <r>
    <n v="1005526999"/>
    <n v="7"/>
    <s v="4"/>
    <s v="5"/>
    <s v="V25MHAMDY1"/>
    <d v="2026-05-11T00:00:00"/>
    <s v="VMT_Red_VQ_VFE1"/>
    <x v="17"/>
    <x v="2"/>
    <x v="2"/>
  </r>
  <r>
    <n v="1006474198"/>
    <n v="8"/>
    <s v="4"/>
    <s v="3"/>
    <s v="V25YMOHAMED24"/>
    <d v="2026-05-11T00:00:00"/>
    <s v="VMT_Red_VQ_VFE1"/>
    <x v="13"/>
    <x v="2"/>
    <x v="2"/>
  </r>
  <r>
    <n v="1011187910"/>
    <n v="10"/>
    <s v="1"/>
    <s v="5"/>
    <s v="V25AFADEEL2"/>
    <d v="2026-05-11T00:00:00"/>
    <s v="VMT_Red_VQ_VFE1"/>
    <x v="5"/>
    <x v="3"/>
    <x v="0"/>
  </r>
  <r>
    <n v="1012594282"/>
    <n v="5"/>
    <s v="3"/>
    <s v="3"/>
    <s v="V25YMOHAMED24"/>
    <d v="2026-05-11T00:00:00"/>
    <s v="VMT_Red_VQ_VFE1"/>
    <x v="13"/>
    <x v="2"/>
    <x v="1"/>
  </r>
  <r>
    <n v="1013057279"/>
    <n v="8"/>
    <s v="3"/>
    <s v="4"/>
    <s v="V26AFATHY2"/>
    <d v="2026-05-11T00:00:00"/>
    <s v="VMT_Red_VQ_VFE1"/>
    <x v="19"/>
    <x v="1"/>
    <x v="2"/>
  </r>
  <r>
    <n v="1013260517"/>
    <n v="1"/>
    <s v="1"/>
    <s v="5"/>
    <s v="V26AFATHY2"/>
    <d v="2026-05-11T00:00:00"/>
    <s v="VMT_Red_VQ_VFE1"/>
    <x v="19"/>
    <x v="1"/>
    <x v="1"/>
  </r>
  <r>
    <n v="1017188877"/>
    <n v="10"/>
    <s v="1"/>
    <s v="5"/>
    <s v="V25OALLAH9"/>
    <d v="2026-05-11T00:00:00"/>
    <s v="VMT_Red_VQ_VFE1"/>
    <x v="3"/>
    <x v="0"/>
    <x v="0"/>
  </r>
  <r>
    <n v="1026030501"/>
    <n v="10"/>
    <s v="1"/>
    <s v="5"/>
    <s v="V25OALLAH9"/>
    <d v="2026-05-11T00:00:00"/>
    <s v="VMT_Red_VQ_VFE1"/>
    <x v="3"/>
    <x v="0"/>
    <x v="0"/>
  </r>
  <r>
    <n v="1026610189"/>
    <n v="10"/>
    <s v="4"/>
    <s v="2"/>
    <s v="V26YMOFLEH"/>
    <d v="2026-05-11T00:00:00"/>
    <s v="VMT_Red_VQ_VFE1"/>
    <x v="25"/>
    <x v="0"/>
    <x v="0"/>
  </r>
  <r>
    <n v="1031343433"/>
    <n v="10"/>
    <s v="1"/>
    <s v="5"/>
    <s v="V25HAHMED43"/>
    <d v="2026-05-11T00:00:00"/>
    <s v="VMT_Red_VQ_VFE1"/>
    <x v="7"/>
    <x v="1"/>
    <x v="0"/>
  </r>
  <r>
    <n v="1032765542"/>
    <n v="10"/>
    <s v="1"/>
    <s v="5"/>
    <s v="V25OAZAB"/>
    <d v="2026-05-11T00:00:00"/>
    <s v="VMT_Red_VQ_VFE1"/>
    <x v="2"/>
    <x v="2"/>
    <x v="0"/>
  </r>
  <r>
    <n v="1036682366"/>
    <n v="10"/>
    <s v="1"/>
    <s v="5"/>
    <s v="V25MKHATTAB1"/>
    <d v="2026-05-11T00:00:00"/>
    <s v="VMT_Red_VQ_VFE1"/>
    <x v="21"/>
    <x v="0"/>
    <x v="0"/>
  </r>
  <r>
    <n v="1044440598"/>
    <n v="0"/>
    <s v="3"/>
    <s v="1"/>
    <s v="V25OALLAH9"/>
    <d v="2026-05-11T00:00:00"/>
    <s v="VMT_Red_VQ_VFE1"/>
    <x v="3"/>
    <x v="0"/>
    <x v="1"/>
  </r>
  <r>
    <n v="1055599899"/>
    <n v="9"/>
    <s v="4"/>
    <s v="5"/>
    <s v="V25AFADEEL2"/>
    <d v="2026-05-11T00:00:00"/>
    <s v="VMT_Red_VQ_VFE1"/>
    <x v="5"/>
    <x v="3"/>
    <x v="0"/>
  </r>
  <r>
    <n v="1060431060"/>
    <n v="9"/>
    <s v="1"/>
    <s v="5"/>
    <s v="V25EMAHFOD"/>
    <d v="2026-05-11T00:00:00"/>
    <s v="VMT_Red_VQ_VFE1"/>
    <x v="15"/>
    <x v="0"/>
    <x v="0"/>
  </r>
  <r>
    <n v="1063167783"/>
    <n v="10"/>
    <s v="1"/>
    <s v="5"/>
    <s v="V25MMANSOUR10"/>
    <d v="2026-05-11T00:00:00"/>
    <s v="VMT_Red_VQ_VFE1"/>
    <x v="11"/>
    <x v="0"/>
    <x v="0"/>
  </r>
  <r>
    <n v="1064621186"/>
    <n v="10"/>
    <s v="4"/>
    <s v="5"/>
    <s v="V25MMANSOUR10"/>
    <d v="2026-05-11T00:00:00"/>
    <s v="VMT_VQ_VFE3"/>
    <x v="11"/>
    <x v="0"/>
    <x v="0"/>
  </r>
  <r>
    <n v="1068370983"/>
    <n v="10"/>
    <s v="1"/>
    <s v="5"/>
    <s v="V25AMAHMOUD45"/>
    <d v="2026-05-11T00:00:00"/>
    <s v="VMT_Red_VQ_VFE1"/>
    <x v="20"/>
    <x v="2"/>
    <x v="0"/>
  </r>
  <r>
    <n v="1068371315"/>
    <n v="10"/>
    <s v="1"/>
    <s v="5"/>
    <s v="V25MMANSOUR10"/>
    <d v="2026-05-11T00:00:00"/>
    <s v="VMT_VQ_VFE3"/>
    <x v="11"/>
    <x v="0"/>
    <x v="0"/>
  </r>
  <r>
    <n v="1093237237"/>
    <n v="10"/>
    <s v="1"/>
    <s v="5"/>
    <s v="V25MMANSOUR10"/>
    <d v="2026-05-11T00:00:00"/>
    <s v="VMT_Red_VQ_VFE1"/>
    <x v="11"/>
    <x v="0"/>
    <x v="0"/>
  </r>
  <r>
    <n v="1094631111"/>
    <n v="10"/>
    <s v="2"/>
    <s v="5"/>
    <s v="V25MSALAH21"/>
    <d v="2026-05-11T00:00:00"/>
    <s v="VMT_Red_VQ_VFE1"/>
    <x v="29"/>
    <x v="1"/>
    <x v="0"/>
  </r>
  <r>
    <n v="1097966517"/>
    <n v="10"/>
    <s v="1"/>
    <s v="5"/>
    <s v="V25NSAEED1"/>
    <d v="2026-05-11T00:00:00"/>
    <s v="VMT_Red_VQ_VFE1"/>
    <x v="10"/>
    <x v="2"/>
    <x v="0"/>
  </r>
  <r>
    <n v="1119838888"/>
    <n v="9"/>
    <s v="1"/>
    <s v="5"/>
    <s v="V25MFARAG10"/>
    <d v="2026-05-11T00:00:00"/>
    <s v="VMT_Red_VQ_VFE1"/>
    <x v="23"/>
    <x v="0"/>
    <x v="0"/>
  </r>
  <r>
    <n v="1145317379"/>
    <n v="10"/>
    <s v="4"/>
    <s v="5"/>
    <s v="V25MFARAG10"/>
    <d v="2026-05-11T00:00:00"/>
    <s v="VMT_Red_VQ_VFE1"/>
    <x v="23"/>
    <x v="0"/>
    <x v="0"/>
  </r>
  <r>
    <n v="1224869096"/>
    <n v="10"/>
    <s v="1"/>
    <s v="5"/>
    <s v="V25MHAMDY1"/>
    <d v="2026-05-11T00:00:00"/>
    <s v="VMT_Red_VQ_VFE1"/>
    <x v="17"/>
    <x v="2"/>
    <x v="0"/>
  </r>
  <r>
    <n v="1002750256"/>
    <n v="10"/>
    <s v="1"/>
    <s v="5"/>
    <s v="V25BHASSAN3"/>
    <d v="2026-05-12T00:00:00"/>
    <s v="VMT_Red_VQ_VFE1"/>
    <x v="12"/>
    <x v="2"/>
    <x v="0"/>
  </r>
  <r>
    <n v="1004146313"/>
    <n v="0"/>
    <s v="3"/>
    <s v="2"/>
    <s v="V25YMOHAMED24"/>
    <d v="2026-05-12T00:00:00"/>
    <s v="VMT_Red_VQ_VFE1"/>
    <x v="13"/>
    <x v="2"/>
    <x v="1"/>
  </r>
  <r>
    <n v="1005464420"/>
    <n v="10"/>
    <s v="1"/>
    <s v="5"/>
    <s v="V25AWAHIB"/>
    <d v="2026-05-12T00:00:00"/>
    <s v="VMT_Red_VQ_VFE1"/>
    <x v="6"/>
    <x v="0"/>
    <x v="0"/>
  </r>
  <r>
    <n v="1006494170"/>
    <n v="10"/>
    <s v="1"/>
    <s v="5"/>
    <s v="V25PSHEHATA"/>
    <d v="2026-05-12T00:00:00"/>
    <s v="VMT_Red_VQ_VFE1"/>
    <x v="0"/>
    <x v="0"/>
    <x v="0"/>
  </r>
  <r>
    <n v="1007770274"/>
    <n v="9"/>
    <s v="1"/>
    <s v="5"/>
    <s v="V25OAZAB"/>
    <d v="2026-05-12T00:00:00"/>
    <s v="VMT_Red_VQ_VFE1"/>
    <x v="2"/>
    <x v="2"/>
    <x v="0"/>
  </r>
  <r>
    <n v="1007816600"/>
    <n v="9"/>
    <s v="1"/>
    <s v="5"/>
    <s v="V25ARIZK"/>
    <d v="2026-05-12T00:00:00"/>
    <s v="VMT_Red_VQ_VFE1"/>
    <x v="35"/>
    <x v="1"/>
    <x v="0"/>
  </r>
  <r>
    <n v="1012082059"/>
    <n v="0"/>
    <s v="4"/>
    <s v="3"/>
    <s v="V26YMOFLEH"/>
    <d v="2026-05-12T00:00:00"/>
    <s v="VMT_Red_VQ_VFE1"/>
    <x v="25"/>
    <x v="0"/>
    <x v="1"/>
  </r>
  <r>
    <n v="1013933472"/>
    <n v="10"/>
    <s v="4"/>
    <s v="5"/>
    <s v="V24SAHMED28"/>
    <d v="2026-05-12T00:00:00"/>
    <s v="VMT_Red_VQ_VFE1"/>
    <x v="16"/>
    <x v="2"/>
    <x v="0"/>
  </r>
  <r>
    <n v="1021033509"/>
    <n v="10"/>
    <s v="1"/>
    <s v="5"/>
    <s v="V25MFARAG10"/>
    <d v="2026-05-12T00:00:00"/>
    <s v="VMT_Red_VQ_VFE1"/>
    <x v="23"/>
    <x v="0"/>
    <x v="0"/>
  </r>
  <r>
    <n v="1021751111"/>
    <n v="9"/>
    <s v="4"/>
    <s v="5"/>
    <s v="V25AMAHMOUD45"/>
    <d v="2026-05-12T00:00:00"/>
    <s v="VMT_Red_VQ_VFE1"/>
    <x v="20"/>
    <x v="2"/>
    <x v="0"/>
  </r>
  <r>
    <n v="1024134615"/>
    <n v="10"/>
    <s v="1"/>
    <s v="5"/>
    <s v="V25PSHEHATA"/>
    <d v="2026-05-12T00:00:00"/>
    <s v="VMT_Red_VQ_VFE1"/>
    <x v="0"/>
    <x v="0"/>
    <x v="0"/>
  </r>
  <r>
    <n v="1027219887"/>
    <n v="10"/>
    <s v="4"/>
    <s v="5"/>
    <s v="V25TAHMED3"/>
    <d v="2026-05-12T00:00:00"/>
    <s v="VMT_Red_VQ_VFE1"/>
    <x v="31"/>
    <x v="3"/>
    <x v="0"/>
  </r>
  <r>
    <n v="1028783630"/>
    <n v="9"/>
    <s v="4"/>
    <s v="5"/>
    <s v="V26MMAHDY"/>
    <d v="2026-05-12T00:00:00"/>
    <s v="VMT_Red_VQ_VFE1"/>
    <x v="9"/>
    <x v="3"/>
    <x v="0"/>
  </r>
  <r>
    <n v="1030001009"/>
    <n v="9"/>
    <s v="4"/>
    <s v="5"/>
    <s v="V24SAHMED28"/>
    <d v="2026-05-12T00:00:00"/>
    <s v="VMT_Red_VQ_VFE1"/>
    <x v="16"/>
    <x v="2"/>
    <x v="0"/>
  </r>
  <r>
    <n v="1032625548"/>
    <n v="9"/>
    <s v="1"/>
    <s v="4"/>
    <s v="V24SAHMED28"/>
    <d v="2026-05-12T00:00:00"/>
    <s v="VMT_Red_VQ_VFE1"/>
    <x v="16"/>
    <x v="2"/>
    <x v="0"/>
  </r>
  <r>
    <n v="1036222722"/>
    <n v="10"/>
    <s v="1"/>
    <s v="5"/>
    <s v="V25OAZAB"/>
    <d v="2026-05-12T00:00:00"/>
    <s v="VMT_Red_VQ_VFE1"/>
    <x v="2"/>
    <x v="2"/>
    <x v="0"/>
  </r>
  <r>
    <n v="1065277718"/>
    <n v="10"/>
    <s v="3"/>
    <s v="5"/>
    <s v="V25AMAHMOUD45"/>
    <d v="2026-05-12T00:00:00"/>
    <s v="VMT_Red_VQ_VFE1"/>
    <x v="20"/>
    <x v="2"/>
    <x v="0"/>
  </r>
  <r>
    <n v="1066633691"/>
    <n v="10"/>
    <s v="1"/>
    <s v="5"/>
    <s v="V25IGHONIMY"/>
    <d v="2026-05-12T00:00:00"/>
    <s v="VMT_Red_VQ_VFE1"/>
    <x v="4"/>
    <x v="3"/>
    <x v="0"/>
  </r>
  <r>
    <n v="1069334850"/>
    <n v="9"/>
    <s v="1"/>
    <s v="5"/>
    <s v="V25SSAYED67"/>
    <d v="2026-05-12T00:00:00"/>
    <s v="VMT_Red_VQ_VFE1"/>
    <x v="28"/>
    <x v="1"/>
    <x v="0"/>
  </r>
  <r>
    <n v="1069976962"/>
    <n v="10"/>
    <s v="1"/>
    <s v="5"/>
    <s v="V25SSAYED67"/>
    <d v="2026-05-12T00:00:00"/>
    <s v="VMT_Red_VQ_VFE1"/>
    <x v="28"/>
    <x v="1"/>
    <x v="0"/>
  </r>
  <r>
    <n v="1090048247"/>
    <n v="10"/>
    <s v="3"/>
    <s v="5"/>
    <s v="V25AEWIS2"/>
    <d v="2026-05-12T00:00:00"/>
    <s v="VMT_Red_VQ_VFE1"/>
    <x v="1"/>
    <x v="1"/>
    <x v="0"/>
  </r>
  <r>
    <n v="1090784847"/>
    <n v="9"/>
    <s v="1"/>
    <s v="5"/>
    <s v="V25IGHONIMY"/>
    <d v="2026-05-12T00:00:00"/>
    <s v="VMT_Red_VQ_VFE1"/>
    <x v="4"/>
    <x v="3"/>
    <x v="0"/>
  </r>
  <r>
    <n v="1092343195"/>
    <n v="10"/>
    <s v="1"/>
    <s v="1"/>
    <s v="V24SAHMED28"/>
    <d v="2026-05-12T00:00:00"/>
    <s v="VMT_Red_VQ_VFE1"/>
    <x v="16"/>
    <x v="2"/>
    <x v="0"/>
  </r>
  <r>
    <n v="1099157562"/>
    <n v="10"/>
    <s v="1"/>
    <s v="5"/>
    <s v="V25AMAHMOUD45"/>
    <d v="2026-05-12T00:00:00"/>
    <s v="VMT_Red_VQ_VFE1"/>
    <x v="20"/>
    <x v="2"/>
    <x v="0"/>
  </r>
  <r>
    <n v="1099563422"/>
    <n v="10"/>
    <s v="1"/>
    <s v="5"/>
    <s v="V25IGHONIMY"/>
    <d v="2026-05-12T00:00:00"/>
    <s v="VMT_Red_VQ_VFE1"/>
    <x v="4"/>
    <x v="3"/>
    <x v="0"/>
  </r>
  <r>
    <n v="1002077069"/>
    <n v="10"/>
    <s v="4"/>
    <s v="5"/>
    <s v="V25AMAHMOUD45"/>
    <d v="2026-05-13T00:00:00"/>
    <s v="VMT_Red_VQ_VFE1"/>
    <x v="20"/>
    <x v="2"/>
    <x v="0"/>
  </r>
  <r>
    <n v="1003366117"/>
    <n v="10"/>
    <s v="4"/>
    <s v="5"/>
    <s v="V25NSAEED1"/>
    <d v="2026-05-13T00:00:00"/>
    <s v="VMT_Red_VQ_VFE1"/>
    <x v="10"/>
    <x v="2"/>
    <x v="0"/>
  </r>
  <r>
    <n v="1004836344"/>
    <n v="9"/>
    <s v="1"/>
    <s v="1"/>
    <s v="V24SAHMED28"/>
    <d v="2026-05-13T00:00:00"/>
    <s v="VMT_Red_VQ_VFE1"/>
    <x v="16"/>
    <x v="2"/>
    <x v="0"/>
  </r>
  <r>
    <n v="1005314040"/>
    <n v="0"/>
    <s v="4"/>
    <s v="1"/>
    <s v="V25AWAHIB"/>
    <d v="2026-05-13T00:00:00"/>
    <s v="VMT_Red_VQ_VFE1"/>
    <x v="6"/>
    <x v="0"/>
    <x v="1"/>
  </r>
  <r>
    <n v="1005572002"/>
    <n v="7"/>
    <s v="1"/>
    <s v="5"/>
    <s v="V25YMOHAMED24"/>
    <d v="2026-05-13T00:00:00"/>
    <s v="VMT_Red_VQ_VFE1"/>
    <x v="13"/>
    <x v="2"/>
    <x v="2"/>
  </r>
  <r>
    <n v="1008477539"/>
    <n v="0"/>
    <s v="3"/>
    <s v="1"/>
    <s v="V25ZDONKOL"/>
    <d v="2026-05-13T00:00:00"/>
    <s v="VMT_Red_VQ_VFE1"/>
    <x v="26"/>
    <x v="3"/>
    <x v="1"/>
  </r>
  <r>
    <n v="1011272820"/>
    <n v="8"/>
    <s v="1"/>
    <s v="5"/>
    <s v="V25PSHEHATA"/>
    <d v="2026-05-13T00:00:00"/>
    <s v="VMT_Red_VQ_VFE1"/>
    <x v="0"/>
    <x v="0"/>
    <x v="2"/>
  </r>
  <r>
    <n v="1013088919"/>
    <n v="10"/>
    <s v="1"/>
    <s v="5"/>
    <s v="V25OALLAH9"/>
    <d v="2026-05-13T00:00:00"/>
    <s v="VMT_Red_VQ_VFE1"/>
    <x v="3"/>
    <x v="0"/>
    <x v="0"/>
  </r>
  <r>
    <n v="1014830604"/>
    <n v="10"/>
    <s v="4"/>
    <s v="5"/>
    <s v="V25AFADEEL2"/>
    <d v="2026-05-13T00:00:00"/>
    <s v="VMT_Red_VQ_VFE1"/>
    <x v="5"/>
    <x v="3"/>
    <x v="0"/>
  </r>
  <r>
    <n v="1028268508"/>
    <n v="8"/>
    <s v="1"/>
    <s v="5"/>
    <s v="V25IZAKARIA"/>
    <d v="2026-05-13T00:00:00"/>
    <s v="VMT_Red_VQ_VFE1"/>
    <x v="24"/>
    <x v="1"/>
    <x v="2"/>
  </r>
  <r>
    <n v="1044526644"/>
    <n v="0"/>
    <s v="4"/>
    <s v="5"/>
    <s v="V25YMOHAMED7"/>
    <d v="2026-05-13T00:00:00"/>
    <s v="VMT_Red_VQ_VFE1"/>
    <x v="36"/>
    <x v="1"/>
    <x v="1"/>
  </r>
  <r>
    <n v="1050154074"/>
    <n v="0"/>
    <s v="1"/>
    <s v="5"/>
    <s v="V25EMAHFOD"/>
    <d v="2026-05-13T00:00:00"/>
    <s v="VMT_Red_VQ_VFE1"/>
    <x v="15"/>
    <x v="0"/>
    <x v="1"/>
  </r>
  <r>
    <n v="1060060793"/>
    <n v="10"/>
    <s v="4"/>
    <s v="5"/>
    <s v="V25ZDONKOL"/>
    <d v="2026-05-13T00:00:00"/>
    <s v="VMT_Red_VQ_VFE1"/>
    <x v="26"/>
    <x v="3"/>
    <x v="0"/>
  </r>
  <r>
    <n v="1060122234"/>
    <n v="10"/>
    <s v="1"/>
    <s v="5"/>
    <s v="V26AFATHY2"/>
    <d v="2026-05-13T00:00:00"/>
    <s v="VMT_Red_VQ_VFE1"/>
    <x v="19"/>
    <x v="1"/>
    <x v="0"/>
  </r>
  <r>
    <n v="1060149029"/>
    <n v="10"/>
    <s v="4"/>
    <s v="5"/>
    <s v="V25MRAHMAN20"/>
    <d v="2026-05-13T00:00:00"/>
    <s v="VMT_Red_VQ_VFE1"/>
    <x v="22"/>
    <x v="1"/>
    <x v="0"/>
  </r>
  <r>
    <n v="1060734865"/>
    <n v="10"/>
    <s v="1"/>
    <s v="5"/>
    <s v="V25AMAHMOUD45"/>
    <d v="2026-05-13T00:00:00"/>
    <s v="VMT_Red_VQ_VFE1"/>
    <x v="20"/>
    <x v="2"/>
    <x v="0"/>
  </r>
  <r>
    <n v="1064342518"/>
    <n v="8"/>
    <s v="3"/>
    <s v="5"/>
    <s v="V25IZAKARIA"/>
    <d v="2026-05-13T00:00:00"/>
    <s v="VMT_Red_VQ_VFE1"/>
    <x v="24"/>
    <x v="1"/>
    <x v="2"/>
  </r>
  <r>
    <n v="1064842737"/>
    <n v="9"/>
    <s v="1"/>
    <s v="5"/>
    <s v="V25SZEKRY"/>
    <d v="2026-05-13T00:00:00"/>
    <s v="VMT_Red_VQ_VFE1"/>
    <x v="27"/>
    <x v="2"/>
    <x v="0"/>
  </r>
  <r>
    <n v="1066779679"/>
    <n v="8"/>
    <s v="1"/>
    <s v="5"/>
    <s v="V25YMOHAMED7"/>
    <d v="2026-05-13T00:00:00"/>
    <s v="VMT_Red_VQ_VFE1"/>
    <x v="36"/>
    <x v="1"/>
    <x v="2"/>
  </r>
  <r>
    <n v="1090005919"/>
    <n v="10"/>
    <s v="4"/>
    <s v="5"/>
    <s v="V25AFADEEL2"/>
    <d v="2026-05-13T00:00:00"/>
    <s v="VMT_Red_VQ_VFE1"/>
    <x v="5"/>
    <x v="3"/>
    <x v="0"/>
  </r>
  <r>
    <n v="1092457495"/>
    <n v="10"/>
    <s v="4"/>
    <s v="5"/>
    <s v="V26AFATHY2"/>
    <d v="2026-05-13T00:00:00"/>
    <s v="VMT_Red_VQ_VFE1"/>
    <x v="19"/>
    <x v="1"/>
    <x v="0"/>
  </r>
  <r>
    <n v="1094933201"/>
    <n v="10"/>
    <s v="1"/>
    <s v="5"/>
    <s v="V25BHASSAN3"/>
    <d v="2026-05-13T00:00:00"/>
    <s v="VMT_Red_VQ_VFE1"/>
    <x v="12"/>
    <x v="2"/>
    <x v="0"/>
  </r>
  <r>
    <n v="1097711160"/>
    <n v="10"/>
    <s v="1"/>
    <s v="5"/>
    <s v="V26YMOFLEH"/>
    <d v="2026-05-13T00:00:00"/>
    <s v="VMT_Red_VQ_VFE1"/>
    <x v="25"/>
    <x v="0"/>
    <x v="0"/>
  </r>
  <r>
    <n v="1005051801"/>
    <n v="10"/>
    <s v="4"/>
    <s v="3"/>
    <s v="V24SAHMED28"/>
    <d v="2026-05-14T00:00:00"/>
    <s v="VMT_Red_VQ_VFE1"/>
    <x v="16"/>
    <x v="2"/>
    <x v="0"/>
  </r>
  <r>
    <n v="1005764081"/>
    <n v="8"/>
    <s v="1"/>
    <s v="5"/>
    <s v="V25MNOAH1"/>
    <d v="2026-05-14T00:00:00"/>
    <s v="VMT_Red_VQ_VFE1"/>
    <x v="37"/>
    <x v="0"/>
    <x v="2"/>
  </r>
  <r>
    <n v="1006959736"/>
    <n v="10"/>
    <s v="1"/>
    <s v="5"/>
    <s v="V25MHAMDY1"/>
    <d v="2026-05-14T00:00:00"/>
    <s v="VMT_Red_VQ_VFE1"/>
    <x v="17"/>
    <x v="2"/>
    <x v="0"/>
  </r>
  <r>
    <n v="1007766639"/>
    <n v="10"/>
    <s v="4"/>
    <s v="5"/>
    <s v="V25SZEKRY"/>
    <d v="2026-05-14T00:00:00"/>
    <s v="VMT_Red_VQ_VFE1"/>
    <x v="27"/>
    <x v="2"/>
    <x v="0"/>
  </r>
  <r>
    <n v="1008404523"/>
    <n v="8"/>
    <s v="4"/>
    <s v="4"/>
    <s v="V26KMOHYELDIN"/>
    <d v="2026-05-14T00:00:00"/>
    <s v="VMT_Red_VQ_VFE1"/>
    <x v="38"/>
    <x v="0"/>
    <x v="2"/>
  </r>
  <r>
    <n v="1012532243"/>
    <n v="9"/>
    <s v="3"/>
    <s v="4"/>
    <s v="V24SAHMED28"/>
    <d v="2026-05-14T00:00:00"/>
    <s v="VMT_Red_VQ_VFE1"/>
    <x v="16"/>
    <x v="2"/>
    <x v="0"/>
  </r>
  <r>
    <n v="1014577908"/>
    <n v="10"/>
    <s v="1"/>
    <s v="5"/>
    <s v="V25OALLAH9"/>
    <d v="2026-05-14T00:00:00"/>
    <s v="VMT_Red_VQ_VFE1"/>
    <x v="3"/>
    <x v="0"/>
    <x v="0"/>
  </r>
  <r>
    <n v="1014714738"/>
    <n v="10"/>
    <s v="3"/>
    <s v="5"/>
    <s v="V26AZAKI2"/>
    <d v="2026-05-14T00:00:00"/>
    <s v="VMT_Red_VQ_VFE1"/>
    <x v="34"/>
    <x v="1"/>
    <x v="0"/>
  </r>
  <r>
    <n v="1018012090"/>
    <n v="5"/>
    <s v="1"/>
    <s v="5"/>
    <s v="V25TOMAR"/>
    <d v="2026-05-14T00:00:00"/>
    <s v="VMT_Red_VQ_VFE1"/>
    <x v="39"/>
    <x v="3"/>
    <x v="1"/>
  </r>
  <r>
    <n v="1021525856"/>
    <n v="10"/>
    <s v="1"/>
    <s v="5"/>
    <s v="V26AMOSLHY"/>
    <d v="2026-05-14T00:00:00"/>
    <s v="VMT_Red_VQ_VFE1"/>
    <x v="30"/>
    <x v="1"/>
    <x v="0"/>
  </r>
  <r>
    <n v="1022855852"/>
    <n v="0"/>
    <s v="4"/>
    <s v="1"/>
    <s v="V26MREDA"/>
    <d v="2026-05-14T00:00:00"/>
    <s v="VMT_Red_VQ_VFE1"/>
    <x v="40"/>
    <x v="2"/>
    <x v="1"/>
  </r>
  <r>
    <n v="1030253903"/>
    <n v="10"/>
    <s v="2"/>
    <s v="5"/>
    <s v="V24SAHMED28"/>
    <d v="2026-05-14T00:00:00"/>
    <s v="VMT_Red_VQ_VFE1"/>
    <x v="16"/>
    <x v="2"/>
    <x v="0"/>
  </r>
  <r>
    <n v="1036144449"/>
    <n v="10"/>
    <s v="1"/>
    <s v="5"/>
    <s v="V25AFADEEL2"/>
    <d v="2026-05-14T00:00:00"/>
    <s v="VMT_Red_VQ_VFE1"/>
    <x v="5"/>
    <x v="3"/>
    <x v="0"/>
  </r>
  <r>
    <n v="1044875575"/>
    <n v="10"/>
    <s v="1"/>
    <s v="5"/>
    <s v="V25MMANSOUR10"/>
    <d v="2026-05-14T00:00:00"/>
    <s v="VMT_Red_VQ_VFE1"/>
    <x v="11"/>
    <x v="0"/>
    <x v="0"/>
  </r>
  <r>
    <n v="1065400356"/>
    <n v="10"/>
    <s v="4"/>
    <s v="5"/>
    <s v="V25SZEKRY"/>
    <d v="2026-05-14T00:00:00"/>
    <s v="VMT_Red_VQ_VFE1"/>
    <x v="27"/>
    <x v="2"/>
    <x v="0"/>
  </r>
  <r>
    <n v="1068383394"/>
    <n v="5"/>
    <s v="1"/>
    <s v="3"/>
    <s v="V26AZAKI2"/>
    <d v="2026-05-14T00:00:00"/>
    <s v="VMT_Red_VQ_VFE1"/>
    <x v="34"/>
    <x v="1"/>
    <x v="1"/>
  </r>
  <r>
    <n v="1092072282"/>
    <n v="10"/>
    <s v="1"/>
    <s v="5"/>
    <s v="V25MMANSOUR10"/>
    <d v="2026-05-14T00:00:00"/>
    <s v="VMT_Red_VQ_VFE1"/>
    <x v="11"/>
    <x v="0"/>
    <x v="0"/>
  </r>
  <r>
    <n v="1097342841"/>
    <n v="0"/>
    <s v="3"/>
    <s v="1"/>
    <s v="V25MMANSOUR10"/>
    <d v="2026-05-14T00:00:00"/>
    <s v="VMT_Red_VQ_VFE1"/>
    <x v="11"/>
    <x v="0"/>
    <x v="1"/>
  </r>
  <r>
    <n v="1099462719"/>
    <n v="7"/>
    <s v="3"/>
    <s v="5"/>
    <s v="V25SZEKRY"/>
    <d v="2026-05-14T00:00:00"/>
    <s v="VMT_Red_VQ_VFE1"/>
    <x v="27"/>
    <x v="2"/>
    <x v="2"/>
  </r>
  <r>
    <n v="1000188599"/>
    <n v="8"/>
    <s v="1"/>
    <s v="5"/>
    <s v="V25OALLAH9"/>
    <d v="2026-05-15T00:00:00"/>
    <s v="VMT_Red_VQ_VFE1"/>
    <x v="3"/>
    <x v="0"/>
    <x v="2"/>
  </r>
  <r>
    <n v="1000235339"/>
    <n v="10"/>
    <s v="1"/>
    <s v="5"/>
    <s v="V26AZAKI2"/>
    <d v="2026-05-15T00:00:00"/>
    <s v="VMT_Red_VQ_VFE1"/>
    <x v="34"/>
    <x v="1"/>
    <x v="0"/>
  </r>
  <r>
    <n v="1000499661"/>
    <n v="10"/>
    <s v="1"/>
    <s v="5"/>
    <s v="V25MKHATTAB1"/>
    <d v="2026-05-15T00:00:00"/>
    <s v="VMT_Red_VQ_VFE1"/>
    <x v="21"/>
    <x v="0"/>
    <x v="0"/>
  </r>
  <r>
    <n v="1002003513"/>
    <n v="5"/>
    <s v="4"/>
    <s v="5"/>
    <s v="V25SZEKRY"/>
    <d v="2026-05-15T00:00:00"/>
    <s v="VMT_Red_VQ_VFE1"/>
    <x v="27"/>
    <x v="2"/>
    <x v="1"/>
  </r>
  <r>
    <n v="1002873622"/>
    <n v="10"/>
    <s v="4"/>
    <s v="5"/>
    <s v="V25AFADEEL2"/>
    <d v="2026-05-15T00:00:00"/>
    <s v="VMT_Red_VQ_VFE1"/>
    <x v="5"/>
    <x v="3"/>
    <x v="0"/>
  </r>
  <r>
    <n v="1003663681"/>
    <n v="8"/>
    <s v="2"/>
    <s v="5"/>
    <s v="V25MRAHMAN20"/>
    <d v="2026-05-15T00:00:00"/>
    <s v="VMT_Red_VQ_VFE1"/>
    <x v="22"/>
    <x v="1"/>
    <x v="2"/>
  </r>
  <r>
    <n v="1004324777"/>
    <n v="10"/>
    <s v="1"/>
    <s v="5"/>
    <s v="V25MHALIM7"/>
    <d v="2026-05-15T00:00:00"/>
    <s v="VMT_Red_VQ_VFE1"/>
    <x v="41"/>
    <x v="0"/>
    <x v="0"/>
  </r>
  <r>
    <n v="1006989050"/>
    <n v="10"/>
    <s v="4"/>
    <s v="5"/>
    <s v="V25MMANSOUR10"/>
    <d v="2026-05-15T00:00:00"/>
    <s v="VMT_VQ_VFE3"/>
    <x v="11"/>
    <x v="0"/>
    <x v="0"/>
  </r>
  <r>
    <n v="1009195741"/>
    <n v="10"/>
    <s v="1"/>
    <s v="5"/>
    <s v="V25OALLAH9"/>
    <d v="2026-05-15T00:00:00"/>
    <s v="VMT_Red_VQ_VFE1"/>
    <x v="3"/>
    <x v="0"/>
    <x v="0"/>
  </r>
  <r>
    <n v="1011210868"/>
    <n v="9"/>
    <s v="4"/>
    <s v="5"/>
    <s v="V25OAZAB"/>
    <d v="2026-05-15T00:00:00"/>
    <s v="VMT_Red_VQ_VFE1"/>
    <x v="2"/>
    <x v="2"/>
    <x v="0"/>
  </r>
  <r>
    <n v="1011785314"/>
    <n v="10"/>
    <s v="4"/>
    <s v="5"/>
    <s v="V25HHASSAN50"/>
    <d v="2026-05-15T00:00:00"/>
    <s v="VMT_Red_VQ_VFE1"/>
    <x v="8"/>
    <x v="2"/>
    <x v="0"/>
  </r>
  <r>
    <n v="1012390132"/>
    <n v="10"/>
    <s v="1"/>
    <s v="5"/>
    <s v="V25ZDONKOL"/>
    <d v="2026-05-15T00:00:00"/>
    <s v="VMT_Red_VQ_VFE1"/>
    <x v="26"/>
    <x v="3"/>
    <x v="0"/>
  </r>
  <r>
    <n v="1013593674"/>
    <n v="10"/>
    <s v="4"/>
    <s v="5"/>
    <s v="V26KMAHROUS"/>
    <d v="2026-05-15T00:00:00"/>
    <s v="VMT_Red_VQ_VFE1"/>
    <x v="42"/>
    <x v="3"/>
    <x v="0"/>
  </r>
  <r>
    <n v="1017922213"/>
    <n v="10"/>
    <s v="1"/>
    <s v="5"/>
    <s v="V26KMOHYELDIN"/>
    <d v="2026-05-15T00:00:00"/>
    <s v="VMT_Red_VQ_VFE1"/>
    <x v="38"/>
    <x v="0"/>
    <x v="0"/>
  </r>
  <r>
    <n v="1018063672"/>
    <n v="8"/>
    <s v="3"/>
    <s v="5"/>
    <s v="V25MNOAH1"/>
    <d v="2026-05-15T00:00:00"/>
    <s v="VMT_Red_VQ_VFE1"/>
    <x v="37"/>
    <x v="0"/>
    <x v="2"/>
  </r>
  <r>
    <n v="1021593251"/>
    <n v="10"/>
    <s v="1"/>
    <s v="5"/>
    <s v="V25OAZAB"/>
    <d v="2026-05-15T00:00:00"/>
    <s v="VMT_VQ_VFE3"/>
    <x v="2"/>
    <x v="2"/>
    <x v="0"/>
  </r>
  <r>
    <n v="1023006862"/>
    <n v="9"/>
    <s v="4"/>
    <s v="5"/>
    <s v="V25MKHATTAB1"/>
    <d v="2026-05-15T00:00:00"/>
    <s v="VMT_Red_VQ_VFE1"/>
    <x v="21"/>
    <x v="0"/>
    <x v="0"/>
  </r>
  <r>
    <n v="1027164467"/>
    <n v="1"/>
    <s v="2"/>
    <s v="1"/>
    <s v="V25AEWIS2"/>
    <d v="2026-05-15T00:00:00"/>
    <s v="VMT_Red_VQ_VFE1"/>
    <x v="1"/>
    <x v="1"/>
    <x v="1"/>
  </r>
  <r>
    <n v="1028452333"/>
    <n v="0"/>
    <s v="4"/>
    <s v="5"/>
    <s v="V25HAHMED43"/>
    <d v="2026-05-15T00:00:00"/>
    <s v="VMT_VQ_VFE3"/>
    <x v="7"/>
    <x v="1"/>
    <x v="1"/>
  </r>
  <r>
    <n v="1030554655"/>
    <n v="10"/>
    <s v="1"/>
    <s v="5"/>
    <s v="V26KMAHROUS"/>
    <d v="2026-05-15T00:00:00"/>
    <s v="VMT_Red_VQ_VFE1"/>
    <x v="42"/>
    <x v="3"/>
    <x v="0"/>
  </r>
  <r>
    <n v="1036981760"/>
    <n v="10"/>
    <s v="4"/>
    <s v="5"/>
    <s v="V25HAHMED43"/>
    <d v="2026-05-15T00:00:00"/>
    <s v="VMT_VQ_VFE3"/>
    <x v="7"/>
    <x v="1"/>
    <x v="0"/>
  </r>
  <r>
    <n v="1040424923"/>
    <n v="10"/>
    <s v="2"/>
    <s v="5"/>
    <s v="V25SZEKRY"/>
    <d v="2026-05-15T00:00:00"/>
    <s v="VMT_Red_VQ_VFE1"/>
    <x v="27"/>
    <x v="2"/>
    <x v="0"/>
  </r>
  <r>
    <n v="1044669698"/>
    <n v="10"/>
    <s v="1"/>
    <s v="5"/>
    <s v="V25HHASSAN50"/>
    <d v="2026-05-15T00:00:00"/>
    <s v="VMT_Red_VQ_VFE1"/>
    <x v="8"/>
    <x v="2"/>
    <x v="0"/>
  </r>
  <r>
    <n v="1044844473"/>
    <n v="10"/>
    <s v="4"/>
    <s v="5"/>
    <s v="V26MREDA"/>
    <d v="2026-05-15T00:00:00"/>
    <s v="VMT_Red_VQ_VFE1"/>
    <x v="40"/>
    <x v="2"/>
    <x v="0"/>
  </r>
  <r>
    <n v="1050197933"/>
    <n v="0"/>
    <s v="4"/>
    <s v="5"/>
    <s v="V26OGOHAR"/>
    <d v="2026-05-15T00:00:00"/>
    <s v="VMT_Red_VQ_VFE1"/>
    <x v="43"/>
    <x v="3"/>
    <x v="1"/>
  </r>
  <r>
    <n v="1060272289"/>
    <n v="9"/>
    <s v="4"/>
    <s v="5"/>
    <s v="V25AEWIS2"/>
    <d v="2026-05-15T00:00:00"/>
    <s v="VMT_Red_VQ_VFE1"/>
    <x v="1"/>
    <x v="1"/>
    <x v="0"/>
  </r>
  <r>
    <n v="1064081709"/>
    <n v="9"/>
    <s v="4"/>
    <s v="5"/>
    <s v="V25YMOHAMED7"/>
    <d v="2026-05-15T00:00:00"/>
    <s v="VMT_VQ_VFE3"/>
    <x v="36"/>
    <x v="1"/>
    <x v="0"/>
  </r>
  <r>
    <n v="1069564858"/>
    <n v="10"/>
    <s v="1"/>
    <s v="5"/>
    <s v="V25HAHMED43"/>
    <d v="2026-05-15T00:00:00"/>
    <s v="VMT_VQ_VFE3"/>
    <x v="7"/>
    <x v="1"/>
    <x v="0"/>
  </r>
  <r>
    <n v="1080186151"/>
    <n v="5"/>
    <s v="4"/>
    <s v="4"/>
    <s v="V25TOMAR"/>
    <d v="2026-05-15T00:00:00"/>
    <s v="VMT_Red_VQ_VFE1"/>
    <x v="39"/>
    <x v="3"/>
    <x v="1"/>
  </r>
  <r>
    <n v="1080282906"/>
    <n v="10"/>
    <s v="1"/>
    <s v="5"/>
    <s v="V25HAHMED43"/>
    <d v="2026-05-15T00:00:00"/>
    <s v="VMT_VQ_VFE3"/>
    <x v="7"/>
    <x v="1"/>
    <x v="0"/>
  </r>
  <r>
    <n v="1080476825"/>
    <n v="0"/>
    <s v="3"/>
    <s v="1"/>
    <s v="V25BHASSAN3"/>
    <d v="2026-05-15T00:00:00"/>
    <s v="VMT_Red_VQ_VFE1"/>
    <x v="12"/>
    <x v="2"/>
    <x v="1"/>
  </r>
  <r>
    <n v="1091126534"/>
    <n v="0"/>
    <s v="3"/>
    <s v="1"/>
    <s v="V26KMOHYELDIN"/>
    <d v="2026-05-15T00:00:00"/>
    <s v="VMT_Red_VQ_VFE1"/>
    <x v="38"/>
    <x v="0"/>
    <x v="1"/>
  </r>
  <r>
    <n v="1096856434"/>
    <n v="10"/>
    <s v="1"/>
    <s v="5"/>
    <s v="V25HHASSAN50"/>
    <d v="2026-05-15T00:00:00"/>
    <s v="VMT_Red_VQ_VFE1"/>
    <x v="8"/>
    <x v="2"/>
    <x v="0"/>
  </r>
  <r>
    <n v="1098539890"/>
    <n v="10"/>
    <s v="1"/>
    <s v="5"/>
    <s v="V25HAHMED43"/>
    <d v="2026-05-15T00:00:00"/>
    <s v="VMT_VQ_VFE3"/>
    <x v="7"/>
    <x v="1"/>
    <x v="0"/>
  </r>
  <r>
    <n v="1099465773"/>
    <n v="0"/>
    <s v="4"/>
    <s v="5"/>
    <s v="V25YMOHAMED7"/>
    <d v="2026-05-15T00:00:00"/>
    <s v="VMT_VQ_VFE3"/>
    <x v="36"/>
    <x v="1"/>
    <x v="1"/>
  </r>
  <r>
    <n v="1000440643"/>
    <n v="6"/>
    <s v="4"/>
    <s v="4"/>
    <s v="V25YMOHAMED7"/>
    <d v="2026-05-16T00:00:00"/>
    <s v="VMT_Red_VQ_VFE1"/>
    <x v="36"/>
    <x v="1"/>
    <x v="1"/>
  </r>
  <r>
    <n v="1001113364"/>
    <n v="0"/>
    <s v="N/A"/>
    <s v="N/A"/>
    <s v="V25OAZAB"/>
    <d v="2026-05-16T00:00:00"/>
    <s v="VMT_Red_VQ_VFE1"/>
    <x v="2"/>
    <x v="2"/>
    <x v="1"/>
  </r>
  <r>
    <n v="1001458234"/>
    <n v="10"/>
    <s v="4"/>
    <s v="1"/>
    <s v="V25MFARAG10"/>
    <d v="2026-05-16T00:00:00"/>
    <s v="VMT_Red_VQ_VFE1"/>
    <x v="23"/>
    <x v="0"/>
    <x v="0"/>
  </r>
  <r>
    <n v="1002808696"/>
    <n v="10"/>
    <s v="1"/>
    <s v="5"/>
    <s v="V26YMOFLEH"/>
    <d v="2026-05-16T00:00:00"/>
    <s v="VMT_Red_VQ_VFE1"/>
    <x v="25"/>
    <x v="0"/>
    <x v="0"/>
  </r>
  <r>
    <n v="1003454707"/>
    <n v="10"/>
    <s v="1"/>
    <s v="5"/>
    <s v="V25MNOAH1"/>
    <d v="2026-05-16T00:00:00"/>
    <s v="VMT_Red_VQ_VFE1"/>
    <x v="37"/>
    <x v="0"/>
    <x v="0"/>
  </r>
  <r>
    <n v="1004815439"/>
    <n v="10"/>
    <s v="2"/>
    <s v="5"/>
    <s v="V26AMOSLHY"/>
    <d v="2026-05-16T00:00:00"/>
    <s v="VMT_VQ_VFE3"/>
    <x v="30"/>
    <x v="1"/>
    <x v="0"/>
  </r>
  <r>
    <n v="1006999230"/>
    <n v="5"/>
    <s v="1"/>
    <s v="5"/>
    <s v="V25MNOAH1"/>
    <d v="2026-05-16T00:00:00"/>
    <s v="VMT_Red_VQ_VFE1"/>
    <x v="37"/>
    <x v="0"/>
    <x v="1"/>
  </r>
  <r>
    <n v="1008164212"/>
    <n v="10"/>
    <s v="1"/>
    <s v="5"/>
    <s v="V25AEWIS2"/>
    <d v="2026-05-16T00:00:00"/>
    <s v="VMT_VQ_VFE3"/>
    <x v="1"/>
    <x v="1"/>
    <x v="0"/>
  </r>
  <r>
    <n v="1010262574"/>
    <n v="9"/>
    <s v="4"/>
    <s v="5"/>
    <s v="V25MFARAG10"/>
    <d v="2026-05-16T00:00:00"/>
    <s v="VMT_VQ_VFE3"/>
    <x v="23"/>
    <x v="0"/>
    <x v="0"/>
  </r>
  <r>
    <n v="1010287103"/>
    <n v="9"/>
    <s v="1"/>
    <s v="5"/>
    <s v="V25ZDONKOL"/>
    <d v="2026-05-16T00:00:00"/>
    <s v="VMT_VQ_VFE3"/>
    <x v="26"/>
    <x v="3"/>
    <x v="0"/>
  </r>
  <r>
    <n v="1010944167"/>
    <n v="10"/>
    <s v="1"/>
    <s v="5"/>
    <s v="V25SZEKRY"/>
    <d v="2026-05-16T00:00:00"/>
    <s v="VMT_Red_VQ_VFE1"/>
    <x v="27"/>
    <x v="2"/>
    <x v="0"/>
  </r>
  <r>
    <n v="1017794075"/>
    <n v="10"/>
    <s v="1"/>
    <s v="5"/>
    <s v="V25YMOHAMED24"/>
    <d v="2026-05-16T00:00:00"/>
    <s v="VMT_Red_VQ_VFE1"/>
    <x v="13"/>
    <x v="2"/>
    <x v="0"/>
  </r>
  <r>
    <n v="1019734846"/>
    <n v="10"/>
    <s v="1"/>
    <s v="5"/>
    <s v="V23MGELIL"/>
    <d v="2026-05-16T00:00:00"/>
    <s v="VMT_VQ_VFE3"/>
    <x v="32"/>
    <x v="1"/>
    <x v="0"/>
  </r>
  <r>
    <n v="1028444105"/>
    <n v="10"/>
    <s v="4"/>
    <s v="5"/>
    <s v="V25OAZAB"/>
    <d v="2026-05-16T00:00:00"/>
    <s v="VMT_Red_VQ_VFE1"/>
    <x v="2"/>
    <x v="2"/>
    <x v="0"/>
  </r>
  <r>
    <n v="1028661940"/>
    <n v="10"/>
    <s v="4"/>
    <s v="5"/>
    <s v="V25MNOAH1"/>
    <d v="2026-05-16T00:00:00"/>
    <s v="VMT_Red_VQ_VFE1"/>
    <x v="37"/>
    <x v="0"/>
    <x v="0"/>
  </r>
  <r>
    <n v="1029571423"/>
    <n v="0"/>
    <s v="3"/>
    <s v="1"/>
    <s v="V25YMOHAMED24"/>
    <d v="2026-05-16T00:00:00"/>
    <s v="VMT_Red_VQ_VFE1"/>
    <x v="13"/>
    <x v="2"/>
    <x v="1"/>
  </r>
  <r>
    <n v="1030159994"/>
    <n v="10"/>
    <s v="1"/>
    <s v="5"/>
    <s v="V25AEWIS2"/>
    <d v="2026-05-16T00:00:00"/>
    <s v="VMT_VQ_VFE3"/>
    <x v="1"/>
    <x v="1"/>
    <x v="0"/>
  </r>
  <r>
    <n v="1030817447"/>
    <n v="10"/>
    <s v="1"/>
    <s v="5"/>
    <s v="V25OAZAB"/>
    <d v="2026-05-16T00:00:00"/>
    <s v="VMT_Red_VQ_VFE1"/>
    <x v="2"/>
    <x v="2"/>
    <x v="0"/>
  </r>
  <r>
    <n v="1032339968"/>
    <n v="10"/>
    <s v="4"/>
    <s v="5"/>
    <s v="V25ZDONKOL"/>
    <d v="2026-05-16T00:00:00"/>
    <s v="VMT_VQ_VFE3"/>
    <x v="26"/>
    <x v="3"/>
    <x v="0"/>
  </r>
  <r>
    <n v="1033666628"/>
    <n v="10"/>
    <s v="4"/>
    <s v="5"/>
    <s v="V25MHAMDY1"/>
    <d v="2026-05-16T00:00:00"/>
    <s v="VMT_Red_VQ_VFE1"/>
    <x v="17"/>
    <x v="2"/>
    <x v="0"/>
  </r>
  <r>
    <n v="1037892469"/>
    <n v="10"/>
    <s v="4"/>
    <s v="5"/>
    <s v="V25SSAYED67"/>
    <d v="2026-05-16T00:00:00"/>
    <s v="VMT_VQ_VFE3"/>
    <x v="28"/>
    <x v="1"/>
    <x v="0"/>
  </r>
  <r>
    <n v="1040117543"/>
    <n v="10"/>
    <s v="4"/>
    <s v="5"/>
    <s v="V25AMAHMOUD45"/>
    <d v="2026-05-16T00:00:00"/>
    <s v="VMT_VQ_VFE3"/>
    <x v="20"/>
    <x v="2"/>
    <x v="0"/>
  </r>
  <r>
    <n v="1044812111"/>
    <n v="0"/>
    <s v="4"/>
    <s v="3"/>
    <s v="V25MNOAH1"/>
    <d v="2026-05-16T00:00:00"/>
    <s v="VMT_Red_VQ_VFE1"/>
    <x v="37"/>
    <x v="0"/>
    <x v="1"/>
  </r>
  <r>
    <n v="1060568555"/>
    <n v="10"/>
    <s v="1"/>
    <s v="5"/>
    <s v="V25HHASSAN50"/>
    <d v="2026-05-16T00:00:00"/>
    <s v="VMT_VQ_VFE3"/>
    <x v="8"/>
    <x v="2"/>
    <x v="0"/>
  </r>
  <r>
    <n v="1061574610"/>
    <n v="10"/>
    <s v="1"/>
    <s v="5"/>
    <s v="V25AMAHMOUD45"/>
    <d v="2026-05-16T00:00:00"/>
    <s v="VMT_VQ_VFE3"/>
    <x v="20"/>
    <x v="2"/>
    <x v="0"/>
  </r>
  <r>
    <n v="1062027180"/>
    <n v="10"/>
    <s v="1"/>
    <s v="5"/>
    <s v="V25AMAHMOUD45"/>
    <d v="2026-05-16T00:00:00"/>
    <s v="VMT_Red_VQ_VFE1"/>
    <x v="20"/>
    <x v="2"/>
    <x v="0"/>
  </r>
  <r>
    <n v="1064191747"/>
    <n v="10"/>
    <s v="1"/>
    <s v="5"/>
    <s v="V25MHAMDY1"/>
    <d v="2026-05-16T00:00:00"/>
    <s v="VMT_Red_VQ_VFE1"/>
    <x v="17"/>
    <x v="2"/>
    <x v="0"/>
  </r>
  <r>
    <n v="1064458744"/>
    <n v="0"/>
    <s v="3"/>
    <s v="2"/>
    <s v="V25ZDONKOL"/>
    <d v="2026-05-16T00:00:00"/>
    <s v="VMT_VQ_VFE3"/>
    <x v="26"/>
    <x v="3"/>
    <x v="1"/>
  </r>
  <r>
    <n v="1080660375"/>
    <n v="10"/>
    <s v="3"/>
    <s v="5"/>
    <s v="V25MNOAH1"/>
    <d v="2026-05-16T00:00:00"/>
    <s v="VMT_VQ_VFE3"/>
    <x v="37"/>
    <x v="0"/>
    <x v="0"/>
  </r>
  <r>
    <n v="1080919309"/>
    <n v="0"/>
    <s v="3"/>
    <s v="N/A"/>
    <s v="V25MNOAH1"/>
    <d v="2026-05-16T00:00:00"/>
    <s v="VMT_Red_VQ_VFE1"/>
    <x v="37"/>
    <x v="0"/>
    <x v="1"/>
  </r>
  <r>
    <n v="1090234993"/>
    <n v="10"/>
    <s v="1"/>
    <s v="5"/>
    <s v="V25MNOAH1"/>
    <d v="2026-05-16T00:00:00"/>
    <s v="VMT_Red_VQ_VFE1"/>
    <x v="37"/>
    <x v="0"/>
    <x v="0"/>
  </r>
  <r>
    <n v="1090351479"/>
    <n v="5"/>
    <s v="4"/>
    <s v="3"/>
    <s v="V25MMANSOUR10"/>
    <d v="2026-05-16T00:00:00"/>
    <s v="VMT_VQ_VFE3"/>
    <x v="11"/>
    <x v="0"/>
    <x v="1"/>
  </r>
  <r>
    <n v="1090866067"/>
    <n v="10"/>
    <s v="1"/>
    <s v="5"/>
    <s v="V25MFARAG10"/>
    <d v="2026-05-16T00:00:00"/>
    <s v="VMT_VQ_VFE3"/>
    <x v="23"/>
    <x v="0"/>
    <x v="0"/>
  </r>
  <r>
    <n v="1091105518"/>
    <n v="5"/>
    <s v="3"/>
    <s v="5"/>
    <s v="V25PSHEHATA"/>
    <d v="2026-05-16T00:00:00"/>
    <s v="VMT_Red_VQ_VFE1"/>
    <x v="0"/>
    <x v="0"/>
    <x v="1"/>
  </r>
  <r>
    <n v="1098081229"/>
    <n v="10"/>
    <s v="2"/>
    <s v="5"/>
    <s v="V26YMOFLEH"/>
    <d v="2026-05-16T00:00:00"/>
    <s v="VMT_Red_VQ_VFE1"/>
    <x v="25"/>
    <x v="0"/>
    <x v="0"/>
  </r>
  <r>
    <n v="1098494041"/>
    <n v="10"/>
    <s v="4"/>
    <s v="5"/>
    <s v="V25BHASSAN3"/>
    <d v="2026-05-16T00:00:00"/>
    <s v="VMT_Red_VQ_VFE1"/>
    <x v="12"/>
    <x v="2"/>
    <x v="0"/>
  </r>
  <r>
    <n v="1098626263"/>
    <n v="10"/>
    <s v="1"/>
    <s v="5"/>
    <s v="V25AEWIS2"/>
    <d v="2026-05-16T00:00:00"/>
    <s v="VMT_VQ_VFE3"/>
    <x v="1"/>
    <x v="1"/>
    <x v="0"/>
  </r>
  <r>
    <n v="1111679497"/>
    <n v="10"/>
    <s v="1"/>
    <s v="5"/>
    <s v="V25MHAMDY1"/>
    <d v="2026-05-16T00:00:00"/>
    <s v="VMT_Red_VQ_VFE1"/>
    <x v="17"/>
    <x v="2"/>
    <x v="0"/>
  </r>
  <r>
    <n v="1224988751"/>
    <n v="10"/>
    <s v="1"/>
    <s v="5"/>
    <s v="V25SZEKRY"/>
    <d v="2026-05-16T00:00:00"/>
    <s v="VMT_VQ_VFE3"/>
    <x v="27"/>
    <x v="2"/>
    <x v="0"/>
  </r>
  <r>
    <s v="1028763420"/>
    <n v="10"/>
    <n v="1"/>
    <n v="5"/>
    <s v="V26OGohar"/>
    <d v="2026-05-17T00:00:00"/>
    <s v="VMT_VQ_VFE3"/>
    <x v="43"/>
    <x v="3"/>
    <x v="0"/>
  </r>
  <r>
    <s v="1005113698"/>
    <n v="8"/>
    <n v="4"/>
    <n v="5"/>
    <s v="V25AEWIS2"/>
    <d v="2026-05-17T00:00:00"/>
    <s v="VMT_VQ_VFE3"/>
    <x v="1"/>
    <x v="1"/>
    <x v="2"/>
  </r>
  <r>
    <s v="1066045999"/>
    <n v="10"/>
    <n v="1"/>
    <n v="5"/>
    <s v="V25HHassan50"/>
    <d v="2026-05-17T00:00:00"/>
    <s v="VMT_VQ_VFE3"/>
    <x v="8"/>
    <x v="2"/>
    <x v="0"/>
  </r>
  <r>
    <s v="1070266111"/>
    <n v="10"/>
    <n v="1"/>
    <n v="5"/>
    <s v="V25MFarag10"/>
    <d v="2026-05-17T00:00:00"/>
    <s v="VMT_VQ_VFE3"/>
    <x v="23"/>
    <x v="0"/>
    <x v="0"/>
  </r>
  <r>
    <s v="1009070108"/>
    <n v="10"/>
    <n v="3"/>
    <n v="5"/>
    <s v="V25AFADEEL2"/>
    <d v="2026-05-17T00:00:00"/>
    <s v="VMT_VQ_VFE3"/>
    <x v="5"/>
    <x v="3"/>
    <x v="0"/>
  </r>
  <r>
    <s v="1067253570"/>
    <n v="7"/>
    <n v="1"/>
    <n v="4"/>
    <e v="#N/A"/>
    <d v="2026-05-17T00:00:00"/>
    <s v="VMT_VQ_VFE3"/>
    <x v="44"/>
    <x v="4"/>
    <x v="2"/>
  </r>
  <r>
    <s v="1068367519"/>
    <n v="10"/>
    <n v="1"/>
    <n v="5"/>
    <s v="V25AEWIS2"/>
    <d v="2026-05-17T00:00:00"/>
    <s v="VMT_VQ_VFE3"/>
    <x v="1"/>
    <x v="1"/>
    <x v="0"/>
  </r>
  <r>
    <s v="1065851862"/>
    <n v="10"/>
    <n v="1"/>
    <n v="5"/>
    <s v="V25MFarag10"/>
    <d v="2026-05-17T00:00:00"/>
    <s v="VMT_VQ_VFE3"/>
    <x v="23"/>
    <x v="0"/>
    <x v="0"/>
  </r>
  <r>
    <s v="1007288279"/>
    <n v="10"/>
    <n v="1"/>
    <n v="5"/>
    <s v="V25AFADEEL2"/>
    <d v="2026-05-17T00:00:00"/>
    <s v="VMT_VQ_VFE3"/>
    <x v="5"/>
    <x v="3"/>
    <x v="0"/>
  </r>
  <r>
    <s v="1116556007"/>
    <n v="10"/>
    <n v="1"/>
    <n v="5"/>
    <s v="V25HHassan50"/>
    <d v="2026-05-17T00:00:00"/>
    <s v="VMT_VQ_VFE3"/>
    <x v="8"/>
    <x v="2"/>
    <x v="0"/>
  </r>
  <r>
    <s v="1092279013"/>
    <n v="10"/>
    <n v="1"/>
    <n v="5"/>
    <s v="V25HHassan50"/>
    <d v="2026-05-17T00:00:00"/>
    <s v="VMT_VQ_VFE3"/>
    <x v="8"/>
    <x v="2"/>
    <x v="0"/>
  </r>
  <r>
    <s v="1036888809"/>
    <n v="0"/>
    <n v="4"/>
    <n v="1"/>
    <s v="V26AZaki2"/>
    <d v="2026-05-17T00:00:00"/>
    <s v="VMT_VQ_VFE3"/>
    <x v="34"/>
    <x v="1"/>
    <x v="1"/>
  </r>
  <r>
    <s v="1093211001"/>
    <n v="0"/>
    <n v="4"/>
    <n v="5"/>
    <s v="V26AZaki2"/>
    <d v="2026-05-17T00:00:00"/>
    <s v="VMT_VQ_VFE3"/>
    <x v="34"/>
    <x v="1"/>
    <x v="1"/>
  </r>
  <r>
    <s v="1096704212"/>
    <n v="0"/>
    <n v="4"/>
    <n v="1"/>
    <s v="V25YMOHAMED24"/>
    <d v="2026-05-17T00:00:00"/>
    <s v="VMT_VQ_VFE3"/>
    <x v="13"/>
    <x v="2"/>
    <x v="1"/>
  </r>
  <r>
    <s v="1061167039"/>
    <n v="9"/>
    <n v="2"/>
    <n v="3"/>
    <s v="V25HHassan50"/>
    <d v="2026-05-17T00:00:00"/>
    <s v="VMT_VQ_VFE3"/>
    <x v="8"/>
    <x v="2"/>
    <x v="0"/>
  </r>
  <r>
    <s v="1009474889"/>
    <n v="10"/>
    <n v="1"/>
    <n v="5"/>
    <s v="V25MFarag10"/>
    <d v="2026-05-17T00:00:00"/>
    <s v="VMT_VQ_VFE3"/>
    <x v="23"/>
    <x v="0"/>
    <x v="0"/>
  </r>
  <r>
    <s v="1060896230"/>
    <n v="6"/>
    <n v="4"/>
    <n v="5"/>
    <s v="V25OAllah9"/>
    <d v="2026-05-17T00:00:00"/>
    <s v="VMT_VQ_VFE3"/>
    <x v="3"/>
    <x v="0"/>
    <x v="1"/>
  </r>
  <r>
    <s v="1062243292"/>
    <n v="1"/>
    <n v="3"/>
    <n v="2"/>
    <e v="#N/A"/>
    <d v="2026-05-17T00:00:00"/>
    <s v="VMT_VQ_VFE3"/>
    <x v="45"/>
    <x v="4"/>
    <x v="1"/>
  </r>
  <r>
    <s v="1000300047"/>
    <n v="0"/>
    <n v="3"/>
    <n v="3"/>
    <s v="V25SSAYED67"/>
    <d v="2026-05-17T00:00:00"/>
    <s v="VMT_VQ_VFE3"/>
    <x v="28"/>
    <x v="1"/>
    <x v="1"/>
  </r>
  <r>
    <s v="1001772626"/>
    <n v="9"/>
    <n v="1"/>
    <n v="5"/>
    <s v="V25MFarag10"/>
    <d v="2026-05-17T00:00:00"/>
    <s v="VMT_VQ_VFE3"/>
    <x v="23"/>
    <x v="0"/>
    <x v="0"/>
  </r>
  <r>
    <s v="1011048865"/>
    <n v="10"/>
    <n v="1"/>
    <n v="5"/>
    <s v="V25OAllah9"/>
    <d v="2026-05-17T00:00:00"/>
    <s v="VMT_VQ_VFE3"/>
    <x v="3"/>
    <x v="0"/>
    <x v="0"/>
  </r>
  <r>
    <s v="1028807341"/>
    <n v="9"/>
    <n v="4"/>
    <n v="5"/>
    <s v="V25OAllah9"/>
    <d v="2026-05-17T00:00:00"/>
    <s v="VMT_VQ_VFE3"/>
    <x v="3"/>
    <x v="0"/>
    <x v="0"/>
  </r>
  <r>
    <s v="1033582549"/>
    <n v="0"/>
    <n v="3"/>
    <n v="1"/>
    <s v="V25EMahfod"/>
    <d v="2026-05-17T00:00:00"/>
    <s v="VMT_VQ_VFE3"/>
    <x v="15"/>
    <x v="0"/>
    <x v="1"/>
  </r>
  <r>
    <s v="1097880988"/>
    <n v="10"/>
    <n v="1"/>
    <n v="5"/>
    <s v="V25AMAHMOUD45"/>
    <d v="2026-05-17T00:00:00"/>
    <s v="VMT_VQ_VFE3"/>
    <x v="20"/>
    <x v="2"/>
    <x v="0"/>
  </r>
  <r>
    <s v="1013043594"/>
    <n v="10"/>
    <n v="4"/>
    <n v="5"/>
    <s v="V25AMAHMOUD45"/>
    <d v="2026-05-17T00:00:00"/>
    <s v="VMT_VQ_VFE3"/>
    <x v="20"/>
    <x v="2"/>
    <x v="0"/>
  </r>
  <r>
    <s v="1022205120"/>
    <n v="0"/>
    <n v="3"/>
    <n v="5"/>
    <s v="V25MNoah1"/>
    <d v="2026-05-17T00:00:00"/>
    <s v="VMT_VQ_VFE3"/>
    <x v="37"/>
    <x v="0"/>
    <x v="1"/>
  </r>
  <r>
    <s v="1001916651"/>
    <n v="10"/>
    <n v="1"/>
    <n v="5"/>
    <s v="V26SMawgod"/>
    <d v="2026-05-18T00:00:00"/>
    <s v="VMT_VQ_VFE3"/>
    <x v="18"/>
    <x v="3"/>
    <x v="0"/>
  </r>
  <r>
    <s v="1040395045"/>
    <n v="10"/>
    <n v="4"/>
    <n v="5"/>
    <s v="V25IGHONIMY"/>
    <d v="2026-05-18T00:00:00"/>
    <s v="VMT_VQ_VFE3"/>
    <x v="4"/>
    <x v="3"/>
    <x v="0"/>
  </r>
  <r>
    <s v="1037469608"/>
    <n v="10"/>
    <n v="1"/>
    <n v="5"/>
    <s v="V26OGohar"/>
    <d v="2026-05-18T00:00:00"/>
    <s v="VMT_VQ_VFE3"/>
    <x v="43"/>
    <x v="3"/>
    <x v="0"/>
  </r>
  <r>
    <s v="1018858644"/>
    <n v="9"/>
    <n v="4"/>
    <n v="5"/>
    <s v="V25MMansour10"/>
    <d v="2026-05-18T00:00:00"/>
    <s v="VMT_VQ_VFE3"/>
    <x v="11"/>
    <x v="0"/>
    <x v="0"/>
  </r>
  <r>
    <s v="1062737232"/>
    <n v="10"/>
    <n v="4"/>
    <n v="5"/>
    <s v="V23MGELIL"/>
    <d v="2026-05-18T00:00:00"/>
    <s v="VMT_VQ_VFE3"/>
    <x v="32"/>
    <x v="1"/>
    <x v="0"/>
  </r>
  <r>
    <s v="1097316885"/>
    <n v="0"/>
    <n v="4"/>
    <n v="1"/>
    <s v="V25MFarag10"/>
    <d v="2026-05-18T00:00:00"/>
    <s v="VMT_VQ_VFE3"/>
    <x v="23"/>
    <x v="0"/>
    <x v="1"/>
  </r>
  <r>
    <s v="1000124612"/>
    <n v="10"/>
    <n v="1"/>
    <n v="5"/>
    <s v="V25OAllah9"/>
    <d v="2026-05-18T00:00:00"/>
    <s v="VMT_VQ_VFE3"/>
    <x v="3"/>
    <x v="0"/>
    <x v="0"/>
  </r>
  <r>
    <s v="1009314208"/>
    <n v="10"/>
    <n v="1"/>
    <n v="5"/>
    <s v="V26OGohar"/>
    <d v="2026-05-18T00:00:00"/>
    <s v="VMT_VQ_VFE3"/>
    <x v="43"/>
    <x v="3"/>
    <x v="0"/>
  </r>
  <r>
    <s v="1005076403"/>
    <n v="10"/>
    <n v="1"/>
    <n v="5"/>
    <s v="V26AZaki2"/>
    <d v="2026-05-18T00:00:00"/>
    <s v="VMT_VQ_VFE3"/>
    <x v="34"/>
    <x v="1"/>
    <x v="0"/>
  </r>
  <r>
    <s v="1066174381"/>
    <n v="10"/>
    <n v="3"/>
    <n v="5"/>
    <s v="V25MKhattab1"/>
    <d v="2026-05-18T00:00:00"/>
    <s v="VMT_VQ_VFE3"/>
    <x v="21"/>
    <x v="0"/>
    <x v="0"/>
  </r>
  <r>
    <s v="1044202422"/>
    <n v="10"/>
    <n v="4"/>
    <n v="5"/>
    <s v="V26SMawgod"/>
    <d v="2026-05-18T00:00:00"/>
    <s v="VMT_VQ_VFE3"/>
    <x v="18"/>
    <x v="3"/>
    <x v="0"/>
  </r>
  <r>
    <s v="1007907787"/>
    <n v="10"/>
    <n v="1"/>
    <n v="5"/>
    <s v="V25TAHMED3"/>
    <d v="2026-05-18T00:00:00"/>
    <s v="VMT_VQ_VFE3"/>
    <x v="31"/>
    <x v="3"/>
    <x v="0"/>
  </r>
  <r>
    <s v="1004606176"/>
    <n v="10"/>
    <n v="4"/>
    <n v="5"/>
    <s v="V25OAllah9"/>
    <d v="2026-05-18T00:00:00"/>
    <s v="VMT_VQ_VFE3"/>
    <x v="3"/>
    <x v="0"/>
    <x v="0"/>
  </r>
  <r>
    <s v="1090940097"/>
    <n v="10"/>
    <n v="1"/>
    <n v="5"/>
    <s v="V25MKhattab1"/>
    <d v="2026-05-18T00:00:00"/>
    <s v="VMT_VQ_VFE3"/>
    <x v="21"/>
    <x v="0"/>
    <x v="0"/>
  </r>
  <r>
    <s v="1064478969"/>
    <n v="5"/>
    <n v="4"/>
    <n v="3"/>
    <s v="V26OGohar"/>
    <d v="2026-05-18T00:00:00"/>
    <s v="VMT_VQ_VFE3"/>
    <x v="43"/>
    <x v="3"/>
    <x v="1"/>
  </r>
  <r>
    <s v="1020516083"/>
    <n v="0"/>
    <n v="4"/>
    <n v="3"/>
    <s v="V25IGHONIMY"/>
    <d v="2026-05-18T00:00:00"/>
    <s v="VMT_VQ_VFE3"/>
    <x v="4"/>
    <x v="3"/>
    <x v="1"/>
  </r>
  <r>
    <s v="1092388590"/>
    <n v="9"/>
    <n v="4"/>
    <n v="5"/>
    <s v="V25MMansour10"/>
    <d v="2026-05-18T00:00:00"/>
    <s v="VMT_VQ_VFE3"/>
    <x v="11"/>
    <x v="0"/>
    <x v="0"/>
  </r>
  <r>
    <s v="1001546412"/>
    <n v="10"/>
    <n v="1"/>
    <n v="5"/>
    <s v="V25TOmar"/>
    <d v="2026-05-18T00:00:00"/>
    <s v="VMT_VQ_VFE3"/>
    <x v="39"/>
    <x v="3"/>
    <x v="0"/>
  </r>
  <r>
    <s v="1031244807"/>
    <n v="10"/>
    <n v="4"/>
    <n v="5"/>
    <s v="V26OGohar"/>
    <d v="2026-05-18T00:00:00"/>
    <s v="VMT_VQ_VFE3"/>
    <x v="43"/>
    <x v="3"/>
    <x v="0"/>
  </r>
  <r>
    <s v="1010133959"/>
    <n v="7"/>
    <n v="1"/>
    <n v="5"/>
    <s v="V25MFarag10"/>
    <d v="2026-05-18T00:00:00"/>
    <s v="VMT_VQ_VFE3"/>
    <x v="23"/>
    <x v="0"/>
    <x v="2"/>
  </r>
  <r>
    <s v="1141706667"/>
    <n v="9"/>
    <n v="1"/>
    <n v="5"/>
    <s v="V25MKhattab1"/>
    <d v="2026-05-18T00:00:00"/>
    <s v="VMT_VQ_VFE3"/>
    <x v="21"/>
    <x v="0"/>
    <x v="0"/>
  </r>
  <r>
    <s v="1114464423"/>
    <n v="0"/>
    <n v="3"/>
    <n v="1"/>
    <s v="V26Ymofleh"/>
    <d v="2026-05-18T00:00:00"/>
    <s v="VMT_VQ_VFE3"/>
    <x v="25"/>
    <x v="0"/>
    <x v="1"/>
  </r>
  <r>
    <s v="1007472745"/>
    <n v="9"/>
    <n v="1"/>
    <n v="5"/>
    <s v="V26AFathy2"/>
    <d v="2026-05-18T00:00:00"/>
    <s v="VMT_VQ_VFE3"/>
    <x v="19"/>
    <x v="1"/>
    <x v="0"/>
  </r>
  <r>
    <s v="1009468590"/>
    <n v="10"/>
    <n v="1"/>
    <n v="5"/>
    <s v="V26AZaki2"/>
    <d v="2026-05-18T00:00:00"/>
    <s v="VMT_VQ_VFE3"/>
    <x v="34"/>
    <x v="1"/>
    <x v="0"/>
  </r>
  <r>
    <s v="1050317336"/>
    <n v="10"/>
    <n v="4"/>
    <n v="5"/>
    <s v="V25OAllah9"/>
    <d v="2026-05-18T00:00:00"/>
    <s v="VMT_VQ_VFE3"/>
    <x v="3"/>
    <x v="0"/>
    <x v="0"/>
  </r>
  <r>
    <s v="1003597922"/>
    <n v="10"/>
    <n v="1"/>
    <n v="5"/>
    <s v="V26AZaki2"/>
    <d v="2026-05-18T00:00:00"/>
    <s v="VMT_VQ_VFE3"/>
    <x v="34"/>
    <x v="1"/>
    <x v="0"/>
  </r>
  <r>
    <s v="1027361098"/>
    <n v="5"/>
    <n v="4"/>
    <n v="5"/>
    <s v="V25NSAEED1"/>
    <d v="2026-05-18T00:00:00"/>
    <s v="VMT_VQ_VFE3"/>
    <x v="10"/>
    <x v="2"/>
    <x v="1"/>
  </r>
  <r>
    <s v="1100797240"/>
    <n v="10"/>
    <n v="1"/>
    <n v="5"/>
    <s v="V25TAHMED3"/>
    <d v="2026-05-18T00:00:00"/>
    <s v="VMT_VQ_VFE3"/>
    <x v="31"/>
    <x v="3"/>
    <x v="0"/>
  </r>
  <r>
    <s v="1062000039"/>
    <n v="10"/>
    <n v="1"/>
    <n v="5"/>
    <s v="V25NSAEED1"/>
    <d v="2026-05-18T00:00:00"/>
    <s v="VMT_VQ_VFE3"/>
    <x v="10"/>
    <x v="2"/>
    <x v="0"/>
  </r>
  <r>
    <s v="1055011704"/>
    <n v="10"/>
    <n v="2"/>
    <n v="5"/>
    <s v="V26KMohyeldin"/>
    <d v="2026-05-18T00:00:00"/>
    <s v="VMT_VQ_VFE3"/>
    <x v="38"/>
    <x v="0"/>
    <x v="0"/>
  </r>
  <r>
    <s v="1067968022"/>
    <n v="10"/>
    <n v="4"/>
    <n v="5"/>
    <s v="V25NSAEED1"/>
    <d v="2026-05-18T00:00:00"/>
    <s v="VMT_VQ_VFE3"/>
    <x v="10"/>
    <x v="2"/>
    <x v="0"/>
  </r>
  <r>
    <s v="1009169059"/>
    <n v="9"/>
    <n v="1"/>
    <n v="5"/>
    <s v="V26KMohyeldin"/>
    <d v="2026-05-18T00:00:00"/>
    <s v="VMT_VQ_VFE3"/>
    <x v="38"/>
    <x v="0"/>
    <x v="0"/>
  </r>
  <r>
    <s v="1004192989"/>
    <n v="0"/>
    <n v="3"/>
    <n v="1"/>
    <s v="V25MFarag10"/>
    <d v="2026-05-18T00:00:00"/>
    <s v="VMT_VQ_VFE3"/>
    <x v="23"/>
    <x v="0"/>
    <x v="1"/>
  </r>
  <r>
    <s v="1015642373"/>
    <n v="10"/>
    <n v="4"/>
    <n v="5"/>
    <s v="V22MASHRAFY"/>
    <d v="2026-05-18T00:00:00"/>
    <s v="VMT_VQ_VFE3"/>
    <x v="46"/>
    <x v="2"/>
    <x v="0"/>
  </r>
  <r>
    <s v="1000727096"/>
    <n v="0"/>
    <n v="1"/>
    <n v="5"/>
    <s v="V25OAllah9"/>
    <d v="2026-05-18T00:00:00"/>
    <s v="VMT_VQ_VFE3"/>
    <x v="3"/>
    <x v="0"/>
    <x v="1"/>
  </r>
  <r>
    <s v="1001402720"/>
    <n v="4"/>
    <n v="1"/>
    <n v="4"/>
    <s v="V25YMOHAMED24"/>
    <d v="2026-05-18T00:00:00"/>
    <s v="VMT_VQ_VFE3"/>
    <x v="13"/>
    <x v="2"/>
    <x v="1"/>
  </r>
  <r>
    <s v="1009187149"/>
    <n v="10"/>
    <n v="1"/>
    <n v="5"/>
    <s v="V25OAllah9"/>
    <d v="2026-05-18T00:00:00"/>
    <s v="VMT_VQ_VFE3"/>
    <x v="3"/>
    <x v="0"/>
    <x v="0"/>
  </r>
  <r>
    <s v="1006593882"/>
    <n v="0"/>
    <n v="3"/>
    <n v="1"/>
    <s v="V25MHalim7"/>
    <d v="2026-05-18T00:00:00"/>
    <s v="VMT_VQ_VFE3"/>
    <x v="41"/>
    <x v="0"/>
    <x v="1"/>
  </r>
  <r>
    <s v="1024024039"/>
    <n v="10"/>
    <n v="4"/>
    <n v="5"/>
    <s v="V26KMohyeldin"/>
    <d v="2026-05-18T00:00:00"/>
    <s v="VMT_VQ_VFE3"/>
    <x v="38"/>
    <x v="0"/>
    <x v="0"/>
  </r>
  <r>
    <s v="1065666511"/>
    <n v="10"/>
    <n v="3"/>
    <n v="5"/>
    <s v="V25NSAEED1"/>
    <d v="2026-05-18T00:00:00"/>
    <s v="VMT_VQ_VFE3"/>
    <x v="10"/>
    <x v="2"/>
    <x v="0"/>
  </r>
  <r>
    <s v="1017110450"/>
    <n v="9"/>
    <n v="1"/>
    <n v="5"/>
    <s v="V25NSAEED1"/>
    <d v="2026-05-18T00:00:00"/>
    <s v="VMT_VQ_VFE3"/>
    <x v="10"/>
    <x v="2"/>
    <x v="0"/>
  </r>
  <r>
    <s v="1015597698"/>
    <n v="10"/>
    <n v="4"/>
    <n v="5"/>
    <s v="V25NSAEED1"/>
    <d v="2026-05-18T00:00:00"/>
    <s v="VMT_VQ_VFE3"/>
    <x v="10"/>
    <x v="2"/>
    <x v="0"/>
  </r>
  <r>
    <s v="1000483767"/>
    <n v="10"/>
    <n v="1"/>
    <n v="5"/>
    <s v="V25YMOHAMED24"/>
    <d v="2026-05-18T00:00:00"/>
    <s v="VMT_VQ_VFE3"/>
    <x v="13"/>
    <x v="2"/>
    <x v="0"/>
  </r>
  <r>
    <s v="1010127824"/>
    <n v="10"/>
    <n v="1"/>
    <n v="5"/>
    <s v="V26KMohyeldin"/>
    <d v="2026-05-18T00:00:00"/>
    <s v="VMT_VQ_VFE3"/>
    <x v="38"/>
    <x v="0"/>
    <x v="0"/>
  </r>
  <r>
    <s v="1007003328"/>
    <n v="10"/>
    <n v="1"/>
    <n v="5"/>
    <s v="V26KMohyeldin"/>
    <d v="2026-05-18T00:00:00"/>
    <s v="VMT_VQ_VFE3"/>
    <x v="38"/>
    <x v="0"/>
    <x v="0"/>
  </r>
  <r>
    <s v="1080898420"/>
    <n v="10"/>
    <n v="1"/>
    <n v="5"/>
    <s v="V25MHalim7"/>
    <d v="2026-05-18T00:00:00"/>
    <s v="VMT_VQ_VFE3"/>
    <x v="41"/>
    <x v="0"/>
    <x v="0"/>
  </r>
  <r>
    <s v="1063288863"/>
    <n v="10"/>
    <n v="1"/>
    <n v="5"/>
    <s v="V26KMohyeldin"/>
    <d v="2026-05-18T00:00:00"/>
    <s v="VMT_VQ_VFE3"/>
    <x v="38"/>
    <x v="0"/>
    <x v="0"/>
  </r>
  <r>
    <s v="1070860119"/>
    <n v="8"/>
    <n v="1"/>
    <n v="5"/>
    <s v="V26KMohyeldin"/>
    <d v="2026-05-18T00:00:00"/>
    <s v="VMT_VQ_VFE3"/>
    <x v="38"/>
    <x v="0"/>
    <x v="2"/>
  </r>
  <r>
    <s v="1015495603"/>
    <n v="10"/>
    <n v="1"/>
    <n v="5"/>
    <s v="V25EMahfod"/>
    <d v="2026-05-18T00:00:00"/>
    <s v="VMT_VQ_VFE3"/>
    <x v="1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32FE3-3B4A-4664-BFF2-57D42B8F1C5F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play Name ">
  <location ref="A3:E54" firstHeaderRow="1" firstDataRow="2" firstDataCol="1"/>
  <pivotFields count="10">
    <pivotField showAll="0"/>
    <pivotField dataField="1" showAll="0"/>
    <pivotField showAll="0"/>
    <pivotField showAll="0"/>
    <pivotField showAll="0"/>
    <pivotField numFmtId="14" showAll="0"/>
    <pivotField showAll="0"/>
    <pivotField axis="axisRow" showAll="0">
      <items count="48">
        <item x="30"/>
        <item x="5"/>
        <item x="19"/>
        <item x="1"/>
        <item x="6"/>
        <item x="35"/>
        <item x="34"/>
        <item x="20"/>
        <item x="33"/>
        <item x="12"/>
        <item x="15"/>
        <item x="14"/>
        <item x="8"/>
        <item x="7"/>
        <item x="4"/>
        <item x="24"/>
        <item x="17"/>
        <item x="23"/>
        <item x="22"/>
        <item x="9"/>
        <item x="11"/>
        <item x="32"/>
        <item x="29"/>
        <item x="21"/>
        <item x="10"/>
        <item x="3"/>
        <item x="2"/>
        <item x="0"/>
        <item x="27"/>
        <item x="16"/>
        <item x="18"/>
        <item x="28"/>
        <item x="31"/>
        <item x="25"/>
        <item x="13"/>
        <item x="36"/>
        <item x="2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axis="axisRow" showAll="0">
      <items count="6">
        <item x="3"/>
        <item x="0"/>
        <item x="2"/>
        <item x="1"/>
        <item h="1" x="4"/>
        <item t="default"/>
      </items>
    </pivotField>
    <pivotField axis="axisCol" showAll="0">
      <items count="4">
        <item x="1"/>
        <item x="2"/>
        <item x="0"/>
        <item t="default"/>
      </items>
    </pivotField>
  </pivotFields>
  <rowFields count="2">
    <field x="8"/>
    <field x="7"/>
  </rowFields>
  <rowItems count="50">
    <i>
      <x/>
    </i>
    <i r="1">
      <x v="1"/>
    </i>
    <i r="1">
      <x v="14"/>
    </i>
    <i r="1">
      <x v="19"/>
    </i>
    <i r="1">
      <x v="30"/>
    </i>
    <i r="1">
      <x v="32"/>
    </i>
    <i r="1">
      <x v="36"/>
    </i>
    <i r="1">
      <x v="39"/>
    </i>
    <i r="1">
      <x v="42"/>
    </i>
    <i r="1">
      <x v="43"/>
    </i>
    <i>
      <x v="1"/>
    </i>
    <i r="1">
      <x v="4"/>
    </i>
    <i r="1">
      <x v="10"/>
    </i>
    <i r="1">
      <x v="17"/>
    </i>
    <i r="1">
      <x v="20"/>
    </i>
    <i r="1">
      <x v="23"/>
    </i>
    <i r="1">
      <x v="25"/>
    </i>
    <i r="1">
      <x v="27"/>
    </i>
    <i r="1">
      <x v="33"/>
    </i>
    <i r="1">
      <x v="37"/>
    </i>
    <i r="1">
      <x v="38"/>
    </i>
    <i r="1">
      <x v="41"/>
    </i>
    <i>
      <x v="2"/>
    </i>
    <i r="1">
      <x v="7"/>
    </i>
    <i r="1">
      <x v="8"/>
    </i>
    <i r="1">
      <x v="9"/>
    </i>
    <i r="1">
      <x v="11"/>
    </i>
    <i r="1">
      <x v="12"/>
    </i>
    <i r="1">
      <x v="16"/>
    </i>
    <i r="1">
      <x v="24"/>
    </i>
    <i r="1">
      <x v="26"/>
    </i>
    <i r="1">
      <x v="28"/>
    </i>
    <i r="1">
      <x v="29"/>
    </i>
    <i r="1">
      <x v="34"/>
    </i>
    <i r="1">
      <x v="40"/>
    </i>
    <i r="1">
      <x v="46"/>
    </i>
    <i>
      <x v="3"/>
    </i>
    <i r="1">
      <x/>
    </i>
    <i r="1">
      <x v="2"/>
    </i>
    <i r="1">
      <x v="3"/>
    </i>
    <i r="1">
      <x v="5"/>
    </i>
    <i r="1">
      <x v="6"/>
    </i>
    <i r="1">
      <x v="13"/>
    </i>
    <i r="1">
      <x v="15"/>
    </i>
    <i r="1">
      <x v="18"/>
    </i>
    <i r="1">
      <x v="21"/>
    </i>
    <i r="1">
      <x v="22"/>
    </i>
    <i r="1">
      <x v="31"/>
    </i>
    <i r="1">
      <x v="35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Question1" fld="1" subtotal="count" baseField="8" baseItem="0"/>
  </dataFields>
  <formats count="36">
    <format dxfId="103">
      <pivotArea type="all" dataOnly="0" outline="0" fieldPosition="0"/>
    </format>
    <format dxfId="104">
      <pivotArea outline="0" collapsedLevelsAreSubtotals="1" fieldPosition="0"/>
    </format>
    <format dxfId="105">
      <pivotArea type="origin" dataOnly="0" labelOnly="1" outline="0" fieldPosition="0"/>
    </format>
    <format dxfId="106">
      <pivotArea field="9" type="button" dataOnly="0" labelOnly="1" outline="0" axis="axisCol" fieldPosition="0"/>
    </format>
    <format dxfId="107">
      <pivotArea type="topRight" dataOnly="0" labelOnly="1" outline="0" fieldPosition="0"/>
    </format>
    <format dxfId="108">
      <pivotArea field="8" type="button" dataOnly="0" labelOnly="1" outline="0" axis="axisRow" fieldPosition="0"/>
    </format>
    <format dxfId="109">
      <pivotArea dataOnly="0" labelOnly="1" fieldPosition="0">
        <references count="1">
          <reference field="8" count="0"/>
        </references>
      </pivotArea>
    </format>
    <format dxfId="110">
      <pivotArea dataOnly="0" labelOnly="1" grandRow="1" outline="0" fieldPosition="0"/>
    </format>
    <format dxfId="111">
      <pivotArea dataOnly="0" labelOnly="1" fieldPosition="0">
        <references count="2">
          <reference field="7" count="6">
            <x v="1"/>
            <x v="14"/>
            <x v="19"/>
            <x v="30"/>
            <x v="32"/>
            <x v="36"/>
          </reference>
          <reference field="8" count="1" selected="0">
            <x v="0"/>
          </reference>
        </references>
      </pivotArea>
    </format>
    <format dxfId="112">
      <pivotArea dataOnly="0" labelOnly="1" fieldPosition="0">
        <references count="2">
          <reference field="7" count="8">
            <x v="4"/>
            <x v="10"/>
            <x v="17"/>
            <x v="20"/>
            <x v="23"/>
            <x v="25"/>
            <x v="27"/>
            <x v="33"/>
          </reference>
          <reference field="8" count="1" selected="0">
            <x v="1"/>
          </reference>
        </references>
      </pivotArea>
    </format>
    <format dxfId="113">
      <pivotArea dataOnly="0" labelOnly="1" fieldPosition="0">
        <references count="2">
          <reference field="7" count="11">
            <x v="7"/>
            <x v="8"/>
            <x v="9"/>
            <x v="11"/>
            <x v="12"/>
            <x v="16"/>
            <x v="24"/>
            <x v="26"/>
            <x v="28"/>
            <x v="29"/>
            <x v="34"/>
          </reference>
          <reference field="8" count="1" selected="0">
            <x v="2"/>
          </reference>
        </references>
      </pivotArea>
    </format>
    <format dxfId="114">
      <pivotArea dataOnly="0" labelOnly="1" fieldPosition="0">
        <references count="2">
          <reference field="7" count="12">
            <x v="0"/>
            <x v="2"/>
            <x v="3"/>
            <x v="5"/>
            <x v="6"/>
            <x v="13"/>
            <x v="15"/>
            <x v="18"/>
            <x v="21"/>
            <x v="22"/>
            <x v="31"/>
            <x v="35"/>
          </reference>
          <reference field="8" count="1" selected="0">
            <x v="3"/>
          </reference>
        </references>
      </pivotArea>
    </format>
    <format dxfId="115">
      <pivotArea dataOnly="0" labelOnly="1" fieldPosition="0">
        <references count="1">
          <reference field="9" count="0"/>
        </references>
      </pivotArea>
    </format>
    <format dxfId="116">
      <pivotArea dataOnly="0" labelOnly="1" grandCol="1" outline="0" fieldPosition="0"/>
    </format>
    <format dxfId="117">
      <pivotArea type="all" dataOnly="0" outline="0" fieldPosition="0"/>
    </format>
    <format dxfId="118">
      <pivotArea outline="0" collapsedLevelsAreSubtotals="1" fieldPosition="0"/>
    </format>
    <format dxfId="119">
      <pivotArea type="origin" dataOnly="0" labelOnly="1" outline="0" fieldPosition="0"/>
    </format>
    <format dxfId="120">
      <pivotArea field="9" type="button" dataOnly="0" labelOnly="1" outline="0" axis="axisCol" fieldPosition="0"/>
    </format>
    <format dxfId="121">
      <pivotArea type="topRight" dataOnly="0" labelOnly="1" outline="0" fieldPosition="0"/>
    </format>
    <format dxfId="122">
      <pivotArea field="8" type="button" dataOnly="0" labelOnly="1" outline="0" axis="axisRow" fieldPosition="0"/>
    </format>
    <format dxfId="123">
      <pivotArea dataOnly="0" labelOnly="1" fieldPosition="0">
        <references count="1">
          <reference field="8" count="0"/>
        </references>
      </pivotArea>
    </format>
    <format dxfId="124">
      <pivotArea dataOnly="0" labelOnly="1" grandRow="1" outline="0" fieldPosition="0"/>
    </format>
    <format dxfId="125">
      <pivotArea dataOnly="0" labelOnly="1" fieldPosition="0">
        <references count="2">
          <reference field="7" count="6">
            <x v="1"/>
            <x v="14"/>
            <x v="19"/>
            <x v="30"/>
            <x v="32"/>
            <x v="36"/>
          </reference>
          <reference field="8" count="1" selected="0">
            <x v="0"/>
          </reference>
        </references>
      </pivotArea>
    </format>
    <format dxfId="126">
      <pivotArea dataOnly="0" labelOnly="1" fieldPosition="0">
        <references count="2">
          <reference field="7" count="8">
            <x v="4"/>
            <x v="10"/>
            <x v="17"/>
            <x v="20"/>
            <x v="23"/>
            <x v="25"/>
            <x v="27"/>
            <x v="33"/>
          </reference>
          <reference field="8" count="1" selected="0">
            <x v="1"/>
          </reference>
        </references>
      </pivotArea>
    </format>
    <format dxfId="127">
      <pivotArea dataOnly="0" labelOnly="1" fieldPosition="0">
        <references count="2">
          <reference field="7" count="11">
            <x v="7"/>
            <x v="8"/>
            <x v="9"/>
            <x v="11"/>
            <x v="12"/>
            <x v="16"/>
            <x v="24"/>
            <x v="26"/>
            <x v="28"/>
            <x v="29"/>
            <x v="34"/>
          </reference>
          <reference field="8" count="1" selected="0">
            <x v="2"/>
          </reference>
        </references>
      </pivotArea>
    </format>
    <format dxfId="128">
      <pivotArea dataOnly="0" labelOnly="1" fieldPosition="0">
        <references count="2">
          <reference field="7" count="12">
            <x v="0"/>
            <x v="2"/>
            <x v="3"/>
            <x v="5"/>
            <x v="6"/>
            <x v="13"/>
            <x v="15"/>
            <x v="18"/>
            <x v="21"/>
            <x v="22"/>
            <x v="31"/>
            <x v="35"/>
          </reference>
          <reference field="8" count="1" selected="0">
            <x v="3"/>
          </reference>
        </references>
      </pivotArea>
    </format>
    <format dxfId="129">
      <pivotArea dataOnly="0" labelOnly="1" fieldPosition="0">
        <references count="1">
          <reference field="9" count="0"/>
        </references>
      </pivotArea>
    </format>
    <format dxfId="130">
      <pivotArea dataOnly="0" labelOnly="1" grandCol="1" outline="0" fieldPosition="0"/>
    </format>
    <format dxfId="131">
      <pivotArea collapsedLevelsAreSubtotals="1" fieldPosition="0">
        <references count="1">
          <reference field="8" count="1">
            <x v="1"/>
          </reference>
        </references>
      </pivotArea>
    </format>
    <format dxfId="132">
      <pivotArea dataOnly="0" labelOnly="1" fieldPosition="0">
        <references count="1">
          <reference field="8" count="1">
            <x v="1"/>
          </reference>
        </references>
      </pivotArea>
    </format>
    <format dxfId="133">
      <pivotArea collapsedLevelsAreSubtotals="1" fieldPosition="0">
        <references count="1">
          <reference field="8" count="1">
            <x v="0"/>
          </reference>
        </references>
      </pivotArea>
    </format>
    <format dxfId="134">
      <pivotArea dataOnly="0" labelOnly="1" fieldPosition="0">
        <references count="1">
          <reference field="8" count="1">
            <x v="0"/>
          </reference>
        </references>
      </pivotArea>
    </format>
    <format dxfId="135">
      <pivotArea collapsedLevelsAreSubtotals="1" fieldPosition="0">
        <references count="1">
          <reference field="8" count="1">
            <x v="2"/>
          </reference>
        </references>
      </pivotArea>
    </format>
    <format dxfId="136">
      <pivotArea dataOnly="0" labelOnly="1" fieldPosition="0">
        <references count="1">
          <reference field="8" count="1">
            <x v="2"/>
          </reference>
        </references>
      </pivotArea>
    </format>
    <format dxfId="137">
      <pivotArea collapsedLevelsAreSubtotals="1" fieldPosition="0">
        <references count="1">
          <reference field="8" count="1">
            <x v="3"/>
          </reference>
        </references>
      </pivotArea>
    </format>
    <format dxfId="138">
      <pivotArea dataOnly="0" labelOnly="1" fieldPosition="0">
        <references count="1">
          <reference field="8" count="1">
            <x v="3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6DBC96-A636-41C0-B5CB-971C6857EE22}" name="Table6" displayName="Table6" ref="A1:J19" totalsRowShown="0">
  <autoFilter ref="A1:J19" xr:uid="{7C6DBC96-A636-41C0-B5CB-971C6857EE22}"/>
  <tableColumns count="10">
    <tableColumn id="1" xr3:uid="{2CA9F149-E5F0-4F10-8E95-FB5726FC18D8}" name="Msisdn"/>
    <tableColumn id="2" xr3:uid="{CDB54760-14CB-45C4-B6A4-8B4672AA83CD}" name="Question1"/>
    <tableColumn id="3" xr3:uid="{DF372C73-B622-4D3A-840C-E4744A0C0AED}" name="Question2"/>
    <tableColumn id="4" xr3:uid="{49869D84-DE44-4DD6-B7DF-C825A60C5B3F}" name="Question3"/>
    <tableColumn id="5" xr3:uid="{70B30691-8F12-4BEC-8C40-4E076F51B7E7}" name="Agent Name"/>
    <tableColumn id="6" xr3:uid="{1ADC8FDD-2449-4F66-B9DE-B3F55603527A}" name="Full Date" dataDxfId="0"/>
    <tableColumn id="7" xr3:uid="{7BB53F86-4580-406E-965C-277C6504FB4D}" name="Pos Queue"/>
    <tableColumn id="8" xr3:uid="{2EEF79D6-9801-48D7-9917-E37A00074A2D}" name="Display Name"/>
    <tableColumn id="9" xr3:uid="{1AF9C20C-D3F1-428E-A1E3-63F29C18F83B}" name="Team Leader"/>
    <tableColumn id="10" xr3:uid="{06713C3A-4384-43F2-8F07-C9C00E5C954A}" name="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ya.ezzatmahmoud@vodafone.com.eg" TargetMode="External"/><Relationship Id="rId13" Type="http://schemas.openxmlformats.org/officeDocument/2006/relationships/hyperlink" Target="mailto:alaa.mahmoudhassan1@vodafone.com.eg" TargetMode="External"/><Relationship Id="rId18" Type="http://schemas.openxmlformats.org/officeDocument/2006/relationships/hyperlink" Target="mailto:sherif.madboulysayed@vodafone.com.eg" TargetMode="External"/><Relationship Id="rId3" Type="http://schemas.openxmlformats.org/officeDocument/2006/relationships/hyperlink" Target="mailto:ahmed.magdyewis@vodafone.com.eg" TargetMode="External"/><Relationship Id="rId7" Type="http://schemas.openxmlformats.org/officeDocument/2006/relationships/hyperlink" Target="mailto:ali.bahatsaeed@vodafone.com.eg" TargetMode="External"/><Relationship Id="rId12" Type="http://schemas.openxmlformats.org/officeDocument/2006/relationships/hyperlink" Target="mailto:tarek.aymanahmed@vodafone.com.eg" TargetMode="External"/><Relationship Id="rId17" Type="http://schemas.openxmlformats.org/officeDocument/2006/relationships/hyperlink" Target="mailto:ibrahim.ahmedghonimy@vodafone.com.eg" TargetMode="External"/><Relationship Id="rId2" Type="http://schemas.openxmlformats.org/officeDocument/2006/relationships/hyperlink" Target="mailto:islam.gamalzakaria@vodafone.com.eg" TargetMode="External"/><Relationship Id="rId16" Type="http://schemas.openxmlformats.org/officeDocument/2006/relationships/hyperlink" Target="mailto:badr.medhatelshenawy@vodafone.com.eg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abdallah.shakerabdelaziz@vodafone.com.eg" TargetMode="External"/><Relationship Id="rId6" Type="http://schemas.openxmlformats.org/officeDocument/2006/relationships/hyperlink" Target="mailto:anas.mohamedeldemerdash@vodafone.com.eg" TargetMode="External"/><Relationship Id="rId11" Type="http://schemas.openxmlformats.org/officeDocument/2006/relationships/hyperlink" Target="mailto:mariam.waleedmohamed@vodafone.com.eg" TargetMode="External"/><Relationship Id="rId5" Type="http://schemas.openxmlformats.org/officeDocument/2006/relationships/hyperlink" Target="mailto:hatem.ibrahimahmed@vodafone.com.eg" TargetMode="External"/><Relationship Id="rId15" Type="http://schemas.openxmlformats.org/officeDocument/2006/relationships/hyperlink" Target="mailto:mohamed.gamilsalah@vodafone.com.eg" TargetMode="External"/><Relationship Id="rId10" Type="http://schemas.openxmlformats.org/officeDocument/2006/relationships/hyperlink" Target="mailto:farha.ashrafaboelmagd@vodafone.com.eg" TargetMode="External"/><Relationship Id="rId19" Type="http://schemas.openxmlformats.org/officeDocument/2006/relationships/hyperlink" Target="mailto:hany.ibrahimgamal@vodafone.com.eg" TargetMode="External"/><Relationship Id="rId4" Type="http://schemas.openxmlformats.org/officeDocument/2006/relationships/hyperlink" Target="mailto:samir.hosnysagheer@vodafone.com.eg" TargetMode="External"/><Relationship Id="rId9" Type="http://schemas.openxmlformats.org/officeDocument/2006/relationships/hyperlink" Target="mailto:ahmed.samehrizk@vodafone.com" TargetMode="External"/><Relationship Id="rId14" Type="http://schemas.openxmlformats.org/officeDocument/2006/relationships/hyperlink" Target="mailto:salma.waelmohamed@vodafone.com.eg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ya.ezzatmahmoud@vodafone.com.eg" TargetMode="External"/><Relationship Id="rId13" Type="http://schemas.openxmlformats.org/officeDocument/2006/relationships/hyperlink" Target="mailto:alaa.mahmoudhassan1@vodafone.com.eg" TargetMode="External"/><Relationship Id="rId18" Type="http://schemas.openxmlformats.org/officeDocument/2006/relationships/hyperlink" Target="mailto:sherif.madboulysayed@vodafone.com.eg" TargetMode="External"/><Relationship Id="rId3" Type="http://schemas.openxmlformats.org/officeDocument/2006/relationships/hyperlink" Target="mailto:ahmed.magdyewis@vodafone.com.eg" TargetMode="External"/><Relationship Id="rId7" Type="http://schemas.openxmlformats.org/officeDocument/2006/relationships/hyperlink" Target="mailto:ali.bahatsaeed@vodafone.com.eg" TargetMode="External"/><Relationship Id="rId12" Type="http://schemas.openxmlformats.org/officeDocument/2006/relationships/hyperlink" Target="mailto:tarek.aymanahmed@vodafone.com.eg" TargetMode="External"/><Relationship Id="rId17" Type="http://schemas.openxmlformats.org/officeDocument/2006/relationships/hyperlink" Target="mailto:ibrahim.ahmedghonimy@vodafone.com.eg" TargetMode="External"/><Relationship Id="rId2" Type="http://schemas.openxmlformats.org/officeDocument/2006/relationships/hyperlink" Target="mailto:islam.gamalzakaria@vodafone.com.eg" TargetMode="External"/><Relationship Id="rId16" Type="http://schemas.openxmlformats.org/officeDocument/2006/relationships/hyperlink" Target="mailto:badr.medhatelshenawy@vodafone.com.eg" TargetMode="External"/><Relationship Id="rId1" Type="http://schemas.openxmlformats.org/officeDocument/2006/relationships/hyperlink" Target="mailto:abdallah.shakerabdelaziz@vodafone.com.eg" TargetMode="External"/><Relationship Id="rId6" Type="http://schemas.openxmlformats.org/officeDocument/2006/relationships/hyperlink" Target="mailto:anas.mohamedeldemerdash@vodafone.com.eg" TargetMode="External"/><Relationship Id="rId11" Type="http://schemas.openxmlformats.org/officeDocument/2006/relationships/hyperlink" Target="mailto:mariam.waleedmohamed@vodafone.com.eg" TargetMode="External"/><Relationship Id="rId5" Type="http://schemas.openxmlformats.org/officeDocument/2006/relationships/hyperlink" Target="mailto:hatem.ibrahimahmed@vodafone.com.eg" TargetMode="External"/><Relationship Id="rId15" Type="http://schemas.openxmlformats.org/officeDocument/2006/relationships/hyperlink" Target="mailto:mohamed.gamilsalah@vodafone.com.eg" TargetMode="External"/><Relationship Id="rId10" Type="http://schemas.openxmlformats.org/officeDocument/2006/relationships/hyperlink" Target="mailto:farha.ashrafaboelmagd@vodafone.com.eg" TargetMode="External"/><Relationship Id="rId19" Type="http://schemas.openxmlformats.org/officeDocument/2006/relationships/hyperlink" Target="mailto:hany.ibrahimgamal@vodafone.com.eg" TargetMode="External"/><Relationship Id="rId4" Type="http://schemas.openxmlformats.org/officeDocument/2006/relationships/hyperlink" Target="mailto:samir.hosnysagheer@vodafone.com.eg" TargetMode="External"/><Relationship Id="rId9" Type="http://schemas.openxmlformats.org/officeDocument/2006/relationships/hyperlink" Target="mailto:ahmed.samehrizk@vodafone.com" TargetMode="External"/><Relationship Id="rId14" Type="http://schemas.openxmlformats.org/officeDocument/2006/relationships/hyperlink" Target="mailto:salma.waelmohamed@vodafone.com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54B0-97E1-4548-920E-BDC8B397D523}">
  <dimension ref="A1:J19"/>
  <sheetViews>
    <sheetView workbookViewId="0">
      <selection activeCell="I15" sqref="I15"/>
    </sheetView>
  </sheetViews>
  <sheetFormatPr defaultRowHeight="15" x14ac:dyDescent="0.25"/>
  <cols>
    <col min="1" max="1" width="9.5703125" customWidth="1"/>
    <col min="2" max="4" width="12.42578125" customWidth="1"/>
    <col min="5" max="5" width="14" customWidth="1"/>
    <col min="6" max="6" width="11.140625" customWidth="1"/>
    <col min="7" max="7" width="12.85546875" customWidth="1"/>
    <col min="8" max="8" width="15.5703125" customWidth="1"/>
    <col min="9" max="9" width="14.5703125" customWidth="1"/>
  </cols>
  <sheetData>
    <row r="1" spans="1:10" x14ac:dyDescent="0.25">
      <c r="A1" t="s">
        <v>43</v>
      </c>
      <c r="B1" t="s">
        <v>268</v>
      </c>
      <c r="C1" t="s">
        <v>269</v>
      </c>
      <c r="D1" t="s">
        <v>270</v>
      </c>
      <c r="E1" t="s">
        <v>42</v>
      </c>
      <c r="F1" t="s">
        <v>271</v>
      </c>
      <c r="G1" t="s">
        <v>272</v>
      </c>
      <c r="H1" t="s">
        <v>48</v>
      </c>
      <c r="I1" t="s">
        <v>275</v>
      </c>
      <c r="J1" t="s">
        <v>5</v>
      </c>
    </row>
    <row r="2" spans="1:10" x14ac:dyDescent="0.25">
      <c r="A2" t="s">
        <v>327</v>
      </c>
      <c r="B2">
        <v>10</v>
      </c>
      <c r="C2">
        <v>4</v>
      </c>
      <c r="D2">
        <v>5</v>
      </c>
      <c r="E2" t="s">
        <v>145</v>
      </c>
      <c r="F2" s="49">
        <v>46159</v>
      </c>
      <c r="G2" t="s">
        <v>247</v>
      </c>
      <c r="H2" t="s">
        <v>26</v>
      </c>
      <c r="I2" t="s">
        <v>22</v>
      </c>
      <c r="J2" t="s">
        <v>3</v>
      </c>
    </row>
    <row r="3" spans="1:10" x14ac:dyDescent="0.25">
      <c r="A3" t="s">
        <v>326</v>
      </c>
      <c r="B3">
        <v>10</v>
      </c>
      <c r="C3">
        <v>1</v>
      </c>
      <c r="D3">
        <v>5</v>
      </c>
      <c r="E3" t="s">
        <v>145</v>
      </c>
      <c r="F3" s="49">
        <v>46159</v>
      </c>
      <c r="G3" t="s">
        <v>247</v>
      </c>
      <c r="H3" t="s">
        <v>26</v>
      </c>
      <c r="I3" t="s">
        <v>22</v>
      </c>
      <c r="J3" t="s">
        <v>3</v>
      </c>
    </row>
    <row r="4" spans="1:10" x14ac:dyDescent="0.25">
      <c r="A4">
        <v>1062027180</v>
      </c>
      <c r="B4">
        <v>10</v>
      </c>
      <c r="C4" t="s">
        <v>244</v>
      </c>
      <c r="D4" t="s">
        <v>245</v>
      </c>
      <c r="E4" t="s">
        <v>145</v>
      </c>
      <c r="F4" s="49">
        <v>46158</v>
      </c>
      <c r="G4" t="s">
        <v>45</v>
      </c>
      <c r="H4" t="s">
        <v>26</v>
      </c>
      <c r="I4" t="s">
        <v>22</v>
      </c>
      <c r="J4" t="s">
        <v>3</v>
      </c>
    </row>
    <row r="5" spans="1:10" x14ac:dyDescent="0.25">
      <c r="A5">
        <v>1061574610</v>
      </c>
      <c r="B5">
        <v>10</v>
      </c>
      <c r="C5" t="s">
        <v>244</v>
      </c>
      <c r="D5" t="s">
        <v>245</v>
      </c>
      <c r="E5" t="s">
        <v>145</v>
      </c>
      <c r="F5" s="49">
        <v>46158</v>
      </c>
      <c r="G5" t="s">
        <v>247</v>
      </c>
      <c r="H5" t="s">
        <v>26</v>
      </c>
      <c r="I5" t="s">
        <v>22</v>
      </c>
      <c r="J5" t="s">
        <v>3</v>
      </c>
    </row>
    <row r="6" spans="1:10" x14ac:dyDescent="0.25">
      <c r="A6">
        <v>1040117543</v>
      </c>
      <c r="B6">
        <v>10</v>
      </c>
      <c r="C6" t="s">
        <v>250</v>
      </c>
      <c r="D6" t="s">
        <v>245</v>
      </c>
      <c r="E6" t="s">
        <v>145</v>
      </c>
      <c r="F6" s="49">
        <v>46158</v>
      </c>
      <c r="G6" t="s">
        <v>247</v>
      </c>
      <c r="H6" t="s">
        <v>26</v>
      </c>
      <c r="I6" t="s">
        <v>22</v>
      </c>
      <c r="J6" t="s">
        <v>3</v>
      </c>
    </row>
    <row r="7" spans="1:10" x14ac:dyDescent="0.25">
      <c r="A7">
        <v>1060734865</v>
      </c>
      <c r="B7">
        <v>10</v>
      </c>
      <c r="C7" t="s">
        <v>244</v>
      </c>
      <c r="D7" t="s">
        <v>245</v>
      </c>
      <c r="E7" t="s">
        <v>145</v>
      </c>
      <c r="F7" s="49">
        <v>46155</v>
      </c>
      <c r="G7" t="s">
        <v>45</v>
      </c>
      <c r="H7" t="s">
        <v>26</v>
      </c>
      <c r="I7" t="s">
        <v>22</v>
      </c>
      <c r="J7" t="s">
        <v>3</v>
      </c>
    </row>
    <row r="8" spans="1:10" x14ac:dyDescent="0.25">
      <c r="A8">
        <v>1002077069</v>
      </c>
      <c r="B8">
        <v>10</v>
      </c>
      <c r="C8" t="s">
        <v>250</v>
      </c>
      <c r="D8" t="s">
        <v>245</v>
      </c>
      <c r="E8" t="s">
        <v>145</v>
      </c>
      <c r="F8" s="49">
        <v>46155</v>
      </c>
      <c r="G8" t="s">
        <v>45</v>
      </c>
      <c r="H8" t="s">
        <v>26</v>
      </c>
      <c r="I8" t="s">
        <v>22</v>
      </c>
      <c r="J8" t="s">
        <v>3</v>
      </c>
    </row>
    <row r="9" spans="1:10" x14ac:dyDescent="0.25">
      <c r="A9">
        <v>1099157562</v>
      </c>
      <c r="B9">
        <v>10</v>
      </c>
      <c r="C9" t="s">
        <v>244</v>
      </c>
      <c r="D9" t="s">
        <v>245</v>
      </c>
      <c r="E9" t="s">
        <v>145</v>
      </c>
      <c r="F9" s="49">
        <v>46154</v>
      </c>
      <c r="G9" t="s">
        <v>45</v>
      </c>
      <c r="H9" t="s">
        <v>26</v>
      </c>
      <c r="I9" t="s">
        <v>22</v>
      </c>
      <c r="J9" t="s">
        <v>3</v>
      </c>
    </row>
    <row r="10" spans="1:10" x14ac:dyDescent="0.25">
      <c r="A10">
        <v>1065277718</v>
      </c>
      <c r="B10">
        <v>10</v>
      </c>
      <c r="C10" t="s">
        <v>248</v>
      </c>
      <c r="D10" t="s">
        <v>245</v>
      </c>
      <c r="E10" t="s">
        <v>145</v>
      </c>
      <c r="F10" s="49">
        <v>46154</v>
      </c>
      <c r="G10" t="s">
        <v>45</v>
      </c>
      <c r="H10" t="s">
        <v>26</v>
      </c>
      <c r="I10" t="s">
        <v>22</v>
      </c>
      <c r="J10" t="s">
        <v>3</v>
      </c>
    </row>
    <row r="11" spans="1:10" x14ac:dyDescent="0.25">
      <c r="A11">
        <v>1021751111</v>
      </c>
      <c r="B11">
        <v>9</v>
      </c>
      <c r="C11" t="s">
        <v>250</v>
      </c>
      <c r="D11" t="s">
        <v>245</v>
      </c>
      <c r="E11" t="s">
        <v>145</v>
      </c>
      <c r="F11" s="49">
        <v>46154</v>
      </c>
      <c r="G11" t="s">
        <v>45</v>
      </c>
      <c r="H11" t="s">
        <v>26</v>
      </c>
      <c r="I11" t="s">
        <v>22</v>
      </c>
      <c r="J11" t="s">
        <v>3</v>
      </c>
    </row>
    <row r="12" spans="1:10" x14ac:dyDescent="0.25">
      <c r="A12">
        <v>1068370983</v>
      </c>
      <c r="B12">
        <v>10</v>
      </c>
      <c r="C12" t="s">
        <v>244</v>
      </c>
      <c r="D12" t="s">
        <v>245</v>
      </c>
      <c r="E12" t="s">
        <v>145</v>
      </c>
      <c r="F12" s="49">
        <v>46153</v>
      </c>
      <c r="G12" t="s">
        <v>45</v>
      </c>
      <c r="H12" t="s">
        <v>26</v>
      </c>
      <c r="I12" t="s">
        <v>22</v>
      </c>
      <c r="J12" t="s">
        <v>3</v>
      </c>
    </row>
    <row r="13" spans="1:10" x14ac:dyDescent="0.25">
      <c r="A13">
        <v>1096712464</v>
      </c>
      <c r="B13">
        <v>10</v>
      </c>
      <c r="C13" t="s">
        <v>250</v>
      </c>
      <c r="D13" t="s">
        <v>245</v>
      </c>
      <c r="E13" t="s">
        <v>145</v>
      </c>
      <c r="F13" s="49">
        <v>46152</v>
      </c>
      <c r="G13" t="s">
        <v>45</v>
      </c>
      <c r="H13" t="s">
        <v>26</v>
      </c>
      <c r="I13" t="s">
        <v>22</v>
      </c>
      <c r="J13" t="s">
        <v>3</v>
      </c>
    </row>
    <row r="14" spans="1:10" x14ac:dyDescent="0.25">
      <c r="A14">
        <v>1033205019</v>
      </c>
      <c r="B14">
        <v>10</v>
      </c>
      <c r="C14" t="s">
        <v>250</v>
      </c>
      <c r="D14" t="s">
        <v>245</v>
      </c>
      <c r="E14" t="s">
        <v>145</v>
      </c>
      <c r="F14" s="49">
        <v>46151</v>
      </c>
      <c r="G14" t="s">
        <v>45</v>
      </c>
      <c r="H14" t="s">
        <v>26</v>
      </c>
      <c r="I14" t="s">
        <v>22</v>
      </c>
      <c r="J14" t="s">
        <v>3</v>
      </c>
    </row>
    <row r="15" spans="1:10" x14ac:dyDescent="0.25">
      <c r="A15">
        <v>1279090763</v>
      </c>
      <c r="B15">
        <v>10</v>
      </c>
      <c r="C15" t="s">
        <v>250</v>
      </c>
      <c r="D15" t="s">
        <v>245</v>
      </c>
      <c r="E15" t="s">
        <v>145</v>
      </c>
      <c r="F15" s="49">
        <v>46148</v>
      </c>
      <c r="G15" t="s">
        <v>45</v>
      </c>
      <c r="H15" t="s">
        <v>26</v>
      </c>
      <c r="I15" t="s">
        <v>22</v>
      </c>
      <c r="J15" t="s">
        <v>3</v>
      </c>
    </row>
    <row r="16" spans="1:10" x14ac:dyDescent="0.25">
      <c r="A16">
        <v>1005452345</v>
      </c>
      <c r="B16">
        <v>9</v>
      </c>
      <c r="C16" t="s">
        <v>244</v>
      </c>
      <c r="D16" t="s">
        <v>245</v>
      </c>
      <c r="E16" t="s">
        <v>145</v>
      </c>
      <c r="F16" s="49">
        <v>46148</v>
      </c>
      <c r="G16" t="s">
        <v>45</v>
      </c>
      <c r="H16" t="s">
        <v>26</v>
      </c>
      <c r="I16" t="s">
        <v>22</v>
      </c>
      <c r="J16" t="s">
        <v>3</v>
      </c>
    </row>
    <row r="17" spans="1:10" x14ac:dyDescent="0.25">
      <c r="A17">
        <v>1033752375</v>
      </c>
      <c r="B17">
        <v>9</v>
      </c>
      <c r="C17" t="s">
        <v>250</v>
      </c>
      <c r="D17" t="s">
        <v>250</v>
      </c>
      <c r="E17" t="s">
        <v>145</v>
      </c>
      <c r="F17" s="49">
        <v>46147</v>
      </c>
      <c r="G17" t="s">
        <v>45</v>
      </c>
      <c r="H17" t="s">
        <v>26</v>
      </c>
      <c r="I17" t="s">
        <v>22</v>
      </c>
      <c r="J17" t="s">
        <v>3</v>
      </c>
    </row>
    <row r="18" spans="1:10" x14ac:dyDescent="0.25">
      <c r="A18">
        <v>1020397889</v>
      </c>
      <c r="B18">
        <v>10</v>
      </c>
      <c r="C18" t="s">
        <v>244</v>
      </c>
      <c r="D18" t="s">
        <v>245</v>
      </c>
      <c r="E18" t="s">
        <v>145</v>
      </c>
      <c r="F18" s="49">
        <v>46146</v>
      </c>
      <c r="G18" t="s">
        <v>45</v>
      </c>
      <c r="H18" t="s">
        <v>26</v>
      </c>
      <c r="I18" t="s">
        <v>22</v>
      </c>
      <c r="J18" t="s">
        <v>3</v>
      </c>
    </row>
    <row r="19" spans="1:10" x14ac:dyDescent="0.25">
      <c r="A19">
        <v>1008910270</v>
      </c>
      <c r="B19">
        <v>10</v>
      </c>
      <c r="C19" t="s">
        <v>244</v>
      </c>
      <c r="D19" t="s">
        <v>245</v>
      </c>
      <c r="E19" t="s">
        <v>145</v>
      </c>
      <c r="F19" s="49">
        <v>46146</v>
      </c>
      <c r="G19" t="s">
        <v>45</v>
      </c>
      <c r="H19" t="s">
        <v>26</v>
      </c>
      <c r="I19" t="s">
        <v>22</v>
      </c>
      <c r="J19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25BF-759A-4191-A787-6600DA0FAFE5}">
  <dimension ref="A1:AC55"/>
  <sheetViews>
    <sheetView topLeftCell="A22" zoomScale="85" zoomScaleNormal="85" workbookViewId="0">
      <selection activeCell="D28" sqref="D28"/>
    </sheetView>
  </sheetViews>
  <sheetFormatPr defaultRowHeight="15" x14ac:dyDescent="0.25"/>
  <cols>
    <col min="1" max="1" width="34.42578125" bestFit="1" customWidth="1"/>
    <col min="2" max="2" width="19.140625" bestFit="1" customWidth="1"/>
    <col min="3" max="3" width="3.140625" bestFit="1" customWidth="1"/>
    <col min="4" max="4" width="4.140625" bestFit="1" customWidth="1"/>
    <col min="5" max="5" width="11.28515625" bestFit="1" customWidth="1"/>
    <col min="6" max="6" width="10" customWidth="1"/>
    <col min="7" max="7" width="18.28515625" bestFit="1" customWidth="1"/>
    <col min="13" max="13" width="32.5703125" bestFit="1" customWidth="1"/>
    <col min="14" max="15" width="7.85546875" bestFit="1" customWidth="1"/>
    <col min="16" max="16" width="7.7109375" bestFit="1" customWidth="1"/>
    <col min="17" max="17" width="16" bestFit="1" customWidth="1"/>
    <col min="18" max="18" width="11.28515625" bestFit="1" customWidth="1"/>
    <col min="19" max="19" width="22.85546875" bestFit="1" customWidth="1"/>
    <col min="23" max="23" width="32.5703125" bestFit="1" customWidth="1"/>
    <col min="24" max="25" width="7.85546875" bestFit="1" customWidth="1"/>
    <col min="26" max="26" width="7.7109375" bestFit="1" customWidth="1"/>
    <col min="27" max="27" width="16" bestFit="1" customWidth="1"/>
    <col min="28" max="28" width="11.28515625" bestFit="1" customWidth="1"/>
    <col min="29" max="29" width="22.85546875" bestFit="1" customWidth="1"/>
    <col min="30" max="30" width="11.28515625" bestFit="1" customWidth="1"/>
    <col min="31" max="31" width="22.85546875" bestFit="1" customWidth="1"/>
  </cols>
  <sheetData>
    <row r="1" spans="1:29" x14ac:dyDescent="0.25">
      <c r="M1" s="41" t="s">
        <v>278</v>
      </c>
      <c r="N1" s="41" t="s">
        <v>1</v>
      </c>
      <c r="O1" s="41" t="s">
        <v>2</v>
      </c>
      <c r="P1" s="41" t="s">
        <v>3</v>
      </c>
      <c r="Q1" s="41" t="s">
        <v>4</v>
      </c>
      <c r="R1" s="38" t="s">
        <v>5</v>
      </c>
      <c r="S1" s="38" t="s">
        <v>277</v>
      </c>
      <c r="W1" s="41" t="s">
        <v>278</v>
      </c>
      <c r="X1" s="41" t="s">
        <v>1</v>
      </c>
      <c r="Y1" s="41" t="s">
        <v>2</v>
      </c>
      <c r="Z1" s="41" t="s">
        <v>3</v>
      </c>
      <c r="AA1" s="41" t="s">
        <v>4</v>
      </c>
      <c r="AB1" s="38" t="s">
        <v>5</v>
      </c>
      <c r="AC1" s="38" t="s">
        <v>277</v>
      </c>
    </row>
    <row r="2" spans="1:29" x14ac:dyDescent="0.25">
      <c r="M2" s="1" t="s">
        <v>297</v>
      </c>
      <c r="N2" s="39"/>
      <c r="O2" s="39"/>
      <c r="P2" s="39">
        <v>2</v>
      </c>
      <c r="Q2" s="39">
        <v>2</v>
      </c>
      <c r="R2" s="40">
        <f>(P2-N2)/Q2 *100</f>
        <v>100</v>
      </c>
      <c r="S2" s="38">
        <f xml:space="preserve"> (N2 *5) + (O2 *2) -P2</f>
        <v>-2</v>
      </c>
      <c r="W2" s="1" t="s">
        <v>26</v>
      </c>
      <c r="X2" s="39"/>
      <c r="Y2" s="39"/>
      <c r="Z2" s="39">
        <v>18</v>
      </c>
      <c r="AA2" s="39">
        <v>18</v>
      </c>
      <c r="AB2" s="40">
        <f>(Z2-X2)/AA2 *100</f>
        <v>100</v>
      </c>
      <c r="AC2" s="38">
        <f xml:space="preserve"> (X2 *5) + (Y2 *2) -Z2</f>
        <v>-18</v>
      </c>
    </row>
    <row r="3" spans="1:29" x14ac:dyDescent="0.25">
      <c r="A3" s="37" t="s">
        <v>276</v>
      </c>
      <c r="B3" s="37" t="s">
        <v>7</v>
      </c>
      <c r="C3" s="1"/>
      <c r="D3" s="1"/>
      <c r="E3" s="1"/>
      <c r="F3" s="1"/>
      <c r="G3" s="1"/>
      <c r="M3" s="1" t="s">
        <v>6</v>
      </c>
      <c r="N3" s="39">
        <v>1</v>
      </c>
      <c r="O3" s="39"/>
      <c r="P3" s="39">
        <v>14</v>
      </c>
      <c r="Q3" s="39">
        <v>15</v>
      </c>
      <c r="R3" s="48">
        <f>(P3-N3)/Q3 *100</f>
        <v>86.666666666666671</v>
      </c>
      <c r="S3" s="38">
        <f xml:space="preserve"> (N3 *5) + (O3 *2) -P3</f>
        <v>-9</v>
      </c>
      <c r="W3" s="1" t="s">
        <v>24</v>
      </c>
      <c r="X3" s="39"/>
      <c r="Y3" s="39"/>
      <c r="Z3" s="39">
        <v>12</v>
      </c>
      <c r="AA3" s="39">
        <v>12</v>
      </c>
      <c r="AB3" s="40">
        <f>(Z3-X3)/AA3 *100</f>
        <v>100</v>
      </c>
      <c r="AC3" s="38">
        <f xml:space="preserve"> (X3 *5) + (Y3 *2) -Z3</f>
        <v>-12</v>
      </c>
    </row>
    <row r="4" spans="1:29" x14ac:dyDescent="0.25">
      <c r="A4" s="37" t="s">
        <v>278</v>
      </c>
      <c r="B4" s="1" t="s">
        <v>1</v>
      </c>
      <c r="C4" s="1" t="s">
        <v>2</v>
      </c>
      <c r="D4" s="1" t="s">
        <v>3</v>
      </c>
      <c r="E4" s="1" t="s">
        <v>4</v>
      </c>
      <c r="F4" s="38" t="s">
        <v>5</v>
      </c>
      <c r="G4" s="38" t="s">
        <v>277</v>
      </c>
      <c r="M4" s="1" t="s">
        <v>241</v>
      </c>
      <c r="N4" s="39"/>
      <c r="O4" s="39">
        <v>1</v>
      </c>
      <c r="P4" s="39">
        <v>1</v>
      </c>
      <c r="Q4" s="39">
        <v>2</v>
      </c>
      <c r="R4" s="48">
        <f>(P4-N4)/Q4 *100</f>
        <v>50</v>
      </c>
      <c r="S4" s="38">
        <f xml:space="preserve"> (N4 *5) + (O4 *2) -P4</f>
        <v>1</v>
      </c>
      <c r="W4" s="1" t="s">
        <v>6</v>
      </c>
      <c r="X4" s="39">
        <v>1</v>
      </c>
      <c r="Y4" s="39"/>
      <c r="Z4" s="39">
        <v>14</v>
      </c>
      <c r="AA4" s="39">
        <v>15</v>
      </c>
      <c r="AB4" s="48">
        <f>(Z4-X4)/AA4 *100</f>
        <v>86.666666666666671</v>
      </c>
      <c r="AC4" s="38">
        <f xml:space="preserve"> (X4 *5) + (Y4 *2) -Z4</f>
        <v>-9</v>
      </c>
    </row>
    <row r="5" spans="1:29" x14ac:dyDescent="0.25">
      <c r="A5" s="41" t="s">
        <v>10</v>
      </c>
      <c r="B5" s="47">
        <v>19</v>
      </c>
      <c r="C5" s="47">
        <v>3</v>
      </c>
      <c r="D5" s="47">
        <v>45</v>
      </c>
      <c r="E5" s="47">
        <v>67</v>
      </c>
      <c r="F5" s="48">
        <f t="shared" ref="F5:F46" si="0">(D5-B5)/E5 *100</f>
        <v>38.805970149253731</v>
      </c>
      <c r="G5" s="38">
        <f t="shared" ref="G5:G46" si="1" xml:space="preserve"> (B5 *5) + (C5 *2) -D5</f>
        <v>56</v>
      </c>
      <c r="M5" s="1" t="s">
        <v>9</v>
      </c>
      <c r="N5" s="39">
        <v>3</v>
      </c>
      <c r="O5" s="39"/>
      <c r="P5" s="39">
        <v>7</v>
      </c>
      <c r="Q5" s="39">
        <v>10</v>
      </c>
      <c r="R5" s="48">
        <f>(P5-N5)/Q5 *100</f>
        <v>40</v>
      </c>
      <c r="S5" s="38">
        <f xml:space="preserve"> (N5 *5) + (O5 *2) -P5</f>
        <v>8</v>
      </c>
      <c r="W5" s="1" t="s">
        <v>28</v>
      </c>
      <c r="X5" s="39">
        <v>1</v>
      </c>
      <c r="Y5" s="39">
        <v>1</v>
      </c>
      <c r="Z5" s="39">
        <v>13</v>
      </c>
      <c r="AA5" s="39">
        <v>15</v>
      </c>
      <c r="AB5" s="40">
        <f>(Z5-X5)/AA5 *100</f>
        <v>80</v>
      </c>
      <c r="AC5" s="38">
        <f xml:space="preserve"> (X5 *5) + (Y5 *2) -Z5</f>
        <v>-6</v>
      </c>
    </row>
    <row r="6" spans="1:29" x14ac:dyDescent="0.25">
      <c r="A6" s="1" t="s">
        <v>6</v>
      </c>
      <c r="B6" s="39">
        <v>1</v>
      </c>
      <c r="C6" s="39"/>
      <c r="D6" s="39">
        <v>14</v>
      </c>
      <c r="E6" s="39">
        <v>15</v>
      </c>
      <c r="F6" s="48">
        <f t="shared" si="0"/>
        <v>86.666666666666671</v>
      </c>
      <c r="G6" s="38">
        <f t="shared" si="1"/>
        <v>-9</v>
      </c>
      <c r="M6" s="1" t="s">
        <v>8</v>
      </c>
      <c r="N6" s="39">
        <v>3</v>
      </c>
      <c r="O6" s="39"/>
      <c r="P6" s="39">
        <v>5</v>
      </c>
      <c r="Q6" s="39">
        <v>8</v>
      </c>
      <c r="R6" s="40">
        <f>(P6-N6)/Q6 *100</f>
        <v>25</v>
      </c>
      <c r="S6" s="38">
        <f xml:space="preserve"> (N6 *5) + (O6 *2) -P6</f>
        <v>10</v>
      </c>
      <c r="W6" s="1" t="s">
        <v>19</v>
      </c>
      <c r="X6" s="39">
        <v>1</v>
      </c>
      <c r="Y6" s="39">
        <v>1</v>
      </c>
      <c r="Z6" s="39">
        <v>12</v>
      </c>
      <c r="AA6" s="39">
        <v>14</v>
      </c>
      <c r="AB6" s="40">
        <f>(Z6-X6)/AA6 *100</f>
        <v>78.571428571428569</v>
      </c>
      <c r="AC6" s="38">
        <f xml:space="preserve"> (X6 *5) + (Y6 *2) -Z6</f>
        <v>-5</v>
      </c>
    </row>
    <row r="7" spans="1:29" x14ac:dyDescent="0.25">
      <c r="A7" s="1" t="s">
        <v>9</v>
      </c>
      <c r="B7" s="39">
        <v>4</v>
      </c>
      <c r="C7" s="39"/>
      <c r="D7" s="39">
        <v>8</v>
      </c>
      <c r="E7" s="39">
        <v>12</v>
      </c>
      <c r="F7" s="48">
        <f t="shared" si="0"/>
        <v>33.333333333333329</v>
      </c>
      <c r="G7" s="38">
        <f t="shared" si="1"/>
        <v>12</v>
      </c>
      <c r="M7" s="1" t="s">
        <v>12</v>
      </c>
      <c r="N7" s="39">
        <v>2</v>
      </c>
      <c r="O7" s="39">
        <v>1</v>
      </c>
      <c r="P7" s="39">
        <v>3</v>
      </c>
      <c r="Q7" s="39">
        <v>6</v>
      </c>
      <c r="R7" s="40">
        <f>(P7-N7)/Q7 *100</f>
        <v>16.666666666666664</v>
      </c>
      <c r="S7" s="38">
        <f xml:space="preserve"> (N7 *5) + (O7 *2) -P7</f>
        <v>9</v>
      </c>
      <c r="W7" s="1" t="s">
        <v>27</v>
      </c>
      <c r="X7" s="39"/>
      <c r="Y7" s="39">
        <v>3</v>
      </c>
      <c r="Z7" s="39">
        <v>11</v>
      </c>
      <c r="AA7" s="39">
        <v>14</v>
      </c>
      <c r="AB7" s="40">
        <f>(Z7-X7)/AA7 *100</f>
        <v>78.571428571428569</v>
      </c>
      <c r="AC7" s="38">
        <f xml:space="preserve"> (X7 *5) + (Y7 *2) -Z7</f>
        <v>-5</v>
      </c>
    </row>
    <row r="8" spans="1:29" x14ac:dyDescent="0.25">
      <c r="A8" s="1" t="s">
        <v>11</v>
      </c>
      <c r="B8" s="39">
        <v>5</v>
      </c>
      <c r="C8" s="39">
        <v>1</v>
      </c>
      <c r="D8" s="39">
        <v>3</v>
      </c>
      <c r="E8" s="39">
        <v>9</v>
      </c>
      <c r="F8" s="48">
        <f t="shared" si="0"/>
        <v>-22.222222222222221</v>
      </c>
      <c r="G8" s="38">
        <f t="shared" si="1"/>
        <v>24</v>
      </c>
      <c r="M8" s="1" t="s">
        <v>295</v>
      </c>
      <c r="N8" s="39">
        <v>1</v>
      </c>
      <c r="O8" s="39"/>
      <c r="P8" s="39">
        <v>1</v>
      </c>
      <c r="Q8" s="39">
        <v>2</v>
      </c>
      <c r="R8" s="40">
        <f>(P8-N8)/Q8 *100</f>
        <v>0</v>
      </c>
      <c r="S8" s="38">
        <f xml:space="preserve"> (N8 *5) + (O8 *2) -P8</f>
        <v>4</v>
      </c>
      <c r="W8" s="1" t="s">
        <v>37</v>
      </c>
      <c r="X8" s="39">
        <v>1</v>
      </c>
      <c r="Y8" s="39"/>
      <c r="Z8" s="39">
        <v>9</v>
      </c>
      <c r="AA8" s="39">
        <v>10</v>
      </c>
      <c r="AB8" s="40">
        <f>(Z8-X8)/AA8 *100</f>
        <v>80</v>
      </c>
      <c r="AC8" s="38">
        <f xml:space="preserve"> (X8 *5) + (Y8 *2) -Z8</f>
        <v>-4</v>
      </c>
    </row>
    <row r="9" spans="1:29" x14ac:dyDescent="0.25">
      <c r="A9" s="1" t="s">
        <v>241</v>
      </c>
      <c r="B9" s="39"/>
      <c r="C9" s="39">
        <v>1</v>
      </c>
      <c r="D9" s="39">
        <v>3</v>
      </c>
      <c r="E9" s="39">
        <v>4</v>
      </c>
      <c r="F9" s="48">
        <f t="shared" si="0"/>
        <v>75</v>
      </c>
      <c r="G9" s="38">
        <f t="shared" si="1"/>
        <v>-1</v>
      </c>
      <c r="M9" s="1" t="s">
        <v>11</v>
      </c>
      <c r="N9" s="39">
        <v>5</v>
      </c>
      <c r="O9" s="39">
        <v>1</v>
      </c>
      <c r="P9" s="39">
        <v>3</v>
      </c>
      <c r="Q9" s="39">
        <v>9</v>
      </c>
      <c r="R9" s="48">
        <f>(P9-N9)/Q9 *100</f>
        <v>-22.222222222222221</v>
      </c>
      <c r="S9" s="38">
        <f xml:space="preserve"> (N9 *5) + (O9 *2) -P9</f>
        <v>24</v>
      </c>
      <c r="W9" s="1" t="s">
        <v>297</v>
      </c>
      <c r="X9" s="39"/>
      <c r="Y9" s="39"/>
      <c r="Z9" s="39">
        <v>2</v>
      </c>
      <c r="AA9" s="39">
        <v>2</v>
      </c>
      <c r="AB9" s="40">
        <f>(Z9-X9)/AA9 *100</f>
        <v>100</v>
      </c>
      <c r="AC9" s="38">
        <f xml:space="preserve"> (X9 *5) + (Y9 *2) -Z9</f>
        <v>-2</v>
      </c>
    </row>
    <row r="10" spans="1:29" x14ac:dyDescent="0.25">
      <c r="A10" s="1" t="s">
        <v>12</v>
      </c>
      <c r="B10" s="39">
        <v>2</v>
      </c>
      <c r="C10" s="39">
        <v>1</v>
      </c>
      <c r="D10" s="39">
        <v>5</v>
      </c>
      <c r="E10" s="39">
        <v>8</v>
      </c>
      <c r="F10" s="40">
        <f t="shared" si="0"/>
        <v>37.5</v>
      </c>
      <c r="G10" s="38">
        <f t="shared" si="1"/>
        <v>7</v>
      </c>
      <c r="M10" s="1" t="s">
        <v>291</v>
      </c>
      <c r="N10" s="39">
        <v>2</v>
      </c>
      <c r="O10" s="39"/>
      <c r="P10" s="39"/>
      <c r="Q10" s="39">
        <v>2</v>
      </c>
      <c r="R10" s="40">
        <f>(P10-N10)/Q10 *100</f>
        <v>-100</v>
      </c>
      <c r="S10" s="38">
        <f xml:space="preserve"> (N10 *5) + (O10 *2) -P10</f>
        <v>10</v>
      </c>
      <c r="W10" s="1" t="s">
        <v>241</v>
      </c>
      <c r="X10" s="39"/>
      <c r="Y10" s="39">
        <v>1</v>
      </c>
      <c r="Z10" s="39">
        <v>3</v>
      </c>
      <c r="AA10" s="39">
        <v>4</v>
      </c>
      <c r="AB10" s="48">
        <f>(Z10-X10)/AA10 *100</f>
        <v>75</v>
      </c>
      <c r="AC10" s="38">
        <f xml:space="preserve"> (X10 *5) + (Y10 *2) -Z10</f>
        <v>-1</v>
      </c>
    </row>
    <row r="11" spans="1:29" x14ac:dyDescent="0.25">
      <c r="A11" s="1" t="s">
        <v>8</v>
      </c>
      <c r="B11" s="39">
        <v>3</v>
      </c>
      <c r="C11" s="39"/>
      <c r="D11" s="39">
        <v>5</v>
      </c>
      <c r="E11" s="39">
        <v>8</v>
      </c>
      <c r="F11" s="40">
        <f t="shared" si="0"/>
        <v>25</v>
      </c>
      <c r="G11" s="38">
        <f t="shared" si="1"/>
        <v>10</v>
      </c>
      <c r="M11" s="41" t="s">
        <v>10</v>
      </c>
      <c r="N11" s="47">
        <v>17</v>
      </c>
      <c r="O11" s="47">
        <v>3</v>
      </c>
      <c r="P11" s="47">
        <v>36</v>
      </c>
      <c r="Q11" s="47">
        <v>56</v>
      </c>
      <c r="R11" s="48">
        <f t="shared" ref="R11" si="2">(P11-N11)/Q11 *100</f>
        <v>33.928571428571431</v>
      </c>
      <c r="S11" s="38">
        <f t="shared" ref="S11" si="3" xml:space="preserve"> (N11 *5) + (O11 *2) -P11</f>
        <v>55</v>
      </c>
      <c r="W11" s="1" t="s">
        <v>22</v>
      </c>
      <c r="X11" s="39"/>
      <c r="Y11" s="39"/>
      <c r="Z11" s="39">
        <v>1</v>
      </c>
      <c r="AA11" s="39">
        <v>1</v>
      </c>
      <c r="AB11" s="40">
        <f>(Z11-X11)/AA11 *100</f>
        <v>100</v>
      </c>
      <c r="AC11" s="38">
        <f xml:space="preserve"> (X11 *5) + (Y11 *2) -Z11</f>
        <v>-1</v>
      </c>
    </row>
    <row r="12" spans="1:29" x14ac:dyDescent="0.25">
      <c r="A12" s="1" t="s">
        <v>291</v>
      </c>
      <c r="B12" s="39">
        <v>2</v>
      </c>
      <c r="C12" s="39"/>
      <c r="D12" s="39">
        <v>1</v>
      </c>
      <c r="E12" s="39">
        <v>3</v>
      </c>
      <c r="F12" s="40">
        <f t="shared" si="0"/>
        <v>-33.333333333333329</v>
      </c>
      <c r="G12" s="38">
        <f t="shared" si="1"/>
        <v>9</v>
      </c>
      <c r="W12" s="1" t="s">
        <v>76</v>
      </c>
      <c r="X12" s="39"/>
      <c r="Y12" s="39"/>
      <c r="Z12" s="39">
        <v>1</v>
      </c>
      <c r="AA12" s="39">
        <v>1</v>
      </c>
      <c r="AB12" s="40">
        <f>(Z12-X12)/AA12 *100</f>
        <v>100</v>
      </c>
      <c r="AC12" s="38">
        <f xml:space="preserve"> (X12 *5) + (Y12 *2) -Z12</f>
        <v>-1</v>
      </c>
    </row>
    <row r="13" spans="1:29" x14ac:dyDescent="0.25">
      <c r="A13" s="1" t="s">
        <v>297</v>
      </c>
      <c r="B13" s="39"/>
      <c r="C13" s="39"/>
      <c r="D13" s="39">
        <v>2</v>
      </c>
      <c r="E13" s="39">
        <v>2</v>
      </c>
      <c r="F13" s="40">
        <f t="shared" si="0"/>
        <v>100</v>
      </c>
      <c r="G13" s="38">
        <f t="shared" si="1"/>
        <v>-2</v>
      </c>
      <c r="M13" s="41" t="s">
        <v>278</v>
      </c>
      <c r="N13" s="41" t="s">
        <v>1</v>
      </c>
      <c r="O13" s="41" t="s">
        <v>2</v>
      </c>
      <c r="P13" s="41" t="s">
        <v>3</v>
      </c>
      <c r="Q13" s="41" t="s">
        <v>4</v>
      </c>
      <c r="R13" s="38" t="s">
        <v>5</v>
      </c>
      <c r="S13" s="38" t="s">
        <v>277</v>
      </c>
      <c r="W13" s="1" t="s">
        <v>15</v>
      </c>
      <c r="X13" s="39">
        <v>1</v>
      </c>
      <c r="Y13" s="39">
        <v>1</v>
      </c>
      <c r="Z13" s="39">
        <v>7</v>
      </c>
      <c r="AA13" s="39">
        <v>9</v>
      </c>
      <c r="AB13" s="40">
        <f>(Z13-X13)/AA13 *100</f>
        <v>66.666666666666657</v>
      </c>
      <c r="AC13" s="38">
        <f xml:space="preserve"> (X13 *5) + (Y13 *2) -Z13</f>
        <v>0</v>
      </c>
    </row>
    <row r="14" spans="1:29" x14ac:dyDescent="0.25">
      <c r="A14" s="1" t="s">
        <v>295</v>
      </c>
      <c r="B14" s="39">
        <v>2</v>
      </c>
      <c r="C14" s="39"/>
      <c r="D14" s="39">
        <v>4</v>
      </c>
      <c r="E14" s="39">
        <v>6</v>
      </c>
      <c r="F14" s="40">
        <f t="shared" si="0"/>
        <v>33.333333333333329</v>
      </c>
      <c r="G14" s="38">
        <f t="shared" si="1"/>
        <v>6</v>
      </c>
      <c r="M14" s="1" t="s">
        <v>299</v>
      </c>
      <c r="N14" s="39"/>
      <c r="O14" s="39"/>
      <c r="P14" s="39">
        <v>1</v>
      </c>
      <c r="Q14" s="39">
        <v>1</v>
      </c>
      <c r="R14" s="40">
        <f>(P14-N14)/Q14 *100</f>
        <v>100</v>
      </c>
      <c r="S14" s="38">
        <f xml:space="preserve"> (N14 *5) + (O14 *2) -P14</f>
        <v>-1</v>
      </c>
      <c r="W14" s="1" t="s">
        <v>41</v>
      </c>
      <c r="X14" s="39">
        <v>1</v>
      </c>
      <c r="Y14" s="39"/>
      <c r="Z14" s="39">
        <v>5</v>
      </c>
      <c r="AA14" s="39">
        <v>6</v>
      </c>
      <c r="AB14" s="40">
        <f>(Z14-X14)/AA14 *100</f>
        <v>66.666666666666657</v>
      </c>
      <c r="AC14" s="38">
        <f xml:space="preserve"> (X14 *5) + (Y14 *2) -Z14</f>
        <v>0</v>
      </c>
    </row>
    <row r="15" spans="1:29" x14ac:dyDescent="0.25">
      <c r="A15" s="41" t="s">
        <v>14</v>
      </c>
      <c r="B15" s="47">
        <v>31</v>
      </c>
      <c r="C15" s="47">
        <v>9</v>
      </c>
      <c r="D15" s="47">
        <v>99</v>
      </c>
      <c r="E15" s="47">
        <v>139</v>
      </c>
      <c r="F15" s="40">
        <f t="shared" si="0"/>
        <v>48.920863309352519</v>
      </c>
      <c r="G15" s="38">
        <f t="shared" si="1"/>
        <v>74</v>
      </c>
      <c r="M15" s="1" t="s">
        <v>17</v>
      </c>
      <c r="N15" s="39">
        <v>2</v>
      </c>
      <c r="O15" s="39"/>
      <c r="P15" s="39">
        <v>13</v>
      </c>
      <c r="Q15" s="39">
        <v>15</v>
      </c>
      <c r="R15" s="48">
        <f>(P15-N15)/Q15 *100</f>
        <v>73.333333333333329</v>
      </c>
      <c r="S15" s="38">
        <f xml:space="preserve"> (N15 *5) + (O15 *2) -P15</f>
        <v>-3</v>
      </c>
      <c r="W15" s="1" t="s">
        <v>35</v>
      </c>
      <c r="X15" s="39">
        <v>1</v>
      </c>
      <c r="Y15" s="39"/>
      <c r="Z15" s="39">
        <v>5</v>
      </c>
      <c r="AA15" s="39">
        <v>6</v>
      </c>
      <c r="AB15" s="40">
        <f>(Z15-X15)/AA15 *100</f>
        <v>66.666666666666657</v>
      </c>
      <c r="AC15" s="38">
        <f xml:space="preserve"> (X15 *5) + (Y15 *2) -Z15</f>
        <v>0</v>
      </c>
    </row>
    <row r="16" spans="1:29" x14ac:dyDescent="0.25">
      <c r="A16" s="1" t="s">
        <v>20</v>
      </c>
      <c r="B16" s="39">
        <v>2</v>
      </c>
      <c r="C16" s="39"/>
      <c r="D16" s="39">
        <v>4</v>
      </c>
      <c r="E16" s="39">
        <v>6</v>
      </c>
      <c r="F16" s="40">
        <f t="shared" si="0"/>
        <v>33.333333333333329</v>
      </c>
      <c r="G16" s="38">
        <f t="shared" si="1"/>
        <v>6</v>
      </c>
      <c r="M16" s="1" t="s">
        <v>19</v>
      </c>
      <c r="N16" s="39">
        <v>1</v>
      </c>
      <c r="O16" s="39">
        <v>1</v>
      </c>
      <c r="P16" s="39">
        <v>9</v>
      </c>
      <c r="Q16" s="39">
        <v>11</v>
      </c>
      <c r="R16" s="40">
        <f>(P16-N16)/Q16 *100</f>
        <v>72.727272727272734</v>
      </c>
      <c r="S16" s="38">
        <f xml:space="preserve"> (N16 *5) + (O16 *2) -P16</f>
        <v>-2</v>
      </c>
      <c r="W16" s="1" t="s">
        <v>34</v>
      </c>
      <c r="X16" s="39">
        <v>1</v>
      </c>
      <c r="Y16" s="39"/>
      <c r="Z16" s="39">
        <v>4</v>
      </c>
      <c r="AA16" s="39">
        <v>5</v>
      </c>
      <c r="AB16" s="40">
        <f>(Z16-X16)/AA16 *100</f>
        <v>60</v>
      </c>
      <c r="AC16" s="38">
        <f xml:space="preserve"> (X16 *5) + (Y16 *2) -Z16</f>
        <v>1</v>
      </c>
    </row>
    <row r="17" spans="1:29" x14ac:dyDescent="0.25">
      <c r="A17" s="1" t="s">
        <v>16</v>
      </c>
      <c r="B17" s="39">
        <v>3</v>
      </c>
      <c r="C17" s="39"/>
      <c r="D17" s="39">
        <v>10</v>
      </c>
      <c r="E17" s="39">
        <v>13</v>
      </c>
      <c r="F17" s="40">
        <f t="shared" si="0"/>
        <v>53.846153846153847</v>
      </c>
      <c r="G17" s="38">
        <f t="shared" si="1"/>
        <v>5</v>
      </c>
      <c r="M17" s="1" t="s">
        <v>15</v>
      </c>
      <c r="N17" s="39">
        <v>1</v>
      </c>
      <c r="O17" s="39">
        <v>1</v>
      </c>
      <c r="P17" s="39">
        <v>7</v>
      </c>
      <c r="Q17" s="39">
        <v>9</v>
      </c>
      <c r="R17" s="40">
        <f>(P17-N17)/Q17 *100</f>
        <v>66.666666666666657</v>
      </c>
      <c r="S17" s="38">
        <f xml:space="preserve"> (N17 *5) + (O17 *2) -P17</f>
        <v>0</v>
      </c>
      <c r="W17" s="1" t="s">
        <v>287</v>
      </c>
      <c r="X17" s="39">
        <v>1</v>
      </c>
      <c r="Y17" s="39">
        <v>2</v>
      </c>
      <c r="Z17" s="39">
        <v>7</v>
      </c>
      <c r="AA17" s="39">
        <v>10</v>
      </c>
      <c r="AB17" s="40">
        <f>(Z17-X17)/AA17 *100</f>
        <v>60</v>
      </c>
      <c r="AC17" s="38">
        <f xml:space="preserve"> (X17 *5) + (Y17 *2) -Z17</f>
        <v>2</v>
      </c>
    </row>
    <row r="18" spans="1:29" x14ac:dyDescent="0.25">
      <c r="A18" s="1" t="s">
        <v>17</v>
      </c>
      <c r="B18" s="39">
        <v>4</v>
      </c>
      <c r="C18" s="39">
        <v>1</v>
      </c>
      <c r="D18" s="39">
        <v>13</v>
      </c>
      <c r="E18" s="39">
        <v>18</v>
      </c>
      <c r="F18" s="40">
        <f t="shared" si="0"/>
        <v>50</v>
      </c>
      <c r="G18" s="38">
        <f t="shared" si="1"/>
        <v>9</v>
      </c>
      <c r="M18" s="1" t="s">
        <v>18</v>
      </c>
      <c r="N18" s="39">
        <v>3</v>
      </c>
      <c r="O18" s="39">
        <v>2</v>
      </c>
      <c r="P18" s="39">
        <v>12</v>
      </c>
      <c r="Q18" s="39">
        <v>17</v>
      </c>
      <c r="R18" s="40">
        <f>(P18-N18)/Q18 *100</f>
        <v>52.941176470588239</v>
      </c>
      <c r="S18" s="38">
        <f xml:space="preserve"> (N18 *5) + (O18 *2) -P18</f>
        <v>7</v>
      </c>
      <c r="W18" s="1" t="s">
        <v>25</v>
      </c>
      <c r="X18" s="39">
        <v>2</v>
      </c>
      <c r="Y18" s="39"/>
      <c r="Z18" s="39">
        <v>8</v>
      </c>
      <c r="AA18" s="39">
        <v>10</v>
      </c>
      <c r="AB18" s="40">
        <f>(Z18-X18)/AA18 *100</f>
        <v>60</v>
      </c>
      <c r="AC18" s="38">
        <f xml:space="preserve"> (X18 *5) + (Y18 *2) -Z18</f>
        <v>2</v>
      </c>
    </row>
    <row r="19" spans="1:29" x14ac:dyDescent="0.25">
      <c r="A19" s="1" t="s">
        <v>13</v>
      </c>
      <c r="B19" s="39">
        <v>3</v>
      </c>
      <c r="C19" s="39"/>
      <c r="D19" s="39">
        <v>11</v>
      </c>
      <c r="E19" s="39">
        <v>14</v>
      </c>
      <c r="F19" s="40">
        <f t="shared" si="0"/>
        <v>57.142857142857139</v>
      </c>
      <c r="G19" s="38">
        <f t="shared" si="1"/>
        <v>4</v>
      </c>
      <c r="M19" s="1" t="s">
        <v>16</v>
      </c>
      <c r="N19" s="39">
        <v>3</v>
      </c>
      <c r="O19" s="39"/>
      <c r="P19" s="39">
        <v>9</v>
      </c>
      <c r="Q19" s="39">
        <v>12</v>
      </c>
      <c r="R19" s="48">
        <f>(P19-N19)/Q19 *100</f>
        <v>50</v>
      </c>
      <c r="S19" s="38">
        <f xml:space="preserve"> (N19 *5) + (O19 *2) -P19</f>
        <v>6</v>
      </c>
      <c r="W19" s="1" t="s">
        <v>40</v>
      </c>
      <c r="X19" s="39">
        <v>1</v>
      </c>
      <c r="Y19" s="39">
        <v>1</v>
      </c>
      <c r="Z19" s="39">
        <v>5</v>
      </c>
      <c r="AA19" s="39">
        <v>7</v>
      </c>
      <c r="AB19" s="40">
        <f>(Z19-X19)/AA19 *100</f>
        <v>57.142857142857139</v>
      </c>
      <c r="AC19" s="38">
        <f xml:space="preserve"> (X19 *5) + (Y19 *2) -Z19</f>
        <v>2</v>
      </c>
    </row>
    <row r="20" spans="1:29" x14ac:dyDescent="0.25">
      <c r="A20" s="1" t="s">
        <v>19</v>
      </c>
      <c r="B20" s="39">
        <v>1</v>
      </c>
      <c r="C20" s="39">
        <v>1</v>
      </c>
      <c r="D20" s="39">
        <v>12</v>
      </c>
      <c r="E20" s="39">
        <v>14</v>
      </c>
      <c r="F20" s="40">
        <f t="shared" si="0"/>
        <v>78.571428571428569</v>
      </c>
      <c r="G20" s="38">
        <f t="shared" si="1"/>
        <v>-5</v>
      </c>
      <c r="M20" s="1" t="s">
        <v>13</v>
      </c>
      <c r="N20" s="39">
        <v>3</v>
      </c>
      <c r="O20" s="39"/>
      <c r="P20" s="39">
        <v>9</v>
      </c>
      <c r="Q20" s="39">
        <v>12</v>
      </c>
      <c r="R20" s="40">
        <f>(P20-N20)/Q20 *100</f>
        <v>50</v>
      </c>
      <c r="S20" s="38">
        <f xml:space="preserve"> (N20 *5) + (O20 *2) -P20</f>
        <v>6</v>
      </c>
      <c r="W20" s="1" t="s">
        <v>38</v>
      </c>
      <c r="X20" s="39">
        <v>2</v>
      </c>
      <c r="Y20" s="39">
        <v>1</v>
      </c>
      <c r="Z20" s="39">
        <v>10</v>
      </c>
      <c r="AA20" s="39">
        <v>13</v>
      </c>
      <c r="AB20" s="40">
        <f>(Z20-X20)/AA20 *100</f>
        <v>61.53846153846154</v>
      </c>
      <c r="AC20" s="38">
        <f xml:space="preserve"> (X20 *5) + (Y20 *2) -Z20</f>
        <v>2</v>
      </c>
    </row>
    <row r="21" spans="1:29" x14ac:dyDescent="0.25">
      <c r="A21" s="1" t="s">
        <v>18</v>
      </c>
      <c r="B21" s="39">
        <v>4</v>
      </c>
      <c r="C21" s="39">
        <v>2</v>
      </c>
      <c r="D21" s="39">
        <v>16</v>
      </c>
      <c r="E21" s="39">
        <v>22</v>
      </c>
      <c r="F21" s="40">
        <f t="shared" si="0"/>
        <v>54.54545454545454</v>
      </c>
      <c r="G21" s="38">
        <f t="shared" si="1"/>
        <v>8</v>
      </c>
      <c r="M21" s="1" t="s">
        <v>21</v>
      </c>
      <c r="N21" s="39">
        <v>6</v>
      </c>
      <c r="O21" s="39"/>
      <c r="P21" s="39">
        <v>13</v>
      </c>
      <c r="Q21" s="39">
        <v>19</v>
      </c>
      <c r="R21" s="40">
        <f>(P21-N21)/Q21 *100</f>
        <v>36.84210526315789</v>
      </c>
      <c r="S21" s="38">
        <f xml:space="preserve"> (N21 *5) + (O21 *2) -P21</f>
        <v>17</v>
      </c>
      <c r="W21" s="1" t="s">
        <v>299</v>
      </c>
      <c r="X21" s="39">
        <v>1</v>
      </c>
      <c r="Y21" s="39"/>
      <c r="Z21" s="39">
        <v>2</v>
      </c>
      <c r="AA21" s="39">
        <v>3</v>
      </c>
      <c r="AB21" s="40">
        <f>(Z21-X21)/AA21 *100</f>
        <v>33.333333333333329</v>
      </c>
      <c r="AC21" s="38">
        <f xml:space="preserve"> (X21 *5) + (Y21 *2) -Z21</f>
        <v>3</v>
      </c>
    </row>
    <row r="22" spans="1:29" x14ac:dyDescent="0.25">
      <c r="A22" s="1" t="s">
        <v>15</v>
      </c>
      <c r="B22" s="39">
        <v>1</v>
      </c>
      <c r="C22" s="39">
        <v>1</v>
      </c>
      <c r="D22" s="39">
        <v>7</v>
      </c>
      <c r="E22" s="39">
        <v>9</v>
      </c>
      <c r="F22" s="40">
        <f t="shared" si="0"/>
        <v>66.666666666666657</v>
      </c>
      <c r="G22" s="38">
        <f t="shared" si="1"/>
        <v>0</v>
      </c>
      <c r="M22" s="1" t="s">
        <v>20</v>
      </c>
      <c r="N22" s="39">
        <v>2</v>
      </c>
      <c r="O22" s="39"/>
      <c r="P22" s="39">
        <v>4</v>
      </c>
      <c r="Q22" s="39">
        <v>6</v>
      </c>
      <c r="R22" s="48">
        <f>(P22-N22)/Q22 *100</f>
        <v>33.333333333333329</v>
      </c>
      <c r="S22" s="38">
        <f xml:space="preserve"> (N22 *5) + (O22 *2) -P22</f>
        <v>6</v>
      </c>
      <c r="W22" s="1" t="s">
        <v>30</v>
      </c>
      <c r="X22" s="39">
        <v>1</v>
      </c>
      <c r="Y22" s="39"/>
      <c r="Z22" s="39">
        <v>2</v>
      </c>
      <c r="AA22" s="39">
        <v>3</v>
      </c>
      <c r="AB22" s="40">
        <f>(Z22-X22)/AA22 *100</f>
        <v>33.333333333333329</v>
      </c>
      <c r="AC22" s="38">
        <f xml:space="preserve"> (X22 *5) + (Y22 *2) -Z22</f>
        <v>3</v>
      </c>
    </row>
    <row r="23" spans="1:29" x14ac:dyDescent="0.25">
      <c r="A23" s="1" t="s">
        <v>21</v>
      </c>
      <c r="B23" s="39">
        <v>7</v>
      </c>
      <c r="C23" s="39"/>
      <c r="D23" s="39">
        <v>13</v>
      </c>
      <c r="E23" s="39">
        <v>20</v>
      </c>
      <c r="F23" s="40">
        <f t="shared" si="0"/>
        <v>30</v>
      </c>
      <c r="G23" s="38">
        <f t="shared" si="1"/>
        <v>22</v>
      </c>
      <c r="M23" s="1" t="s">
        <v>289</v>
      </c>
      <c r="N23" s="39">
        <v>4</v>
      </c>
      <c r="O23" s="39">
        <v>2</v>
      </c>
      <c r="P23" s="39">
        <v>4</v>
      </c>
      <c r="Q23" s="39">
        <v>10</v>
      </c>
      <c r="R23" s="40">
        <f>(P23-N23)/Q23 *100</f>
        <v>0</v>
      </c>
      <c r="S23" s="38">
        <f xml:space="preserve"> (N23 *5) + (O23 *2) -P23</f>
        <v>20</v>
      </c>
      <c r="W23" s="1" t="s">
        <v>13</v>
      </c>
      <c r="X23" s="39">
        <v>3</v>
      </c>
      <c r="Y23" s="39"/>
      <c r="Z23" s="39">
        <v>11</v>
      </c>
      <c r="AA23" s="39">
        <v>14</v>
      </c>
      <c r="AB23" s="40">
        <f>(Z23-X23)/AA23 *100</f>
        <v>57.142857142857139</v>
      </c>
      <c r="AC23" s="38">
        <f xml:space="preserve"> (X23 *5) + (Y23 *2) -Z23</f>
        <v>4</v>
      </c>
    </row>
    <row r="24" spans="1:29" x14ac:dyDescent="0.25">
      <c r="A24" s="1" t="s">
        <v>289</v>
      </c>
      <c r="B24" s="39">
        <v>4</v>
      </c>
      <c r="C24" s="39">
        <v>2</v>
      </c>
      <c r="D24" s="39">
        <v>4</v>
      </c>
      <c r="E24" s="39">
        <v>10</v>
      </c>
      <c r="F24" s="40">
        <f t="shared" si="0"/>
        <v>0</v>
      </c>
      <c r="G24" s="38">
        <f t="shared" si="1"/>
        <v>20</v>
      </c>
      <c r="M24" s="1" t="s">
        <v>287</v>
      </c>
      <c r="N24" s="39">
        <v>1</v>
      </c>
      <c r="O24" s="39">
        <v>1</v>
      </c>
      <c r="P24" s="39">
        <v>1</v>
      </c>
      <c r="Q24" s="39">
        <v>3</v>
      </c>
      <c r="R24" s="40">
        <f>(P24-N24)/Q24 *100</f>
        <v>0</v>
      </c>
      <c r="S24" s="38">
        <f xml:space="preserve"> (N24 *5) + (O24 *2) -P24</f>
        <v>6</v>
      </c>
      <c r="W24" s="1" t="s">
        <v>31</v>
      </c>
      <c r="X24" s="39">
        <v>2</v>
      </c>
      <c r="Y24" s="39">
        <v>3</v>
      </c>
      <c r="Z24" s="39">
        <v>12</v>
      </c>
      <c r="AA24" s="39">
        <v>17</v>
      </c>
      <c r="AB24" s="40">
        <f>(Z24-X24)/AA24 *100</f>
        <v>58.82352941176471</v>
      </c>
      <c r="AC24" s="38">
        <f xml:space="preserve"> (X24 *5) + (Y24 *2) -Z24</f>
        <v>4</v>
      </c>
    </row>
    <row r="25" spans="1:29" x14ac:dyDescent="0.25">
      <c r="A25" s="1" t="s">
        <v>287</v>
      </c>
      <c r="B25" s="39">
        <v>1</v>
      </c>
      <c r="C25" s="39">
        <v>2</v>
      </c>
      <c r="D25" s="39">
        <v>7</v>
      </c>
      <c r="E25" s="39">
        <v>10</v>
      </c>
      <c r="F25" s="40">
        <f t="shared" si="0"/>
        <v>60</v>
      </c>
      <c r="G25" s="38">
        <f t="shared" si="1"/>
        <v>2</v>
      </c>
      <c r="M25" s="41" t="s">
        <v>14</v>
      </c>
      <c r="N25" s="47">
        <v>26</v>
      </c>
      <c r="O25" s="47">
        <v>7</v>
      </c>
      <c r="P25" s="47">
        <v>82</v>
      </c>
      <c r="Q25" s="47">
        <v>115</v>
      </c>
      <c r="R25" s="48">
        <f t="shared" ref="R25" si="4">(P25-N25)/Q25 *100</f>
        <v>48.695652173913047</v>
      </c>
      <c r="S25" s="38">
        <f t="shared" ref="S25" si="5" xml:space="preserve"> (N25 *5) + (O25 *2) -P25</f>
        <v>62</v>
      </c>
      <c r="W25" s="1" t="s">
        <v>293</v>
      </c>
      <c r="X25" s="39">
        <v>1</v>
      </c>
      <c r="Y25" s="39"/>
      <c r="Z25" s="39">
        <v>1</v>
      </c>
      <c r="AA25" s="39">
        <v>2</v>
      </c>
      <c r="AB25" s="40">
        <f>(Z25-X25)/AA25 *100</f>
        <v>0</v>
      </c>
      <c r="AC25" s="38">
        <f xml:space="preserve"> (X25 *5) + (Y25 *2) -Z25</f>
        <v>4</v>
      </c>
    </row>
    <row r="26" spans="1:29" x14ac:dyDescent="0.25">
      <c r="A26" s="1" t="s">
        <v>299</v>
      </c>
      <c r="B26" s="39">
        <v>1</v>
      </c>
      <c r="C26" s="39"/>
      <c r="D26" s="39">
        <v>2</v>
      </c>
      <c r="E26" s="39">
        <v>3</v>
      </c>
      <c r="F26" s="40">
        <f t="shared" si="0"/>
        <v>33.333333333333329</v>
      </c>
      <c r="G26" s="38">
        <f t="shared" si="1"/>
        <v>3</v>
      </c>
      <c r="W26" s="1" t="s">
        <v>36</v>
      </c>
      <c r="X26" s="39"/>
      <c r="Y26" s="39">
        <v>4</v>
      </c>
      <c r="Z26" s="39">
        <v>4</v>
      </c>
      <c r="AA26" s="39">
        <v>8</v>
      </c>
      <c r="AB26" s="40">
        <f>(Z26-X26)/AA26 *100</f>
        <v>50</v>
      </c>
      <c r="AC26" s="38">
        <f xml:space="preserve"> (X26 *5) + (Y26 *2) -Z26</f>
        <v>4</v>
      </c>
    </row>
    <row r="27" spans="1:29" x14ac:dyDescent="0.25">
      <c r="A27" s="41" t="s">
        <v>22</v>
      </c>
      <c r="B27" s="47">
        <v>25</v>
      </c>
      <c r="C27" s="47">
        <v>10</v>
      </c>
      <c r="D27" s="47">
        <v>103</v>
      </c>
      <c r="E27" s="47">
        <v>138</v>
      </c>
      <c r="F27" s="40">
        <f t="shared" si="0"/>
        <v>56.521739130434781</v>
      </c>
      <c r="G27" s="38">
        <f t="shared" si="1"/>
        <v>42</v>
      </c>
      <c r="M27" s="41" t="s">
        <v>278</v>
      </c>
      <c r="N27" s="41" t="s">
        <v>1</v>
      </c>
      <c r="O27" s="41" t="s">
        <v>2</v>
      </c>
      <c r="P27" s="41" t="s">
        <v>3</v>
      </c>
      <c r="Q27" s="41" t="s">
        <v>4</v>
      </c>
      <c r="R27" s="38" t="s">
        <v>5</v>
      </c>
      <c r="S27" s="38" t="s">
        <v>277</v>
      </c>
      <c r="W27" s="1" t="s">
        <v>16</v>
      </c>
      <c r="X27" s="39">
        <v>3</v>
      </c>
      <c r="Y27" s="39"/>
      <c r="Z27" s="39">
        <v>10</v>
      </c>
      <c r="AA27" s="39">
        <v>13</v>
      </c>
      <c r="AB27" s="40">
        <f>(Z27-X27)/AA27 *100</f>
        <v>53.846153846153847</v>
      </c>
      <c r="AC27" s="38">
        <f xml:space="preserve"> (X27 *5) + (Y27 *2) -Z27</f>
        <v>5</v>
      </c>
    </row>
    <row r="28" spans="1:29" x14ac:dyDescent="0.25">
      <c r="A28" s="1" t="s">
        <v>26</v>
      </c>
      <c r="B28" s="39"/>
      <c r="C28" s="39"/>
      <c r="D28" s="39">
        <v>18</v>
      </c>
      <c r="E28" s="39">
        <v>18</v>
      </c>
      <c r="F28" s="40">
        <f t="shared" si="0"/>
        <v>100</v>
      </c>
      <c r="G28" s="38">
        <f t="shared" si="1"/>
        <v>-18</v>
      </c>
      <c r="M28" s="1" t="s">
        <v>26</v>
      </c>
      <c r="N28" s="39"/>
      <c r="O28" s="39"/>
      <c r="P28" s="39">
        <v>18</v>
      </c>
      <c r="Q28" s="39">
        <v>18</v>
      </c>
      <c r="R28" s="48">
        <f>(P28-N28)/Q28 *100</f>
        <v>100</v>
      </c>
      <c r="S28" s="38">
        <f xml:space="preserve"> (N28 *5) + (O28 *2) -P28</f>
        <v>-18</v>
      </c>
      <c r="W28" s="1" t="s">
        <v>274</v>
      </c>
      <c r="X28" s="39"/>
      <c r="Y28" s="39">
        <v>3</v>
      </c>
      <c r="Z28" s="39">
        <v>1</v>
      </c>
      <c r="AA28" s="39">
        <v>4</v>
      </c>
      <c r="AB28" s="40">
        <f>(Z28-X28)/AA28 *100</f>
        <v>25</v>
      </c>
      <c r="AC28" s="38">
        <f xml:space="preserve"> (X28 *5) + (Y28 *2) -Z28</f>
        <v>5</v>
      </c>
    </row>
    <row r="29" spans="1:29" x14ac:dyDescent="0.25">
      <c r="A29" s="1" t="s">
        <v>23</v>
      </c>
      <c r="B29" s="39">
        <v>2</v>
      </c>
      <c r="C29" s="39"/>
      <c r="D29" s="39"/>
      <c r="E29" s="39">
        <v>2</v>
      </c>
      <c r="F29" s="40">
        <f t="shared" si="0"/>
        <v>-100</v>
      </c>
      <c r="G29" s="38">
        <f t="shared" si="1"/>
        <v>10</v>
      </c>
      <c r="M29" s="1" t="s">
        <v>24</v>
      </c>
      <c r="N29" s="39"/>
      <c r="O29" s="39"/>
      <c r="P29" s="39">
        <v>12</v>
      </c>
      <c r="Q29" s="39">
        <v>12</v>
      </c>
      <c r="R29" s="40">
        <f>(P29-N29)/Q29 *100</f>
        <v>100</v>
      </c>
      <c r="S29" s="38">
        <f xml:space="preserve"> (N29 *5) + (O29 *2) -P29</f>
        <v>-12</v>
      </c>
      <c r="W29" s="1" t="s">
        <v>295</v>
      </c>
      <c r="X29" s="39">
        <v>2</v>
      </c>
      <c r="Y29" s="39"/>
      <c r="Z29" s="39">
        <v>4</v>
      </c>
      <c r="AA29" s="39">
        <v>6</v>
      </c>
      <c r="AB29" s="40">
        <f>(Z29-X29)/AA29 *100</f>
        <v>33.333333333333329</v>
      </c>
      <c r="AC29" s="38">
        <f xml:space="preserve"> (X29 *5) + (Y29 *2) -Z29</f>
        <v>6</v>
      </c>
    </row>
    <row r="30" spans="1:29" x14ac:dyDescent="0.25">
      <c r="A30" s="1" t="s">
        <v>25</v>
      </c>
      <c r="B30" s="39">
        <v>2</v>
      </c>
      <c r="C30" s="39"/>
      <c r="D30" s="39">
        <v>8</v>
      </c>
      <c r="E30" s="39">
        <v>10</v>
      </c>
      <c r="F30" s="40">
        <f t="shared" si="0"/>
        <v>60</v>
      </c>
      <c r="G30" s="38">
        <f t="shared" si="1"/>
        <v>2</v>
      </c>
      <c r="M30" s="1" t="s">
        <v>28</v>
      </c>
      <c r="N30" s="39">
        <v>1</v>
      </c>
      <c r="O30" s="39">
        <v>1</v>
      </c>
      <c r="P30" s="39">
        <v>13</v>
      </c>
      <c r="Q30" s="39">
        <v>15</v>
      </c>
      <c r="R30" s="40">
        <f>(P30-N30)/Q30 *100</f>
        <v>80</v>
      </c>
      <c r="S30" s="38">
        <f xml:space="preserve"> (N30 *5) + (O30 *2) -P30</f>
        <v>-6</v>
      </c>
      <c r="W30" s="1" t="s">
        <v>20</v>
      </c>
      <c r="X30" s="39">
        <v>2</v>
      </c>
      <c r="Y30" s="39"/>
      <c r="Z30" s="39">
        <v>4</v>
      </c>
      <c r="AA30" s="39">
        <v>6</v>
      </c>
      <c r="AB30" s="40">
        <f>(Z30-X30)/AA30 *100</f>
        <v>33.333333333333329</v>
      </c>
      <c r="AC30" s="38">
        <f xml:space="preserve"> (X30 *5) + (Y30 *2) -Z30</f>
        <v>6</v>
      </c>
    </row>
    <row r="31" spans="1:29" x14ac:dyDescent="0.25">
      <c r="A31" s="1" t="s">
        <v>30</v>
      </c>
      <c r="B31" s="39">
        <v>1</v>
      </c>
      <c r="C31" s="39"/>
      <c r="D31" s="39">
        <v>2</v>
      </c>
      <c r="E31" s="39">
        <v>3</v>
      </c>
      <c r="F31" s="40">
        <f t="shared" si="0"/>
        <v>33.333333333333329</v>
      </c>
      <c r="G31" s="38">
        <f t="shared" si="1"/>
        <v>3</v>
      </c>
      <c r="M31" s="1" t="s">
        <v>27</v>
      </c>
      <c r="N31" s="39"/>
      <c r="O31" s="39">
        <v>3</v>
      </c>
      <c r="P31" s="39">
        <v>11</v>
      </c>
      <c r="Q31" s="39">
        <v>14</v>
      </c>
      <c r="R31" s="40">
        <f>(P31-N31)/Q31 *100</f>
        <v>78.571428571428569</v>
      </c>
      <c r="S31" s="38">
        <f xml:space="preserve"> (N31 *5) + (O31 *2) -P31</f>
        <v>-5</v>
      </c>
      <c r="W31" s="1" t="s">
        <v>243</v>
      </c>
      <c r="X31" s="39">
        <v>3</v>
      </c>
      <c r="Y31" s="39">
        <v>1</v>
      </c>
      <c r="Z31" s="39">
        <v>11</v>
      </c>
      <c r="AA31" s="39">
        <v>15</v>
      </c>
      <c r="AB31" s="40">
        <f>(Z31-X31)/AA31 *100</f>
        <v>53.333333333333336</v>
      </c>
      <c r="AC31" s="38">
        <f xml:space="preserve"> (X31 *5) + (Y31 *2) -Z31</f>
        <v>6</v>
      </c>
    </row>
    <row r="32" spans="1:29" x14ac:dyDescent="0.25">
      <c r="A32" s="1" t="s">
        <v>239</v>
      </c>
      <c r="B32" s="39">
        <v>4</v>
      </c>
      <c r="C32" s="39">
        <v>1</v>
      </c>
      <c r="D32" s="39">
        <v>9</v>
      </c>
      <c r="E32" s="39">
        <v>14</v>
      </c>
      <c r="F32" s="40">
        <f t="shared" si="0"/>
        <v>35.714285714285715</v>
      </c>
      <c r="G32" s="38">
        <f t="shared" si="1"/>
        <v>13</v>
      </c>
      <c r="M32" s="1" t="s">
        <v>25</v>
      </c>
      <c r="N32" s="39">
        <v>2</v>
      </c>
      <c r="O32" s="39"/>
      <c r="P32" s="39">
        <v>8</v>
      </c>
      <c r="Q32" s="39">
        <v>10</v>
      </c>
      <c r="R32" s="40">
        <f>(P32-N32)/Q32 *100</f>
        <v>60</v>
      </c>
      <c r="S32" s="38">
        <f xml:space="preserve"> (N32 *5) + (O32 *2) -P32</f>
        <v>2</v>
      </c>
      <c r="W32" s="1" t="s">
        <v>12</v>
      </c>
      <c r="X32" s="39">
        <v>2</v>
      </c>
      <c r="Y32" s="39">
        <v>1</v>
      </c>
      <c r="Z32" s="39">
        <v>5</v>
      </c>
      <c r="AA32" s="39">
        <v>8</v>
      </c>
      <c r="AB32" s="40">
        <f>(Z32-X32)/AA32 *100</f>
        <v>37.5</v>
      </c>
      <c r="AC32" s="38">
        <f xml:space="preserve"> (X32 *5) + (Y32 *2) -Z32</f>
        <v>7</v>
      </c>
    </row>
    <row r="33" spans="1:29" x14ac:dyDescent="0.25">
      <c r="A33" s="1" t="s">
        <v>27</v>
      </c>
      <c r="B33" s="39"/>
      <c r="C33" s="39">
        <v>3</v>
      </c>
      <c r="D33" s="39">
        <v>11</v>
      </c>
      <c r="E33" s="39">
        <v>14</v>
      </c>
      <c r="F33" s="40">
        <f t="shared" si="0"/>
        <v>78.571428571428569</v>
      </c>
      <c r="G33" s="38">
        <f t="shared" si="1"/>
        <v>-5</v>
      </c>
      <c r="M33" s="1" t="s">
        <v>31</v>
      </c>
      <c r="N33" s="39">
        <v>2</v>
      </c>
      <c r="O33" s="39">
        <v>3</v>
      </c>
      <c r="P33" s="39">
        <v>12</v>
      </c>
      <c r="Q33" s="39">
        <v>17</v>
      </c>
      <c r="R33" s="40">
        <f>(P33-N33)/Q33 *100</f>
        <v>58.82352941176471</v>
      </c>
      <c r="S33" s="38">
        <f xml:space="preserve"> (N33 *5) + (O33 *2) -P33</f>
        <v>4</v>
      </c>
      <c r="W33" s="1" t="s">
        <v>29</v>
      </c>
      <c r="X33" s="39">
        <v>3</v>
      </c>
      <c r="Y33" s="39"/>
      <c r="Z33" s="39">
        <v>8</v>
      </c>
      <c r="AA33" s="39">
        <v>11</v>
      </c>
      <c r="AB33" s="40">
        <f>(Z33-X33)/AA33 *100</f>
        <v>45.454545454545453</v>
      </c>
      <c r="AC33" s="38">
        <f xml:space="preserve"> (X33 *5) + (Y33 *2) -Z33</f>
        <v>7</v>
      </c>
    </row>
    <row r="34" spans="1:29" x14ac:dyDescent="0.25">
      <c r="A34" s="1" t="s">
        <v>29</v>
      </c>
      <c r="B34" s="39">
        <v>3</v>
      </c>
      <c r="C34" s="39"/>
      <c r="D34" s="39">
        <v>8</v>
      </c>
      <c r="E34" s="39">
        <v>11</v>
      </c>
      <c r="F34" s="40">
        <f t="shared" si="0"/>
        <v>45.454545454545453</v>
      </c>
      <c r="G34" s="38">
        <f t="shared" si="1"/>
        <v>7</v>
      </c>
      <c r="M34" s="1" t="s">
        <v>239</v>
      </c>
      <c r="N34" s="39">
        <v>4</v>
      </c>
      <c r="O34" s="39">
        <v>1</v>
      </c>
      <c r="P34" s="39">
        <v>9</v>
      </c>
      <c r="Q34" s="39">
        <v>14</v>
      </c>
      <c r="R34" s="40">
        <f>(P34-N34)/Q34 *100</f>
        <v>35.714285714285715</v>
      </c>
      <c r="S34" s="38">
        <f xml:space="preserve"> (N34 *5) + (O34 *2) -P34</f>
        <v>13</v>
      </c>
      <c r="W34" s="1" t="s">
        <v>18</v>
      </c>
      <c r="X34" s="39">
        <v>4</v>
      </c>
      <c r="Y34" s="39">
        <v>2</v>
      </c>
      <c r="Z34" s="39">
        <v>16</v>
      </c>
      <c r="AA34" s="39">
        <v>22</v>
      </c>
      <c r="AB34" s="40">
        <f>(Z34-X34)/AA34 *100</f>
        <v>54.54545454545454</v>
      </c>
      <c r="AC34" s="38">
        <f xml:space="preserve"> (X34 *5) + (Y34 *2) -Z34</f>
        <v>8</v>
      </c>
    </row>
    <row r="35" spans="1:29" x14ac:dyDescent="0.25">
      <c r="A35" s="1" t="s">
        <v>31</v>
      </c>
      <c r="B35" s="39">
        <v>2</v>
      </c>
      <c r="C35" s="39">
        <v>3</v>
      </c>
      <c r="D35" s="39">
        <v>12</v>
      </c>
      <c r="E35" s="39">
        <v>17</v>
      </c>
      <c r="F35" s="40">
        <f t="shared" si="0"/>
        <v>58.82352941176471</v>
      </c>
      <c r="G35" s="38">
        <f t="shared" si="1"/>
        <v>4</v>
      </c>
      <c r="M35" s="1" t="s">
        <v>30</v>
      </c>
      <c r="N35" s="39">
        <v>1</v>
      </c>
      <c r="O35" s="39"/>
      <c r="P35" s="39">
        <v>2</v>
      </c>
      <c r="Q35" s="39">
        <v>3</v>
      </c>
      <c r="R35" s="40">
        <f>(P35-N35)/Q35 *100</f>
        <v>33.333333333333329</v>
      </c>
      <c r="S35" s="38">
        <f xml:space="preserve"> (N35 *5) + (O35 *2) -P35</f>
        <v>3</v>
      </c>
      <c r="W35" s="1" t="s">
        <v>39</v>
      </c>
      <c r="X35" s="39">
        <v>3</v>
      </c>
      <c r="Y35" s="39"/>
      <c r="Z35" s="39">
        <v>7</v>
      </c>
      <c r="AA35" s="39">
        <v>10</v>
      </c>
      <c r="AB35" s="40">
        <f>(Z35-X35)/AA35 *100</f>
        <v>40</v>
      </c>
      <c r="AC35" s="38">
        <f xml:space="preserve"> (X35 *5) + (Y35 *2) -Z35</f>
        <v>8</v>
      </c>
    </row>
    <row r="36" spans="1:29" x14ac:dyDescent="0.25">
      <c r="A36" s="1" t="s">
        <v>28</v>
      </c>
      <c r="B36" s="39">
        <v>1</v>
      </c>
      <c r="C36" s="39">
        <v>1</v>
      </c>
      <c r="D36" s="39">
        <v>13</v>
      </c>
      <c r="E36" s="39">
        <v>15</v>
      </c>
      <c r="F36" s="40">
        <f t="shared" si="0"/>
        <v>80</v>
      </c>
      <c r="G36" s="38">
        <f t="shared" si="1"/>
        <v>-6</v>
      </c>
      <c r="M36" s="1" t="s">
        <v>29</v>
      </c>
      <c r="N36" s="39">
        <v>2</v>
      </c>
      <c r="O36" s="39"/>
      <c r="P36" s="39">
        <v>3</v>
      </c>
      <c r="Q36" s="39">
        <v>5</v>
      </c>
      <c r="R36" s="40">
        <f>(P36-N36)/Q36 *100</f>
        <v>20</v>
      </c>
      <c r="S36" s="38">
        <f xml:space="preserve"> (N36 *5) + (O36 *2) -P36</f>
        <v>7</v>
      </c>
      <c r="W36" s="1" t="s">
        <v>291</v>
      </c>
      <c r="X36" s="39">
        <v>2</v>
      </c>
      <c r="Y36" s="39"/>
      <c r="Z36" s="39">
        <v>1</v>
      </c>
      <c r="AA36" s="39">
        <v>3</v>
      </c>
      <c r="AB36" s="40">
        <f>(Z36-X36)/AA36 *100</f>
        <v>-33.333333333333329</v>
      </c>
      <c r="AC36" s="38">
        <f xml:space="preserve"> (X36 *5) + (Y36 *2) -Z36</f>
        <v>9</v>
      </c>
    </row>
    <row r="37" spans="1:29" x14ac:dyDescent="0.25">
      <c r="A37" s="1" t="s">
        <v>24</v>
      </c>
      <c r="B37" s="39"/>
      <c r="C37" s="39"/>
      <c r="D37" s="39">
        <v>12</v>
      </c>
      <c r="E37" s="39">
        <v>12</v>
      </c>
      <c r="F37" s="40">
        <f t="shared" si="0"/>
        <v>100</v>
      </c>
      <c r="G37" s="38">
        <f t="shared" si="1"/>
        <v>-12</v>
      </c>
      <c r="M37" s="1" t="s">
        <v>293</v>
      </c>
      <c r="N37" s="39">
        <v>1</v>
      </c>
      <c r="O37" s="39"/>
      <c r="P37" s="39">
        <v>1</v>
      </c>
      <c r="Q37" s="39">
        <v>2</v>
      </c>
      <c r="R37" s="40">
        <f>(P37-N37)/Q37 *100</f>
        <v>0</v>
      </c>
      <c r="S37" s="38">
        <f xml:space="preserve"> (N37 *5) + (O37 *2) -P37</f>
        <v>4</v>
      </c>
      <c r="W37" s="1" t="s">
        <v>17</v>
      </c>
      <c r="X37" s="39">
        <v>4</v>
      </c>
      <c r="Y37" s="39">
        <v>1</v>
      </c>
      <c r="Z37" s="39">
        <v>13</v>
      </c>
      <c r="AA37" s="39">
        <v>18</v>
      </c>
      <c r="AB37" s="40">
        <f>(Z37-X37)/AA37 *100</f>
        <v>50</v>
      </c>
      <c r="AC37" s="38">
        <f xml:space="preserve"> (X37 *5) + (Y37 *2) -Z37</f>
        <v>9</v>
      </c>
    </row>
    <row r="38" spans="1:29" x14ac:dyDescent="0.25">
      <c r="A38" s="1" t="s">
        <v>32</v>
      </c>
      <c r="B38" s="39">
        <v>9</v>
      </c>
      <c r="C38" s="39">
        <v>2</v>
      </c>
      <c r="D38" s="39">
        <v>8</v>
      </c>
      <c r="E38" s="39">
        <v>19</v>
      </c>
      <c r="F38" s="40">
        <f t="shared" si="0"/>
        <v>-5.2631578947368416</v>
      </c>
      <c r="G38" s="38">
        <f t="shared" si="1"/>
        <v>41</v>
      </c>
      <c r="M38" s="1" t="s">
        <v>32</v>
      </c>
      <c r="N38" s="39">
        <v>8</v>
      </c>
      <c r="O38" s="39">
        <v>2</v>
      </c>
      <c r="P38" s="39">
        <v>7</v>
      </c>
      <c r="Q38" s="39">
        <v>17</v>
      </c>
      <c r="R38" s="40">
        <f>(P38-N38)/Q38 *100</f>
        <v>-5.8823529411764701</v>
      </c>
      <c r="S38" s="38">
        <f xml:space="preserve"> (N38 *5) + (O38 *2) -P38</f>
        <v>37</v>
      </c>
      <c r="W38" s="1" t="s">
        <v>8</v>
      </c>
      <c r="X38" s="39">
        <v>3</v>
      </c>
      <c r="Y38" s="39"/>
      <c r="Z38" s="39">
        <v>5</v>
      </c>
      <c r="AA38" s="39">
        <v>8</v>
      </c>
      <c r="AB38" s="40">
        <f>(Z38-X38)/AA38 *100</f>
        <v>25</v>
      </c>
      <c r="AC38" s="38">
        <f xml:space="preserve"> (X38 *5) + (Y38 *2) -Z38</f>
        <v>10</v>
      </c>
    </row>
    <row r="39" spans="1:29" x14ac:dyDescent="0.25">
      <c r="A39" s="1" t="s">
        <v>293</v>
      </c>
      <c r="B39" s="39">
        <v>1</v>
      </c>
      <c r="C39" s="39"/>
      <c r="D39" s="39">
        <v>1</v>
      </c>
      <c r="E39" s="39">
        <v>2</v>
      </c>
      <c r="F39" s="40">
        <f t="shared" si="0"/>
        <v>0</v>
      </c>
      <c r="G39" s="38">
        <f t="shared" si="1"/>
        <v>4</v>
      </c>
      <c r="M39" s="1" t="s">
        <v>23</v>
      </c>
      <c r="N39" s="39">
        <v>2</v>
      </c>
      <c r="O39" s="39"/>
      <c r="P39" s="39"/>
      <c r="Q39" s="39">
        <v>2</v>
      </c>
      <c r="R39" s="48">
        <f>(P39-N39)/Q39 *100</f>
        <v>-100</v>
      </c>
      <c r="S39" s="38">
        <f xml:space="preserve"> (N39 *5) + (O39 *2) -P39</f>
        <v>10</v>
      </c>
      <c r="W39" s="1" t="s">
        <v>23</v>
      </c>
      <c r="X39" s="39">
        <v>2</v>
      </c>
      <c r="Y39" s="39"/>
      <c r="Z39" s="39"/>
      <c r="AA39" s="39">
        <v>2</v>
      </c>
      <c r="AB39" s="40">
        <f>(Z39-X39)/AA39 *100</f>
        <v>-100</v>
      </c>
      <c r="AC39" s="38">
        <f xml:space="preserve"> (X39 *5) + (Y39 *2) -Z39</f>
        <v>10</v>
      </c>
    </row>
    <row r="40" spans="1:29" x14ac:dyDescent="0.25">
      <c r="A40" s="1" t="s">
        <v>22</v>
      </c>
      <c r="B40" s="39"/>
      <c r="C40" s="39"/>
      <c r="D40" s="39">
        <v>1</v>
      </c>
      <c r="E40" s="39">
        <v>1</v>
      </c>
      <c r="F40" s="40">
        <f t="shared" si="0"/>
        <v>100</v>
      </c>
      <c r="G40" s="38">
        <f t="shared" si="1"/>
        <v>-1</v>
      </c>
      <c r="M40" s="41" t="s">
        <v>22</v>
      </c>
      <c r="N40" s="47">
        <v>23</v>
      </c>
      <c r="O40" s="47">
        <v>10</v>
      </c>
      <c r="P40" s="47">
        <v>96</v>
      </c>
      <c r="Q40" s="47">
        <v>129</v>
      </c>
      <c r="R40" s="48">
        <f>(P40-N40)/Q40 *100</f>
        <v>56.589147286821706</v>
      </c>
      <c r="S40" s="38">
        <f xml:space="preserve"> (N40 *5) + (O40 *2) -P40</f>
        <v>39</v>
      </c>
      <c r="W40" s="1" t="s">
        <v>9</v>
      </c>
      <c r="X40" s="39">
        <v>4</v>
      </c>
      <c r="Y40" s="39"/>
      <c r="Z40" s="39">
        <v>8</v>
      </c>
      <c r="AA40" s="39">
        <v>12</v>
      </c>
      <c r="AB40" s="48">
        <f>(Z40-X40)/AA40 *100</f>
        <v>33.333333333333329</v>
      </c>
      <c r="AC40" s="38">
        <f xml:space="preserve"> (X40 *5) + (Y40 *2) -Z40</f>
        <v>12</v>
      </c>
    </row>
    <row r="41" spans="1:29" x14ac:dyDescent="0.25">
      <c r="A41" s="41" t="s">
        <v>33</v>
      </c>
      <c r="B41" s="47">
        <v>16</v>
      </c>
      <c r="C41" s="47">
        <v>11</v>
      </c>
      <c r="D41" s="47">
        <v>63</v>
      </c>
      <c r="E41" s="47">
        <v>90</v>
      </c>
      <c r="F41" s="40">
        <f t="shared" si="0"/>
        <v>52.222222222222229</v>
      </c>
      <c r="G41" s="38">
        <f t="shared" si="1"/>
        <v>39</v>
      </c>
      <c r="W41" s="1" t="s">
        <v>239</v>
      </c>
      <c r="X41" s="39">
        <v>4</v>
      </c>
      <c r="Y41" s="39">
        <v>1</v>
      </c>
      <c r="Z41" s="39">
        <v>9</v>
      </c>
      <c r="AA41" s="39">
        <v>14</v>
      </c>
      <c r="AB41" s="40">
        <f>(Z41-X41)/AA41 *100</f>
        <v>35.714285714285715</v>
      </c>
      <c r="AC41" s="38">
        <f xml:space="preserve"> (X41 *5) + (Y41 *2) -Z41</f>
        <v>13</v>
      </c>
    </row>
    <row r="42" spans="1:29" x14ac:dyDescent="0.25">
      <c r="A42" s="1" t="s">
        <v>40</v>
      </c>
      <c r="B42" s="39">
        <v>1</v>
      </c>
      <c r="C42" s="39">
        <v>1</v>
      </c>
      <c r="D42" s="39">
        <v>5</v>
      </c>
      <c r="E42" s="39">
        <v>7</v>
      </c>
      <c r="F42" s="40">
        <f t="shared" si="0"/>
        <v>57.142857142857139</v>
      </c>
      <c r="G42" s="38">
        <f t="shared" si="1"/>
        <v>2</v>
      </c>
      <c r="M42" s="41" t="s">
        <v>278</v>
      </c>
      <c r="N42" s="41" t="s">
        <v>1</v>
      </c>
      <c r="O42" s="41" t="s">
        <v>2</v>
      </c>
      <c r="P42" s="41" t="s">
        <v>3</v>
      </c>
      <c r="Q42" s="41" t="s">
        <v>4</v>
      </c>
      <c r="R42" s="38" t="s">
        <v>5</v>
      </c>
      <c r="S42" s="38" t="s">
        <v>277</v>
      </c>
      <c r="W42" s="1" t="s">
        <v>80</v>
      </c>
      <c r="X42" s="39">
        <v>3</v>
      </c>
      <c r="Y42" s="39">
        <v>1</v>
      </c>
      <c r="Z42" s="39">
        <v>1</v>
      </c>
      <c r="AA42" s="39">
        <v>5</v>
      </c>
      <c r="AB42" s="40">
        <f>(Z42-X42)/AA42 *100</f>
        <v>-40</v>
      </c>
      <c r="AC42" s="38">
        <f xml:space="preserve"> (X42 *5) + (Y42 *2) -Z42</f>
        <v>16</v>
      </c>
    </row>
    <row r="43" spans="1:29" x14ac:dyDescent="0.25">
      <c r="A43" s="1" t="s">
        <v>243</v>
      </c>
      <c r="B43" s="39">
        <v>3</v>
      </c>
      <c r="C43" s="39">
        <v>1</v>
      </c>
      <c r="D43" s="39">
        <v>11</v>
      </c>
      <c r="E43" s="39">
        <v>15</v>
      </c>
      <c r="F43" s="40">
        <f t="shared" si="0"/>
        <v>53.333333333333336</v>
      </c>
      <c r="G43" s="38">
        <f t="shared" si="1"/>
        <v>6</v>
      </c>
      <c r="M43" s="1" t="s">
        <v>76</v>
      </c>
      <c r="N43" s="39"/>
      <c r="O43" s="39"/>
      <c r="P43" s="39">
        <v>1</v>
      </c>
      <c r="Q43" s="39">
        <v>1</v>
      </c>
      <c r="R43" s="40">
        <f>(P43-N43)/Q43 *100</f>
        <v>100</v>
      </c>
      <c r="S43" s="38">
        <f xml:space="preserve"> (N43 *5) + (O43 *2) -P43</f>
        <v>-1</v>
      </c>
      <c r="W43" s="1" t="s">
        <v>289</v>
      </c>
      <c r="X43" s="39">
        <v>4</v>
      </c>
      <c r="Y43" s="39">
        <v>2</v>
      </c>
      <c r="Z43" s="39">
        <v>4</v>
      </c>
      <c r="AA43" s="39">
        <v>10</v>
      </c>
      <c r="AB43" s="40">
        <f>(Z43-X43)/AA43 *100</f>
        <v>0</v>
      </c>
      <c r="AC43" s="38">
        <f xml:space="preserve"> (X43 *5) + (Y43 *2) -Z43</f>
        <v>20</v>
      </c>
    </row>
    <row r="44" spans="1:29" x14ac:dyDescent="0.25">
      <c r="A44" s="1" t="s">
        <v>38</v>
      </c>
      <c r="B44" s="39">
        <v>2</v>
      </c>
      <c r="C44" s="39">
        <v>1</v>
      </c>
      <c r="D44" s="39">
        <v>10</v>
      </c>
      <c r="E44" s="39">
        <v>13</v>
      </c>
      <c r="F44" s="40">
        <f t="shared" si="0"/>
        <v>61.53846153846154</v>
      </c>
      <c r="G44" s="38">
        <f t="shared" si="1"/>
        <v>2</v>
      </c>
      <c r="M44" s="1" t="s">
        <v>37</v>
      </c>
      <c r="N44" s="39">
        <v>1</v>
      </c>
      <c r="O44" s="39"/>
      <c r="P44" s="39">
        <v>9</v>
      </c>
      <c r="Q44" s="39">
        <v>10</v>
      </c>
      <c r="R44" s="40">
        <f>(P44-N44)/Q44 *100</f>
        <v>80</v>
      </c>
      <c r="S44" s="38">
        <f xml:space="preserve"> (N44 *5) + (O44 *2) -P44</f>
        <v>-4</v>
      </c>
      <c r="W44" s="1" t="s">
        <v>21</v>
      </c>
      <c r="X44" s="39">
        <v>7</v>
      </c>
      <c r="Y44" s="39"/>
      <c r="Z44" s="39">
        <v>13</v>
      </c>
      <c r="AA44" s="39">
        <v>20</v>
      </c>
      <c r="AB44" s="40">
        <f>(Z44-X44)/AA44 *100</f>
        <v>30</v>
      </c>
      <c r="AC44" s="38">
        <f xml:space="preserve"> (X44 *5) + (Y44 *2) -Z44</f>
        <v>22</v>
      </c>
    </row>
    <row r="45" spans="1:29" x14ac:dyDescent="0.25">
      <c r="A45" s="1" t="s">
        <v>76</v>
      </c>
      <c r="B45" s="39"/>
      <c r="C45" s="39"/>
      <c r="D45" s="39">
        <v>1</v>
      </c>
      <c r="E45" s="39">
        <v>1</v>
      </c>
      <c r="F45" s="40">
        <f t="shared" si="0"/>
        <v>100</v>
      </c>
      <c r="G45" s="38">
        <f t="shared" si="1"/>
        <v>-1</v>
      </c>
      <c r="M45" s="1" t="s">
        <v>35</v>
      </c>
      <c r="N45" s="39">
        <v>1</v>
      </c>
      <c r="O45" s="39"/>
      <c r="P45" s="39">
        <v>5</v>
      </c>
      <c r="Q45" s="39">
        <v>6</v>
      </c>
      <c r="R45" s="40">
        <f>(P45-N45)/Q45 *100</f>
        <v>66.666666666666657</v>
      </c>
      <c r="S45" s="38">
        <f xml:space="preserve"> (N45 *5) + (O45 *2) -P45</f>
        <v>0</v>
      </c>
      <c r="W45" s="1" t="s">
        <v>11</v>
      </c>
      <c r="X45" s="39">
        <v>5</v>
      </c>
      <c r="Y45" s="39">
        <v>1</v>
      </c>
      <c r="Z45" s="39">
        <v>3</v>
      </c>
      <c r="AA45" s="39">
        <v>9</v>
      </c>
      <c r="AB45" s="48">
        <f>(Z45-X45)/AA45 *100</f>
        <v>-22.222222222222221</v>
      </c>
      <c r="AC45" s="38">
        <f xml:space="preserve"> (X45 *5) + (Y45 *2) -Z45</f>
        <v>24</v>
      </c>
    </row>
    <row r="46" spans="1:29" x14ac:dyDescent="0.25">
      <c r="A46" s="1" t="s">
        <v>39</v>
      </c>
      <c r="B46" s="39">
        <v>3</v>
      </c>
      <c r="C46" s="39"/>
      <c r="D46" s="39">
        <v>7</v>
      </c>
      <c r="E46" s="39">
        <v>10</v>
      </c>
      <c r="F46" s="40">
        <f t="shared" si="0"/>
        <v>40</v>
      </c>
      <c r="G46" s="38">
        <f t="shared" si="1"/>
        <v>8</v>
      </c>
      <c r="M46" s="1" t="s">
        <v>38</v>
      </c>
      <c r="N46" s="39">
        <v>2</v>
      </c>
      <c r="O46" s="39">
        <v>1</v>
      </c>
      <c r="P46" s="39">
        <v>10</v>
      </c>
      <c r="Q46" s="39">
        <v>13</v>
      </c>
      <c r="R46" s="40">
        <f>(P46-N46)/Q46 *100</f>
        <v>61.53846153846154</v>
      </c>
      <c r="S46" s="38">
        <f xml:space="preserve"> (N46 *5) + (O46 *2) -P46</f>
        <v>2</v>
      </c>
      <c r="W46" s="1" t="s">
        <v>32</v>
      </c>
      <c r="X46" s="39">
        <v>9</v>
      </c>
      <c r="Y46" s="39">
        <v>2</v>
      </c>
      <c r="Z46" s="39">
        <v>8</v>
      </c>
      <c r="AA46" s="39">
        <v>19</v>
      </c>
      <c r="AB46" s="40">
        <f>(Z46-X46)/AA46 *100</f>
        <v>-5.2631578947368416</v>
      </c>
      <c r="AC46" s="38">
        <f xml:space="preserve"> (X46 *5) + (Y46 *2) -Z46</f>
        <v>41</v>
      </c>
    </row>
    <row r="47" spans="1:29" x14ac:dyDescent="0.25">
      <c r="A47" s="1" t="s">
        <v>37</v>
      </c>
      <c r="B47" s="39">
        <v>1</v>
      </c>
      <c r="C47" s="39"/>
      <c r="D47" s="39">
        <v>9</v>
      </c>
      <c r="E47" s="39">
        <v>10</v>
      </c>
      <c r="F47" s="40">
        <f t="shared" ref="F47:F54" si="6">(D47-B47)/E47 *100</f>
        <v>80</v>
      </c>
      <c r="G47" s="38">
        <f t="shared" ref="G47:G54" si="7" xml:space="preserve"> (B47 *5) + (C47 *2) -D47</f>
        <v>-4</v>
      </c>
      <c r="M47" s="1" t="s">
        <v>41</v>
      </c>
      <c r="N47" s="39">
        <v>1</v>
      </c>
      <c r="O47" s="39"/>
      <c r="P47" s="39">
        <v>4</v>
      </c>
      <c r="Q47" s="39">
        <v>5</v>
      </c>
      <c r="R47" s="40">
        <f>(P47-N47)/Q47 *100</f>
        <v>60</v>
      </c>
      <c r="S47" s="38">
        <f xml:space="preserve"> (N47 *5) + (O47 *2) -P47</f>
        <v>1</v>
      </c>
      <c r="W47" s="41" t="s">
        <v>4</v>
      </c>
      <c r="X47" s="47">
        <v>91</v>
      </c>
      <c r="Y47" s="47">
        <v>33</v>
      </c>
      <c r="Z47" s="47">
        <v>310</v>
      </c>
      <c r="AA47" s="47">
        <v>434</v>
      </c>
      <c r="AB47" s="48">
        <f>(Z47-X47)/AA47 *100</f>
        <v>50.460829493087559</v>
      </c>
      <c r="AC47" s="38">
        <f xml:space="preserve"> (X47 *5) + (Y47 *2) -Z47</f>
        <v>211</v>
      </c>
    </row>
    <row r="48" spans="1:29" x14ac:dyDescent="0.25">
      <c r="A48" s="1" t="s">
        <v>36</v>
      </c>
      <c r="B48" s="39"/>
      <c r="C48" s="39">
        <v>4</v>
      </c>
      <c r="D48" s="39">
        <v>4</v>
      </c>
      <c r="E48" s="39">
        <v>8</v>
      </c>
      <c r="F48" s="40">
        <f t="shared" si="6"/>
        <v>50</v>
      </c>
      <c r="G48" s="38">
        <f t="shared" si="7"/>
        <v>4</v>
      </c>
      <c r="M48" s="1" t="s">
        <v>34</v>
      </c>
      <c r="N48" s="39">
        <v>1</v>
      </c>
      <c r="O48" s="39"/>
      <c r="P48" s="39">
        <v>4</v>
      </c>
      <c r="Q48" s="39">
        <v>5</v>
      </c>
      <c r="R48" s="40">
        <f>(P48-N48)/Q48 *100</f>
        <v>60</v>
      </c>
      <c r="S48" s="38">
        <f xml:space="preserve"> (N48 *5) + (O48 *2) -P48</f>
        <v>1</v>
      </c>
    </row>
    <row r="49" spans="1:19" x14ac:dyDescent="0.25">
      <c r="A49" s="1" t="s">
        <v>274</v>
      </c>
      <c r="B49" s="39"/>
      <c r="C49" s="39">
        <v>3</v>
      </c>
      <c r="D49" s="39">
        <v>1</v>
      </c>
      <c r="E49" s="39">
        <v>4</v>
      </c>
      <c r="F49" s="40">
        <f t="shared" si="6"/>
        <v>25</v>
      </c>
      <c r="G49" s="38">
        <f t="shared" si="7"/>
        <v>5</v>
      </c>
      <c r="M49" s="1" t="s">
        <v>40</v>
      </c>
      <c r="N49" s="39">
        <v>1</v>
      </c>
      <c r="O49" s="39">
        <v>1</v>
      </c>
      <c r="P49" s="39">
        <v>5</v>
      </c>
      <c r="Q49" s="39">
        <v>7</v>
      </c>
      <c r="R49" s="40">
        <f>(P49-N49)/Q49 *100</f>
        <v>57.142857142857139</v>
      </c>
      <c r="S49" s="38">
        <f xml:space="preserve"> (N49 *5) + (O49 *2) -P49</f>
        <v>2</v>
      </c>
    </row>
    <row r="50" spans="1:19" x14ac:dyDescent="0.25">
      <c r="A50" s="1" t="s">
        <v>41</v>
      </c>
      <c r="B50" s="39">
        <v>1</v>
      </c>
      <c r="C50" s="39"/>
      <c r="D50" s="39">
        <v>5</v>
      </c>
      <c r="E50" s="39">
        <v>6</v>
      </c>
      <c r="F50" s="40">
        <f t="shared" si="6"/>
        <v>66.666666666666657</v>
      </c>
      <c r="G50" s="38">
        <f t="shared" si="7"/>
        <v>0</v>
      </c>
      <c r="M50" s="1" t="s">
        <v>243</v>
      </c>
      <c r="N50" s="39">
        <v>3</v>
      </c>
      <c r="O50" s="39">
        <v>1</v>
      </c>
      <c r="P50" s="39">
        <v>10</v>
      </c>
      <c r="Q50" s="39">
        <v>14</v>
      </c>
      <c r="R50" s="40">
        <f>(P50-N50)/Q50 *100</f>
        <v>50</v>
      </c>
      <c r="S50" s="38">
        <f xml:space="preserve"> (N50 *5) + (O50 *2) -P50</f>
        <v>7</v>
      </c>
    </row>
    <row r="51" spans="1:19" x14ac:dyDescent="0.25">
      <c r="A51" s="1" t="s">
        <v>34</v>
      </c>
      <c r="B51" s="39">
        <v>1</v>
      </c>
      <c r="C51" s="39"/>
      <c r="D51" s="39">
        <v>4</v>
      </c>
      <c r="E51" s="39">
        <v>5</v>
      </c>
      <c r="F51" s="40">
        <f t="shared" si="6"/>
        <v>60</v>
      </c>
      <c r="G51" s="38">
        <f t="shared" si="7"/>
        <v>1</v>
      </c>
      <c r="M51" s="1" t="s">
        <v>36</v>
      </c>
      <c r="N51" s="39"/>
      <c r="O51" s="39">
        <v>4</v>
      </c>
      <c r="P51" s="39">
        <v>4</v>
      </c>
      <c r="Q51" s="39">
        <v>8</v>
      </c>
      <c r="R51" s="40">
        <f>(P51-N51)/Q51 *100</f>
        <v>50</v>
      </c>
      <c r="S51" s="38">
        <f xml:space="preserve"> (N51 *5) + (O51 *2) -P51</f>
        <v>4</v>
      </c>
    </row>
    <row r="52" spans="1:19" x14ac:dyDescent="0.25">
      <c r="A52" s="1" t="s">
        <v>35</v>
      </c>
      <c r="B52" s="39">
        <v>1</v>
      </c>
      <c r="C52" s="39"/>
      <c r="D52" s="39">
        <v>5</v>
      </c>
      <c r="E52" s="39">
        <v>6</v>
      </c>
      <c r="F52" s="40">
        <f t="shared" si="6"/>
        <v>66.666666666666657</v>
      </c>
      <c r="G52" s="38">
        <f t="shared" si="7"/>
        <v>0</v>
      </c>
      <c r="M52" s="1" t="s">
        <v>274</v>
      </c>
      <c r="N52" s="39"/>
      <c r="O52" s="39">
        <v>3</v>
      </c>
      <c r="P52" s="39">
        <v>1</v>
      </c>
      <c r="Q52" s="39">
        <v>4</v>
      </c>
      <c r="R52" s="40">
        <f>(P52-N52)/Q52 *100</f>
        <v>25</v>
      </c>
      <c r="S52" s="38">
        <f xml:space="preserve"> (N52 *5) + (O52 *2) -P52</f>
        <v>5</v>
      </c>
    </row>
    <row r="53" spans="1:19" x14ac:dyDescent="0.25">
      <c r="A53" s="1" t="s">
        <v>80</v>
      </c>
      <c r="B53" s="39">
        <v>3</v>
      </c>
      <c r="C53" s="39">
        <v>1</v>
      </c>
      <c r="D53" s="39">
        <v>1</v>
      </c>
      <c r="E53" s="39">
        <v>5</v>
      </c>
      <c r="F53" s="40">
        <f t="shared" si="6"/>
        <v>-40</v>
      </c>
      <c r="G53" s="38">
        <f t="shared" si="7"/>
        <v>16</v>
      </c>
      <c r="M53" s="1" t="s">
        <v>39</v>
      </c>
      <c r="N53" s="39">
        <v>3</v>
      </c>
      <c r="O53" s="39"/>
      <c r="P53" s="39">
        <v>4</v>
      </c>
      <c r="Q53" s="39">
        <v>7</v>
      </c>
      <c r="R53" s="40">
        <f>(P53-N53)/Q53 *100</f>
        <v>14.285714285714285</v>
      </c>
      <c r="S53" s="38">
        <f xml:space="preserve"> (N53 *5) + (O53 *2) -P53</f>
        <v>11</v>
      </c>
    </row>
    <row r="54" spans="1:19" x14ac:dyDescent="0.25">
      <c r="A54" s="1" t="s">
        <v>4</v>
      </c>
      <c r="B54" s="39">
        <v>91</v>
      </c>
      <c r="C54" s="39">
        <v>33</v>
      </c>
      <c r="D54" s="39">
        <v>310</v>
      </c>
      <c r="E54" s="39">
        <v>434</v>
      </c>
      <c r="F54" s="40">
        <f t="shared" si="6"/>
        <v>50.460829493087559</v>
      </c>
      <c r="G54" s="38">
        <f t="shared" si="7"/>
        <v>211</v>
      </c>
      <c r="M54" s="1" t="s">
        <v>80</v>
      </c>
      <c r="N54" s="39">
        <v>3</v>
      </c>
      <c r="O54" s="39">
        <v>1</v>
      </c>
      <c r="P54" s="39">
        <v>1</v>
      </c>
      <c r="Q54" s="39">
        <v>5</v>
      </c>
      <c r="R54" s="40">
        <f>(P54-N54)/Q54 *100</f>
        <v>-40</v>
      </c>
      <c r="S54" s="38">
        <f xml:space="preserve"> (N54 *5) + (O54 *2) -P54</f>
        <v>16</v>
      </c>
    </row>
    <row r="55" spans="1:19" x14ac:dyDescent="0.25">
      <c r="M55" s="41" t="s">
        <v>33</v>
      </c>
      <c r="N55" s="47">
        <v>16</v>
      </c>
      <c r="O55" s="47">
        <v>11</v>
      </c>
      <c r="P55" s="47">
        <v>58</v>
      </c>
      <c r="Q55" s="47">
        <v>85</v>
      </c>
      <c r="R55" s="40">
        <f t="shared" ref="R55" si="8">(P55-N55)/Q55 *100</f>
        <v>49.411764705882355</v>
      </c>
      <c r="S55" s="38">
        <f t="shared" ref="S55" si="9" xml:space="preserve"> (N55 *5) + (O55 *2) -P55</f>
        <v>44</v>
      </c>
    </row>
  </sheetData>
  <autoFilter ref="W1:AC47" xr:uid="{A2B125BF-759A-4191-A787-6600DA0FAFE5}">
    <sortState xmlns:xlrd2="http://schemas.microsoft.com/office/spreadsheetml/2017/richdata2" ref="W2:AC47">
      <sortCondition ref="AC1:AC47"/>
    </sortState>
  </autoFilter>
  <conditionalFormatting sqref="F5:F54 AB2:AB46">
    <cfRule type="cellIs" dxfId="102" priority="21" operator="greaterThan">
      <formula>61.9</formula>
    </cfRule>
    <cfRule type="cellIs" dxfId="101" priority="22" operator="greaterThan">
      <formula>61.9</formula>
    </cfRule>
    <cfRule type="cellIs" dxfId="100" priority="179" operator="lessThan">
      <formula>61.9</formula>
    </cfRule>
    <cfRule type="cellIs" dxfId="99" priority="180" operator="greaterThan">
      <formula>61.9</formula>
    </cfRule>
  </conditionalFormatting>
  <conditionalFormatting sqref="G5:G54 AC2:AC46">
    <cfRule type="cellIs" dxfId="98" priority="177" operator="lessThan">
      <formula>1</formula>
    </cfRule>
    <cfRule type="cellIs" dxfId="97" priority="178" operator="greaterThan">
      <formula>0</formula>
    </cfRule>
  </conditionalFormatting>
  <conditionalFormatting sqref="R2:R10">
    <cfRule type="cellIs" dxfId="96" priority="79" operator="lessThan">
      <formula>61.9</formula>
    </cfRule>
    <cfRule type="cellIs" dxfId="95" priority="80" operator="greaterThan">
      <formula>61.9</formula>
    </cfRule>
  </conditionalFormatting>
  <conditionalFormatting sqref="S2:S10">
    <cfRule type="cellIs" dxfId="94" priority="77" operator="lessThan">
      <formula>1</formula>
    </cfRule>
    <cfRule type="cellIs" dxfId="93" priority="78" operator="greaterThan">
      <formula>0</formula>
    </cfRule>
  </conditionalFormatting>
  <conditionalFormatting sqref="R11">
    <cfRule type="cellIs" dxfId="92" priority="75" operator="lessThan">
      <formula>61.9</formula>
    </cfRule>
    <cfRule type="cellIs" dxfId="91" priority="76" operator="greaterThan">
      <formula>61.9</formula>
    </cfRule>
  </conditionalFormatting>
  <conditionalFormatting sqref="S11">
    <cfRule type="cellIs" dxfId="90" priority="73" operator="lessThan">
      <formula>1</formula>
    </cfRule>
    <cfRule type="cellIs" dxfId="89" priority="74" operator="greaterThan">
      <formula>0</formula>
    </cfRule>
  </conditionalFormatting>
  <conditionalFormatting sqref="R14:R24">
    <cfRule type="cellIs" dxfId="88" priority="71" operator="lessThan">
      <formula>61.9</formula>
    </cfRule>
    <cfRule type="cellIs" dxfId="87" priority="72" operator="greaterThan">
      <formula>61.9</formula>
    </cfRule>
  </conditionalFormatting>
  <conditionalFormatting sqref="S14:S24">
    <cfRule type="cellIs" dxfId="86" priority="69" operator="lessThan">
      <formula>1</formula>
    </cfRule>
    <cfRule type="cellIs" dxfId="85" priority="70" operator="greaterThan">
      <formula>0</formula>
    </cfRule>
  </conditionalFormatting>
  <conditionalFormatting sqref="R25">
    <cfRule type="cellIs" dxfId="84" priority="67" operator="lessThan">
      <formula>61.9</formula>
    </cfRule>
    <cfRule type="cellIs" dxfId="83" priority="68" operator="greaterThan">
      <formula>61.9</formula>
    </cfRule>
  </conditionalFormatting>
  <conditionalFormatting sqref="S25">
    <cfRule type="cellIs" dxfId="82" priority="65" operator="lessThan">
      <formula>1</formula>
    </cfRule>
    <cfRule type="cellIs" dxfId="81" priority="66" operator="greaterThan">
      <formula>0</formula>
    </cfRule>
  </conditionalFormatting>
  <conditionalFormatting sqref="R28:R39">
    <cfRule type="cellIs" dxfId="80" priority="63" operator="lessThan">
      <formula>61.9</formula>
    </cfRule>
    <cfRule type="cellIs" dxfId="79" priority="64" operator="greaterThan">
      <formula>61.9</formula>
    </cfRule>
  </conditionalFormatting>
  <conditionalFormatting sqref="S28:S39">
    <cfRule type="cellIs" dxfId="78" priority="61" operator="lessThan">
      <formula>1</formula>
    </cfRule>
    <cfRule type="cellIs" dxfId="77" priority="62" operator="greaterThan">
      <formula>0</formula>
    </cfRule>
  </conditionalFormatting>
  <conditionalFormatting sqref="R40">
    <cfRule type="cellIs" dxfId="76" priority="59" operator="lessThan">
      <formula>61.9</formula>
    </cfRule>
    <cfRule type="cellIs" dxfId="75" priority="60" operator="greaterThan">
      <formula>61.9</formula>
    </cfRule>
  </conditionalFormatting>
  <conditionalFormatting sqref="S40">
    <cfRule type="cellIs" dxfId="74" priority="57" operator="lessThan">
      <formula>1</formula>
    </cfRule>
    <cfRule type="cellIs" dxfId="73" priority="58" operator="greaterThan">
      <formula>0</formula>
    </cfRule>
  </conditionalFormatting>
  <conditionalFormatting sqref="R43:R54">
    <cfRule type="cellIs" dxfId="72" priority="55" operator="lessThan">
      <formula>61.9</formula>
    </cfRule>
    <cfRule type="cellIs" dxfId="71" priority="56" operator="greaterThan">
      <formula>61.9</formula>
    </cfRule>
  </conditionalFormatting>
  <conditionalFormatting sqref="S43:S54">
    <cfRule type="cellIs" dxfId="70" priority="53" operator="lessThan">
      <formula>1</formula>
    </cfRule>
    <cfRule type="cellIs" dxfId="69" priority="54" operator="greaterThan">
      <formula>0</formula>
    </cfRule>
  </conditionalFormatting>
  <conditionalFormatting sqref="R55">
    <cfRule type="cellIs" dxfId="68" priority="51" operator="lessThan">
      <formula>61.9</formula>
    </cfRule>
    <cfRule type="cellIs" dxfId="67" priority="52" operator="greaterThan">
      <formula>61.9</formula>
    </cfRule>
  </conditionalFormatting>
  <conditionalFormatting sqref="S55">
    <cfRule type="cellIs" dxfId="66" priority="49" operator="lessThan">
      <formula>1</formula>
    </cfRule>
    <cfRule type="cellIs" dxfId="65" priority="50" operator="greaterThan">
      <formula>0</formula>
    </cfRule>
  </conditionalFormatting>
  <conditionalFormatting sqref="F5:F43 AB2:AB36">
    <cfRule type="cellIs" dxfId="64" priority="23" operator="greaterThan">
      <formula>61.9</formula>
    </cfRule>
    <cfRule type="cellIs" dxfId="63" priority="24" operator="lessThan">
      <formula>61.9</formula>
    </cfRule>
  </conditionalFormatting>
  <conditionalFormatting sqref="AB47">
    <cfRule type="cellIs" dxfId="62" priority="3" operator="lessThan">
      <formula>61.9</formula>
    </cfRule>
    <cfRule type="cellIs" dxfId="61" priority="4" operator="greaterThan">
      <formula>61.9</formula>
    </cfRule>
  </conditionalFormatting>
  <conditionalFormatting sqref="AC47">
    <cfRule type="cellIs" dxfId="60" priority="1" operator="lessThan">
      <formula>1</formula>
    </cfRule>
    <cfRule type="cellIs" dxfId="59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465B-2C54-424F-B616-2277022BCA8F}">
  <sheetPr codeName="Sheet3"/>
  <dimension ref="A1:AB438"/>
  <sheetViews>
    <sheetView tabSelected="1" zoomScale="85" zoomScaleNormal="85" workbookViewId="0">
      <selection activeCell="E10" sqref="E10"/>
    </sheetView>
  </sheetViews>
  <sheetFormatPr defaultRowHeight="15" x14ac:dyDescent="0.25"/>
  <cols>
    <col min="1" max="1" width="12.42578125" bestFit="1" customWidth="1"/>
    <col min="2" max="4" width="9.28515625" bestFit="1" customWidth="1"/>
    <col min="5" max="5" width="18.7109375" bestFit="1" customWidth="1"/>
    <col min="6" max="6" width="11" bestFit="1" customWidth="1"/>
    <col min="7" max="7" width="19.28515625" bestFit="1" customWidth="1"/>
    <col min="8" max="8" width="32.85546875" bestFit="1" customWidth="1"/>
    <col min="9" max="9" width="26.85546875" bestFit="1" customWidth="1"/>
    <col min="10" max="10" width="5.85546875" bestFit="1" customWidth="1"/>
    <col min="11" max="12" width="3.28515625" bestFit="1" customWidth="1"/>
    <col min="13" max="13" width="12.5703125" bestFit="1" customWidth="1"/>
    <col min="14" max="14" width="13.42578125" bestFit="1" customWidth="1"/>
    <col min="15" max="15" width="17.28515625" bestFit="1" customWidth="1"/>
    <col min="16" max="16" width="5.85546875" bestFit="1" customWidth="1"/>
    <col min="20" max="20" width="13.85546875" bestFit="1" customWidth="1"/>
  </cols>
  <sheetData>
    <row r="1" spans="1:21" x14ac:dyDescent="0.25">
      <c r="A1" s="16" t="s">
        <v>43</v>
      </c>
      <c r="B1" s="16" t="s">
        <v>268</v>
      </c>
      <c r="C1" s="16" t="s">
        <v>269</v>
      </c>
      <c r="D1" s="16" t="s">
        <v>270</v>
      </c>
      <c r="E1" s="16" t="s">
        <v>42</v>
      </c>
      <c r="F1" s="16" t="s">
        <v>271</v>
      </c>
      <c r="G1" s="16" t="s">
        <v>272</v>
      </c>
      <c r="H1" s="16" t="s">
        <v>48</v>
      </c>
      <c r="I1" s="16" t="s">
        <v>275</v>
      </c>
      <c r="J1" s="16" t="s">
        <v>5</v>
      </c>
    </row>
    <row r="2" spans="1:21" x14ac:dyDescent="0.25">
      <c r="A2" s="33">
        <v>1000061099</v>
      </c>
      <c r="B2" s="33">
        <v>10</v>
      </c>
      <c r="C2" s="34" t="s">
        <v>244</v>
      </c>
      <c r="D2" s="34" t="s">
        <v>245</v>
      </c>
      <c r="E2" s="34" t="s">
        <v>246</v>
      </c>
      <c r="F2" s="35">
        <v>46145</v>
      </c>
      <c r="G2" s="34" t="s">
        <v>247</v>
      </c>
      <c r="H2" s="36" t="str">
        <f>VLOOKUP(E2,'HC for display name '!$B:$D,2,0)</f>
        <v>Peter Amgad-Shehata</v>
      </c>
      <c r="I2" s="36" t="str">
        <f>VLOOKUP(E2,'HC for display name '!$B:$D,3,0)</f>
        <v>Hend Yousry-AbdElRassoul</v>
      </c>
      <c r="J2" s="36" t="str">
        <f>VLOOKUP(B2,$T$3:$U$13,2,0)</f>
        <v>P</v>
      </c>
    </row>
    <row r="3" spans="1:21" x14ac:dyDescent="0.25">
      <c r="A3" s="33">
        <v>1001305864</v>
      </c>
      <c r="B3" s="33">
        <v>10</v>
      </c>
      <c r="C3" s="34" t="s">
        <v>244</v>
      </c>
      <c r="D3" s="34" t="s">
        <v>245</v>
      </c>
      <c r="E3" s="34" t="s">
        <v>87</v>
      </c>
      <c r="F3" s="35">
        <v>46145</v>
      </c>
      <c r="G3" s="34" t="s">
        <v>247</v>
      </c>
      <c r="H3" s="36" t="str">
        <f>VLOOKUP(E3,'HC for display name '!$B:$D,2,0)</f>
        <v>Ahmed Magdy-Ewis</v>
      </c>
      <c r="I3" s="36" t="str">
        <f>VLOOKUP(E3,'HC for display name '!$B:$D,3,0)</f>
        <v>Omar Emad-Mahmoud</v>
      </c>
      <c r="J3" s="36" t="str">
        <f t="shared" ref="J3:J66" si="0">VLOOKUP(B3,$T$3:$U$13,2,0)</f>
        <v>P</v>
      </c>
      <c r="T3">
        <v>0</v>
      </c>
      <c r="U3" t="s">
        <v>1</v>
      </c>
    </row>
    <row r="4" spans="1:21" x14ac:dyDescent="0.25">
      <c r="A4" s="33">
        <v>1001454085</v>
      </c>
      <c r="B4" s="33">
        <v>10</v>
      </c>
      <c r="C4" s="34" t="s">
        <v>244</v>
      </c>
      <c r="D4" s="34" t="s">
        <v>245</v>
      </c>
      <c r="E4" s="34" t="s">
        <v>155</v>
      </c>
      <c r="F4" s="35">
        <v>46145</v>
      </c>
      <c r="G4" s="34" t="s">
        <v>45</v>
      </c>
      <c r="H4" s="36" t="str">
        <f>VLOOKUP(E4,'HC for display name '!$B:$D,2,0)</f>
        <v>Omnia Wageeh-ElAzab</v>
      </c>
      <c r="I4" s="36" t="str">
        <f>VLOOKUP(E4,'HC for display name '!$B:$D,3,0)</f>
        <v>Merna Ashraf-Ashrafy</v>
      </c>
      <c r="J4" s="36" t="str">
        <f t="shared" si="0"/>
        <v>P</v>
      </c>
      <c r="T4">
        <v>1</v>
      </c>
      <c r="U4" t="s">
        <v>1</v>
      </c>
    </row>
    <row r="5" spans="1:21" x14ac:dyDescent="0.25">
      <c r="A5" s="33">
        <v>1005842115</v>
      </c>
      <c r="B5" s="33">
        <v>5</v>
      </c>
      <c r="C5" s="34" t="s">
        <v>248</v>
      </c>
      <c r="D5" s="34" t="s">
        <v>245</v>
      </c>
      <c r="E5" s="34" t="s">
        <v>249</v>
      </c>
      <c r="F5" s="35">
        <v>46145</v>
      </c>
      <c r="G5" s="34" t="s">
        <v>45</v>
      </c>
      <c r="H5" s="36" t="str">
        <f>VLOOKUP(E5,'HC for display name '!$B:$D,2,0)</f>
        <v>Omar Mamdouh-AbdAllah</v>
      </c>
      <c r="I5" s="36" t="str">
        <f>VLOOKUP(E5,'HC for display name '!$B:$D,3,0)</f>
        <v>Hend Yousry-AbdElRassoul</v>
      </c>
      <c r="J5" s="36" t="str">
        <f t="shared" si="0"/>
        <v>D</v>
      </c>
      <c r="T5">
        <v>2</v>
      </c>
      <c r="U5" t="s">
        <v>1</v>
      </c>
    </row>
    <row r="6" spans="1:21" x14ac:dyDescent="0.25">
      <c r="A6" s="33">
        <v>1009900071</v>
      </c>
      <c r="B6" s="33">
        <v>10</v>
      </c>
      <c r="C6" s="34" t="s">
        <v>244</v>
      </c>
      <c r="D6" s="34" t="s">
        <v>245</v>
      </c>
      <c r="E6" s="34" t="s">
        <v>192</v>
      </c>
      <c r="F6" s="35">
        <v>46145</v>
      </c>
      <c r="G6" s="34" t="s">
        <v>45</v>
      </c>
      <c r="H6" s="36" t="str">
        <f>VLOOKUP(E6,'HC for display name '!$B:$D,2,0)</f>
        <v>Ibrahim Ahmed-Ghonimy</v>
      </c>
      <c r="I6" s="36" t="str">
        <f>VLOOKUP(E6,'HC for display name '!$B:$D,3,0)</f>
        <v>AbdElRahman Adel-ElKelany</v>
      </c>
      <c r="J6" s="36" t="str">
        <f t="shared" si="0"/>
        <v>P</v>
      </c>
      <c r="T6">
        <v>3</v>
      </c>
      <c r="U6" t="s">
        <v>1</v>
      </c>
    </row>
    <row r="7" spans="1:21" x14ac:dyDescent="0.25">
      <c r="A7" s="33">
        <v>1010858015</v>
      </c>
      <c r="B7" s="33">
        <v>0</v>
      </c>
      <c r="C7" s="34" t="s">
        <v>248</v>
      </c>
      <c r="D7" s="34" t="s">
        <v>244</v>
      </c>
      <c r="E7" s="34" t="s">
        <v>169</v>
      </c>
      <c r="F7" s="35">
        <v>46145</v>
      </c>
      <c r="G7" s="34" t="s">
        <v>247</v>
      </c>
      <c r="H7" s="36" t="str">
        <f>VLOOKUP(E7,'HC for display name '!$B:$D,2,0)</f>
        <v>AbdElRhman Hesham-AbdElFadeel</v>
      </c>
      <c r="I7" s="36" t="str">
        <f>VLOOKUP(E7,'HC for display name '!$B:$D,3,0)</f>
        <v>AbdElRahman Adel-ElKelany</v>
      </c>
      <c r="J7" s="36" t="str">
        <f t="shared" si="0"/>
        <v>D</v>
      </c>
      <c r="T7">
        <v>4</v>
      </c>
      <c r="U7" t="s">
        <v>1</v>
      </c>
    </row>
    <row r="8" spans="1:21" x14ac:dyDescent="0.25">
      <c r="A8" s="33">
        <v>1011031229</v>
      </c>
      <c r="B8" s="33">
        <v>10</v>
      </c>
      <c r="C8" s="34" t="s">
        <v>250</v>
      </c>
      <c r="D8" s="34" t="s">
        <v>245</v>
      </c>
      <c r="E8" s="34" t="s">
        <v>246</v>
      </c>
      <c r="F8" s="35">
        <v>46145</v>
      </c>
      <c r="G8" s="34" t="s">
        <v>45</v>
      </c>
      <c r="H8" s="36" t="str">
        <f>VLOOKUP(E8,'HC for display name '!$B:$D,2,0)</f>
        <v>Peter Amgad-Shehata</v>
      </c>
      <c r="I8" s="36" t="str">
        <f>VLOOKUP(E8,'HC for display name '!$B:$D,3,0)</f>
        <v>Hend Yousry-AbdElRassoul</v>
      </c>
      <c r="J8" s="36" t="str">
        <f t="shared" si="0"/>
        <v>P</v>
      </c>
      <c r="T8">
        <v>5</v>
      </c>
      <c r="U8" t="s">
        <v>1</v>
      </c>
    </row>
    <row r="9" spans="1:21" x14ac:dyDescent="0.25">
      <c r="A9" s="33">
        <v>1011299898</v>
      </c>
      <c r="B9" s="33">
        <v>9</v>
      </c>
      <c r="C9" s="34" t="s">
        <v>244</v>
      </c>
      <c r="D9" s="34" t="s">
        <v>245</v>
      </c>
      <c r="E9" s="34" t="s">
        <v>251</v>
      </c>
      <c r="F9" s="35">
        <v>46145</v>
      </c>
      <c r="G9" s="34" t="s">
        <v>45</v>
      </c>
      <c r="H9" s="36" t="str">
        <f>VLOOKUP(E9,'HC for display name '!$B:$D,2,0)</f>
        <v>Ahmed Maged-Wahib</v>
      </c>
      <c r="I9" s="36" t="str">
        <f>VLOOKUP(E9,'HC for display name '!$B:$D,3,0)</f>
        <v>Hend Yousry-AbdElRassoul</v>
      </c>
      <c r="J9" s="36" t="str">
        <f t="shared" si="0"/>
        <v>P</v>
      </c>
      <c r="T9">
        <v>6</v>
      </c>
      <c r="U9" t="s">
        <v>1</v>
      </c>
    </row>
    <row r="10" spans="1:21" x14ac:dyDescent="0.25">
      <c r="A10" s="33">
        <v>1014945118</v>
      </c>
      <c r="B10" s="33">
        <v>10</v>
      </c>
      <c r="C10" s="34" t="s">
        <v>244</v>
      </c>
      <c r="D10" s="34" t="s">
        <v>245</v>
      </c>
      <c r="E10" s="34" t="s">
        <v>90</v>
      </c>
      <c r="F10" s="35">
        <v>46145</v>
      </c>
      <c r="G10" s="34" t="s">
        <v>247</v>
      </c>
      <c r="H10" s="36" t="str">
        <f>VLOOKUP(E10,'HC for display name '!$B:$D,2,0)</f>
        <v>Hatem Ibrahim-Ahmed</v>
      </c>
      <c r="I10" s="36" t="str">
        <f>VLOOKUP(E10,'HC for display name '!$B:$D,3,0)</f>
        <v>Omar Emad-Mahmoud</v>
      </c>
      <c r="J10" s="36" t="str">
        <f t="shared" si="0"/>
        <v>P</v>
      </c>
      <c r="T10">
        <v>7</v>
      </c>
      <c r="U10" t="s">
        <v>2</v>
      </c>
    </row>
    <row r="11" spans="1:21" x14ac:dyDescent="0.25">
      <c r="A11" s="33">
        <v>1015779232</v>
      </c>
      <c r="B11" s="33">
        <v>9</v>
      </c>
      <c r="C11" s="34" t="s">
        <v>244</v>
      </c>
      <c r="D11" s="34" t="s">
        <v>245</v>
      </c>
      <c r="E11" s="34" t="s">
        <v>87</v>
      </c>
      <c r="F11" s="35">
        <v>46145</v>
      </c>
      <c r="G11" s="34" t="s">
        <v>247</v>
      </c>
      <c r="H11" s="36" t="str">
        <f>VLOOKUP(E11,'HC for display name '!$B:$D,2,0)</f>
        <v>Ahmed Magdy-Ewis</v>
      </c>
      <c r="I11" s="36" t="str">
        <f>VLOOKUP(E11,'HC for display name '!$B:$D,3,0)</f>
        <v>Omar Emad-Mahmoud</v>
      </c>
      <c r="J11" s="36" t="str">
        <f t="shared" si="0"/>
        <v>P</v>
      </c>
      <c r="T11">
        <v>8</v>
      </c>
      <c r="U11" t="s">
        <v>2</v>
      </c>
    </row>
    <row r="12" spans="1:21" x14ac:dyDescent="0.25">
      <c r="A12" s="33">
        <v>1017470008</v>
      </c>
      <c r="B12" s="33">
        <v>10</v>
      </c>
      <c r="C12" s="34" t="s">
        <v>244</v>
      </c>
      <c r="D12" s="34" t="s">
        <v>245</v>
      </c>
      <c r="E12" s="34" t="s">
        <v>252</v>
      </c>
      <c r="F12" s="35">
        <v>46145</v>
      </c>
      <c r="G12" s="34" t="s">
        <v>247</v>
      </c>
      <c r="H12" s="36" t="str">
        <f>VLOOKUP(E12,'HC for display name '!$B:$D,2,0)</f>
        <v>Hassan Ramy-Hassan</v>
      </c>
      <c r="I12" s="36" t="str">
        <f>VLOOKUP(E12,'HC for display name '!$B:$D,3,0)</f>
        <v>Merna Ashraf-Ashrafy</v>
      </c>
      <c r="J12" s="36" t="str">
        <f t="shared" si="0"/>
        <v>P</v>
      </c>
      <c r="T12">
        <v>9</v>
      </c>
      <c r="U12" t="s">
        <v>3</v>
      </c>
    </row>
    <row r="13" spans="1:21" x14ac:dyDescent="0.25">
      <c r="A13" s="33">
        <v>1022848164</v>
      </c>
      <c r="B13" s="33">
        <v>10</v>
      </c>
      <c r="C13" s="34" t="s">
        <v>250</v>
      </c>
      <c r="D13" s="34" t="s">
        <v>245</v>
      </c>
      <c r="E13" s="34" t="s">
        <v>249</v>
      </c>
      <c r="F13" s="35">
        <v>46145</v>
      </c>
      <c r="G13" s="34" t="s">
        <v>45</v>
      </c>
      <c r="H13" s="36" t="str">
        <f>VLOOKUP(E13,'HC for display name '!$B:$D,2,0)</f>
        <v>Omar Mamdouh-AbdAllah</v>
      </c>
      <c r="I13" s="36" t="str">
        <f>VLOOKUP(E13,'HC for display name '!$B:$D,3,0)</f>
        <v>Hend Yousry-AbdElRassoul</v>
      </c>
      <c r="J13" s="36" t="str">
        <f t="shared" si="0"/>
        <v>P</v>
      </c>
      <c r="T13">
        <v>10</v>
      </c>
      <c r="U13" t="s">
        <v>3</v>
      </c>
    </row>
    <row r="14" spans="1:21" x14ac:dyDescent="0.25">
      <c r="A14" s="33">
        <v>1027107865</v>
      </c>
      <c r="B14" s="33">
        <v>10</v>
      </c>
      <c r="C14" s="34" t="s">
        <v>244</v>
      </c>
      <c r="D14" s="34" t="s">
        <v>245</v>
      </c>
      <c r="E14" s="34" t="s">
        <v>251</v>
      </c>
      <c r="F14" s="35">
        <v>46145</v>
      </c>
      <c r="G14" s="34" t="s">
        <v>45</v>
      </c>
      <c r="H14" s="36" t="str">
        <f>VLOOKUP(E14,'HC for display name '!$B:$D,2,0)</f>
        <v>Ahmed Maged-Wahib</v>
      </c>
      <c r="I14" s="36" t="str">
        <f>VLOOKUP(E14,'HC for display name '!$B:$D,3,0)</f>
        <v>Hend Yousry-AbdElRassoul</v>
      </c>
      <c r="J14" s="36" t="str">
        <f t="shared" si="0"/>
        <v>P</v>
      </c>
    </row>
    <row r="15" spans="1:21" x14ac:dyDescent="0.25">
      <c r="A15" s="33">
        <v>1031529082</v>
      </c>
      <c r="B15" s="33">
        <v>0</v>
      </c>
      <c r="C15" s="34" t="s">
        <v>248</v>
      </c>
      <c r="D15" s="34" t="s">
        <v>244</v>
      </c>
      <c r="E15" s="34" t="s">
        <v>253</v>
      </c>
      <c r="F15" s="35">
        <v>46145</v>
      </c>
      <c r="G15" s="34" t="s">
        <v>247</v>
      </c>
      <c r="H15" s="36" t="str">
        <f>VLOOKUP(E15,'HC for display name '!$B:$D,2,0)</f>
        <v>Mohamed AbdElMohsen-Mahdy</v>
      </c>
      <c r="I15" s="36" t="str">
        <f>VLOOKUP(E15,'HC for display name '!$B:$D,3,0)</f>
        <v>AbdElRahman Adel-ElKelany</v>
      </c>
      <c r="J15" s="36" t="str">
        <f t="shared" si="0"/>
        <v>D</v>
      </c>
    </row>
    <row r="16" spans="1:21" x14ac:dyDescent="0.25">
      <c r="A16" s="33">
        <v>1035021343</v>
      </c>
      <c r="B16" s="33">
        <v>5</v>
      </c>
      <c r="C16" s="34" t="s">
        <v>250</v>
      </c>
      <c r="D16" s="34" t="s">
        <v>250</v>
      </c>
      <c r="E16" s="34" t="s">
        <v>253</v>
      </c>
      <c r="F16" s="35">
        <v>46145</v>
      </c>
      <c r="G16" s="34" t="s">
        <v>247</v>
      </c>
      <c r="H16" s="36" t="str">
        <f>VLOOKUP(E16,'HC for display name '!$B:$D,2,0)</f>
        <v>Mohamed AbdElMohsen-Mahdy</v>
      </c>
      <c r="I16" s="36" t="str">
        <f>VLOOKUP(E16,'HC for display name '!$B:$D,3,0)</f>
        <v>AbdElRahman Adel-ElKelany</v>
      </c>
      <c r="J16" s="36" t="str">
        <f t="shared" si="0"/>
        <v>D</v>
      </c>
    </row>
    <row r="17" spans="1:10" x14ac:dyDescent="0.25">
      <c r="A17" s="33">
        <v>1035548000</v>
      </c>
      <c r="B17" s="33">
        <v>10</v>
      </c>
      <c r="C17" s="34" t="s">
        <v>248</v>
      </c>
      <c r="D17" s="34" t="s">
        <v>245</v>
      </c>
      <c r="E17" s="34" t="s">
        <v>122</v>
      </c>
      <c r="F17" s="35">
        <v>46145</v>
      </c>
      <c r="G17" s="34" t="s">
        <v>45</v>
      </c>
      <c r="H17" s="36" t="str">
        <f>VLOOKUP(E17,'HC for display name '!$B:$D,2,0)</f>
        <v>Nouran AbdAllah-Saeed</v>
      </c>
      <c r="I17" s="36" t="str">
        <f>VLOOKUP(E17,'HC for display name '!$B:$D,3,0)</f>
        <v>Merna Ashraf-Ashrafy</v>
      </c>
      <c r="J17" s="36" t="str">
        <f t="shared" si="0"/>
        <v>P</v>
      </c>
    </row>
    <row r="18" spans="1:10" x14ac:dyDescent="0.25">
      <c r="A18" s="33">
        <v>1037877269</v>
      </c>
      <c r="B18" s="33">
        <v>0</v>
      </c>
      <c r="C18" s="34" t="s">
        <v>248</v>
      </c>
      <c r="D18" s="34" t="s">
        <v>244</v>
      </c>
      <c r="E18" s="34" t="s">
        <v>254</v>
      </c>
      <c r="F18" s="35">
        <v>46145</v>
      </c>
      <c r="G18" s="34" t="s">
        <v>247</v>
      </c>
      <c r="H18" s="36" t="str">
        <f>VLOOKUP(E18,'HC for display name '!$B:$D,2,0)</f>
        <v>Mohamed Ahmed-Mansour</v>
      </c>
      <c r="I18" s="36" t="str">
        <f>VLOOKUP(E18,'HC for display name '!$B:$D,3,0)</f>
        <v>Hend Yousry-AbdElRassoul</v>
      </c>
      <c r="J18" s="36" t="str">
        <f t="shared" si="0"/>
        <v>D</v>
      </c>
    </row>
    <row r="19" spans="1:10" x14ac:dyDescent="0.25">
      <c r="A19" s="33">
        <v>1040398992</v>
      </c>
      <c r="B19" s="33">
        <v>10</v>
      </c>
      <c r="C19" s="34" t="s">
        <v>244</v>
      </c>
      <c r="D19" s="34" t="s">
        <v>245</v>
      </c>
      <c r="E19" s="34" t="s">
        <v>152</v>
      </c>
      <c r="F19" s="35">
        <v>46145</v>
      </c>
      <c r="G19" s="34" t="s">
        <v>45</v>
      </c>
      <c r="H19" s="36" t="str">
        <f>VLOOKUP(E19,'HC for display name '!$B:$D,2,0)</f>
        <v>Bassant Salah-Hassan</v>
      </c>
      <c r="I19" s="36" t="str">
        <f>VLOOKUP(E19,'HC for display name '!$B:$D,3,0)</f>
        <v>Merna Ashraf-Ashrafy</v>
      </c>
      <c r="J19" s="36" t="str">
        <f t="shared" si="0"/>
        <v>P</v>
      </c>
    </row>
    <row r="20" spans="1:10" x14ac:dyDescent="0.25">
      <c r="A20" s="33">
        <v>1063323820</v>
      </c>
      <c r="B20" s="33">
        <v>9</v>
      </c>
      <c r="C20" s="34" t="s">
        <v>244</v>
      </c>
      <c r="D20" s="34" t="s">
        <v>255</v>
      </c>
      <c r="E20" s="34" t="s">
        <v>152</v>
      </c>
      <c r="F20" s="35">
        <v>46145</v>
      </c>
      <c r="G20" s="34" t="s">
        <v>45</v>
      </c>
      <c r="H20" s="36" t="str">
        <f>VLOOKUP(E20,'HC for display name '!$B:$D,2,0)</f>
        <v>Bassant Salah-Hassan</v>
      </c>
      <c r="I20" s="36" t="str">
        <f>VLOOKUP(E20,'HC for display name '!$B:$D,3,0)</f>
        <v>Merna Ashraf-Ashrafy</v>
      </c>
      <c r="J20" s="36" t="str">
        <f t="shared" si="0"/>
        <v>P</v>
      </c>
    </row>
    <row r="21" spans="1:10" x14ac:dyDescent="0.25">
      <c r="A21" s="33">
        <v>1065332825</v>
      </c>
      <c r="B21" s="33">
        <v>10</v>
      </c>
      <c r="C21" s="34" t="s">
        <v>250</v>
      </c>
      <c r="D21" s="34" t="s">
        <v>245</v>
      </c>
      <c r="E21" s="34" t="s">
        <v>137</v>
      </c>
      <c r="F21" s="35">
        <v>46145</v>
      </c>
      <c r="G21" s="34" t="s">
        <v>45</v>
      </c>
      <c r="H21" s="36" t="str">
        <f>VLOOKUP(E21,'HC for display name '!$B:$D,2,0)</f>
        <v>Yasmine Waleed-Mohamed</v>
      </c>
      <c r="I21" s="36" t="str">
        <f>VLOOKUP(E21,'HC for display name '!$B:$D,3,0)</f>
        <v>Merna Ashraf-Ashrafy</v>
      </c>
      <c r="J21" s="36" t="str">
        <f t="shared" si="0"/>
        <v>P</v>
      </c>
    </row>
    <row r="22" spans="1:10" x14ac:dyDescent="0.25">
      <c r="A22" s="33">
        <v>1066261519</v>
      </c>
      <c r="B22" s="33">
        <v>0</v>
      </c>
      <c r="C22" s="34" t="s">
        <v>248</v>
      </c>
      <c r="D22" s="34" t="s">
        <v>245</v>
      </c>
      <c r="E22" s="34" t="s">
        <v>104</v>
      </c>
      <c r="F22" s="35">
        <v>46145</v>
      </c>
      <c r="G22" s="34" t="s">
        <v>45</v>
      </c>
      <c r="H22" s="36" t="str">
        <f>VLOOKUP(E22,'HC for display name '!$B:$D,2,0)</f>
        <v>Farha Ashraf-AboElMagd</v>
      </c>
      <c r="I22" s="36" t="str">
        <f>VLOOKUP(E22,'HC for display name '!$B:$D,3,0)</f>
        <v>Merna Ashraf-Ashrafy</v>
      </c>
      <c r="J22" s="36" t="str">
        <f t="shared" si="0"/>
        <v>D</v>
      </c>
    </row>
    <row r="23" spans="1:10" x14ac:dyDescent="0.25">
      <c r="A23" s="33">
        <v>1069214805</v>
      </c>
      <c r="B23" s="33">
        <v>0</v>
      </c>
      <c r="C23" s="34" t="s">
        <v>250</v>
      </c>
      <c r="D23" s="34" t="s">
        <v>245</v>
      </c>
      <c r="E23" s="34" t="s">
        <v>256</v>
      </c>
      <c r="F23" s="35">
        <v>46145</v>
      </c>
      <c r="G23" s="34" t="s">
        <v>45</v>
      </c>
      <c r="H23" s="36" t="str">
        <f>VLOOKUP(E23,'HC for display name '!$B:$D,2,0)</f>
        <v>Esraa Saad-Mahfod</v>
      </c>
      <c r="I23" s="36" t="str">
        <f>VLOOKUP(E23,'HC for display name '!$B:$D,3,0)</f>
        <v>Hend Yousry-AbdElRassoul</v>
      </c>
      <c r="J23" s="36" t="str">
        <f t="shared" si="0"/>
        <v>D</v>
      </c>
    </row>
    <row r="24" spans="1:10" x14ac:dyDescent="0.25">
      <c r="A24" s="33">
        <v>1070050788</v>
      </c>
      <c r="B24" s="33">
        <v>10</v>
      </c>
      <c r="C24" s="34" t="s">
        <v>250</v>
      </c>
      <c r="D24" s="34" t="s">
        <v>245</v>
      </c>
      <c r="E24" s="34" t="s">
        <v>256</v>
      </c>
      <c r="F24" s="35">
        <v>46145</v>
      </c>
      <c r="G24" s="34" t="s">
        <v>45</v>
      </c>
      <c r="H24" s="36" t="str">
        <f>VLOOKUP(E24,'HC for display name '!$B:$D,2,0)</f>
        <v>Esraa Saad-Mahfod</v>
      </c>
      <c r="I24" s="36" t="str">
        <f>VLOOKUP(E24,'HC for display name '!$B:$D,3,0)</f>
        <v>Hend Yousry-AbdElRassoul</v>
      </c>
      <c r="J24" s="36" t="str">
        <f t="shared" si="0"/>
        <v>P</v>
      </c>
    </row>
    <row r="25" spans="1:10" x14ac:dyDescent="0.25">
      <c r="A25" s="33">
        <v>1070381335</v>
      </c>
      <c r="B25" s="33">
        <v>10</v>
      </c>
      <c r="C25" s="34" t="s">
        <v>250</v>
      </c>
      <c r="D25" s="34" t="s">
        <v>245</v>
      </c>
      <c r="E25" s="34" t="s">
        <v>169</v>
      </c>
      <c r="F25" s="35">
        <v>46145</v>
      </c>
      <c r="G25" s="34" t="s">
        <v>45</v>
      </c>
      <c r="H25" s="36" t="str">
        <f>VLOOKUP(E25,'HC for display name '!$B:$D,2,0)</f>
        <v>AbdElRhman Hesham-AbdElFadeel</v>
      </c>
      <c r="I25" s="36" t="str">
        <f>VLOOKUP(E25,'HC for display name '!$B:$D,3,0)</f>
        <v>AbdElRahman Adel-ElKelany</v>
      </c>
      <c r="J25" s="36" t="str">
        <f t="shared" si="0"/>
        <v>P</v>
      </c>
    </row>
    <row r="26" spans="1:10" x14ac:dyDescent="0.25">
      <c r="A26" s="33">
        <v>1090032514</v>
      </c>
      <c r="B26" s="33">
        <v>10</v>
      </c>
      <c r="C26" s="34" t="s">
        <v>244</v>
      </c>
      <c r="D26" s="34" t="s">
        <v>245</v>
      </c>
      <c r="E26" s="34" t="s">
        <v>101</v>
      </c>
      <c r="F26" s="35">
        <v>46145</v>
      </c>
      <c r="G26" s="34" t="s">
        <v>45</v>
      </c>
      <c r="H26" s="36" t="str">
        <f>VLOOKUP(E26,'HC for display name '!$B:$D,2,0)</f>
        <v>Salma Taha-Ahmed</v>
      </c>
      <c r="I26" s="36" t="str">
        <f>VLOOKUP(E26,'HC for display name '!$B:$D,3,0)</f>
        <v>Merna Ashraf-Ashrafy</v>
      </c>
      <c r="J26" s="36" t="str">
        <f t="shared" si="0"/>
        <v>P</v>
      </c>
    </row>
    <row r="27" spans="1:10" x14ac:dyDescent="0.25">
      <c r="A27" s="33">
        <v>1090175540</v>
      </c>
      <c r="B27" s="33">
        <v>10</v>
      </c>
      <c r="C27" s="34" t="s">
        <v>244</v>
      </c>
      <c r="D27" s="34" t="s">
        <v>245</v>
      </c>
      <c r="E27" s="34" t="s">
        <v>111</v>
      </c>
      <c r="F27" s="35">
        <v>46145</v>
      </c>
      <c r="G27" s="34" t="s">
        <v>45</v>
      </c>
      <c r="H27" s="36" t="str">
        <f>VLOOKUP(E27,'HC for display name '!$B:$D,2,0)</f>
        <v>Mohada Mohamed-Hamdy</v>
      </c>
      <c r="I27" s="36" t="str">
        <f>VLOOKUP(E27,'HC for display name '!$B:$D,3,0)</f>
        <v>Merna Ashraf-Ashrafy</v>
      </c>
      <c r="J27" s="36" t="str">
        <f t="shared" si="0"/>
        <v>P</v>
      </c>
    </row>
    <row r="28" spans="1:10" x14ac:dyDescent="0.25">
      <c r="A28" s="33">
        <v>1090202938</v>
      </c>
      <c r="B28" s="33">
        <v>9</v>
      </c>
      <c r="C28" s="34" t="s">
        <v>248</v>
      </c>
      <c r="D28" s="34" t="s">
        <v>245</v>
      </c>
      <c r="E28" s="34" t="s">
        <v>111</v>
      </c>
      <c r="F28" s="35">
        <v>46145</v>
      </c>
      <c r="G28" s="34" t="s">
        <v>45</v>
      </c>
      <c r="H28" s="36" t="str">
        <f>VLOOKUP(E28,'HC for display name '!$B:$D,2,0)</f>
        <v>Mohada Mohamed-Hamdy</v>
      </c>
      <c r="I28" s="36" t="str">
        <f>VLOOKUP(E28,'HC for display name '!$B:$D,3,0)</f>
        <v>Merna Ashraf-Ashrafy</v>
      </c>
      <c r="J28" s="36" t="str">
        <f t="shared" si="0"/>
        <v>P</v>
      </c>
    </row>
    <row r="29" spans="1:10" x14ac:dyDescent="0.25">
      <c r="A29" s="33">
        <v>1091040116</v>
      </c>
      <c r="B29" s="33">
        <v>10</v>
      </c>
      <c r="C29" s="34" t="s">
        <v>248</v>
      </c>
      <c r="D29" s="34" t="s">
        <v>245</v>
      </c>
      <c r="E29" s="34" t="s">
        <v>90</v>
      </c>
      <c r="F29" s="35">
        <v>46145</v>
      </c>
      <c r="G29" s="34" t="s">
        <v>247</v>
      </c>
      <c r="H29" s="36" t="str">
        <f>VLOOKUP(E29,'HC for display name '!$B:$D,2,0)</f>
        <v>Hatem Ibrahim-Ahmed</v>
      </c>
      <c r="I29" s="36" t="str">
        <f>VLOOKUP(E29,'HC for display name '!$B:$D,3,0)</f>
        <v>Omar Emad-Mahmoud</v>
      </c>
      <c r="J29" s="36" t="str">
        <f t="shared" si="0"/>
        <v>P</v>
      </c>
    </row>
    <row r="30" spans="1:10" x14ac:dyDescent="0.25">
      <c r="A30" s="33">
        <v>1094072410</v>
      </c>
      <c r="B30" s="33">
        <v>5</v>
      </c>
      <c r="C30" s="34" t="s">
        <v>244</v>
      </c>
      <c r="D30" s="34" t="s">
        <v>245</v>
      </c>
      <c r="E30" s="34" t="s">
        <v>137</v>
      </c>
      <c r="F30" s="35">
        <v>46145</v>
      </c>
      <c r="G30" s="34" t="s">
        <v>45</v>
      </c>
      <c r="H30" s="36" t="str">
        <f>VLOOKUP(E30,'HC for display name '!$B:$D,2,0)</f>
        <v>Yasmine Waleed-Mohamed</v>
      </c>
      <c r="I30" s="36" t="str">
        <f>VLOOKUP(E30,'HC for display name '!$B:$D,3,0)</f>
        <v>Merna Ashraf-Ashrafy</v>
      </c>
      <c r="J30" s="36" t="str">
        <f t="shared" si="0"/>
        <v>D</v>
      </c>
    </row>
    <row r="31" spans="1:10" x14ac:dyDescent="0.25">
      <c r="A31" s="33">
        <v>1094571105</v>
      </c>
      <c r="B31" s="33">
        <v>0</v>
      </c>
      <c r="C31" s="34" t="s">
        <v>248</v>
      </c>
      <c r="D31" s="34" t="s">
        <v>244</v>
      </c>
      <c r="E31" s="34" t="s">
        <v>252</v>
      </c>
      <c r="F31" s="35">
        <v>46145</v>
      </c>
      <c r="G31" s="34" t="s">
        <v>247</v>
      </c>
      <c r="H31" s="36" t="str">
        <f>VLOOKUP(E31,'HC for display name '!$B:$D,2,0)</f>
        <v>Hassan Ramy-Hassan</v>
      </c>
      <c r="I31" s="36" t="str">
        <f>VLOOKUP(E31,'HC for display name '!$B:$D,3,0)</f>
        <v>Merna Ashraf-Ashrafy</v>
      </c>
      <c r="J31" s="36" t="str">
        <f t="shared" si="0"/>
        <v>D</v>
      </c>
    </row>
    <row r="32" spans="1:10" x14ac:dyDescent="0.25">
      <c r="A32" s="33">
        <v>1097957591</v>
      </c>
      <c r="B32" s="33">
        <v>10</v>
      </c>
      <c r="C32" s="34" t="s">
        <v>248</v>
      </c>
      <c r="D32" s="34" t="s">
        <v>248</v>
      </c>
      <c r="E32" s="34" t="s">
        <v>257</v>
      </c>
      <c r="F32" s="35">
        <v>46145</v>
      </c>
      <c r="G32" s="34" t="s">
        <v>247</v>
      </c>
      <c r="H32" s="36" t="str">
        <f>VLOOKUP(E32,'HC for display name '!$B:$D,2,0)</f>
        <v>Seif Ahmed-AbdELMawgod</v>
      </c>
      <c r="I32" s="36" t="str">
        <f>VLOOKUP(E32,'HC for display name '!$B:$D,3,0)</f>
        <v>AbdElRahman Adel-ElKelany</v>
      </c>
      <c r="J32" s="36" t="str">
        <f t="shared" si="0"/>
        <v>P</v>
      </c>
    </row>
    <row r="33" spans="1:10" x14ac:dyDescent="0.25">
      <c r="A33" s="33">
        <v>1099958364</v>
      </c>
      <c r="B33" s="33">
        <v>0</v>
      </c>
      <c r="C33" s="34" t="s">
        <v>248</v>
      </c>
      <c r="D33" s="34" t="s">
        <v>244</v>
      </c>
      <c r="E33" s="34" t="s">
        <v>253</v>
      </c>
      <c r="F33" s="35">
        <v>46145</v>
      </c>
      <c r="G33" s="34" t="s">
        <v>45</v>
      </c>
      <c r="H33" s="36" t="str">
        <f>VLOOKUP(E33,'HC for display name '!$B:$D,2,0)</f>
        <v>Mohamed AbdElMohsen-Mahdy</v>
      </c>
      <c r="I33" s="36" t="str">
        <f>VLOOKUP(E33,'HC for display name '!$B:$D,3,0)</f>
        <v>AbdElRahman Adel-ElKelany</v>
      </c>
      <c r="J33" s="36" t="str">
        <f t="shared" si="0"/>
        <v>D</v>
      </c>
    </row>
    <row r="34" spans="1:10" x14ac:dyDescent="0.25">
      <c r="A34" s="33">
        <v>1003069053</v>
      </c>
      <c r="B34" s="33">
        <v>8</v>
      </c>
      <c r="C34" s="34" t="s">
        <v>258</v>
      </c>
      <c r="D34" s="34" t="s">
        <v>245</v>
      </c>
      <c r="E34" s="34" t="s">
        <v>155</v>
      </c>
      <c r="F34" s="35">
        <v>46146</v>
      </c>
      <c r="G34" s="34" t="s">
        <v>45</v>
      </c>
      <c r="H34" s="36" t="str">
        <f>VLOOKUP(E34,'HC for display name '!$B:$D,2,0)</f>
        <v>Omnia Wageeh-ElAzab</v>
      </c>
      <c r="I34" s="36" t="str">
        <f>VLOOKUP(E34,'HC for display name '!$B:$D,3,0)</f>
        <v>Merna Ashraf-Ashrafy</v>
      </c>
      <c r="J34" s="36" t="str">
        <f t="shared" si="0"/>
        <v>N</v>
      </c>
    </row>
    <row r="35" spans="1:10" x14ac:dyDescent="0.25">
      <c r="A35" s="33">
        <v>1005823345</v>
      </c>
      <c r="B35" s="33">
        <v>10</v>
      </c>
      <c r="C35" s="34" t="s">
        <v>250</v>
      </c>
      <c r="D35" s="34" t="s">
        <v>245</v>
      </c>
      <c r="E35" s="34" t="s">
        <v>259</v>
      </c>
      <c r="F35" s="35">
        <v>46146</v>
      </c>
      <c r="G35" s="34" t="s">
        <v>45</v>
      </c>
      <c r="H35" s="36" t="str">
        <f>VLOOKUP(E35,'HC for display name '!$B:$D,2,0)</f>
        <v>Ahmed Fathy-Fathy</v>
      </c>
      <c r="I35" s="36" t="str">
        <f>VLOOKUP(E35,'HC for display name '!$B:$D,3,0)</f>
        <v>Omar Emad-Mahmoud</v>
      </c>
      <c r="J35" s="36" t="str">
        <f t="shared" si="0"/>
        <v>P</v>
      </c>
    </row>
    <row r="36" spans="1:10" x14ac:dyDescent="0.25">
      <c r="A36" s="33">
        <v>1005833591</v>
      </c>
      <c r="B36" s="33">
        <v>10</v>
      </c>
      <c r="C36" s="34" t="s">
        <v>244</v>
      </c>
      <c r="D36" s="34" t="s">
        <v>245</v>
      </c>
      <c r="E36" s="34" t="s">
        <v>152</v>
      </c>
      <c r="F36" s="35">
        <v>46146</v>
      </c>
      <c r="G36" s="34" t="s">
        <v>45</v>
      </c>
      <c r="H36" s="36" t="str">
        <f>VLOOKUP(E36,'HC for display name '!$B:$D,2,0)</f>
        <v>Bassant Salah-Hassan</v>
      </c>
      <c r="I36" s="36" t="str">
        <f>VLOOKUP(E36,'HC for display name '!$B:$D,3,0)</f>
        <v>Merna Ashraf-Ashrafy</v>
      </c>
      <c r="J36" s="36" t="str">
        <f t="shared" si="0"/>
        <v>P</v>
      </c>
    </row>
    <row r="37" spans="1:10" x14ac:dyDescent="0.25">
      <c r="A37" s="33">
        <v>1005862843</v>
      </c>
      <c r="B37" s="33">
        <v>0</v>
      </c>
      <c r="C37" s="34" t="s">
        <v>248</v>
      </c>
      <c r="D37" s="34" t="s">
        <v>245</v>
      </c>
      <c r="E37" s="34" t="s">
        <v>252</v>
      </c>
      <c r="F37" s="35">
        <v>46146</v>
      </c>
      <c r="G37" s="34" t="s">
        <v>247</v>
      </c>
      <c r="H37" s="36" t="str">
        <f>VLOOKUP(E37,'HC for display name '!$B:$D,2,0)</f>
        <v>Hassan Ramy-Hassan</v>
      </c>
      <c r="I37" s="36" t="str">
        <f>VLOOKUP(E37,'HC for display name '!$B:$D,3,0)</f>
        <v>Merna Ashraf-Ashrafy</v>
      </c>
      <c r="J37" s="36" t="str">
        <f t="shared" si="0"/>
        <v>D</v>
      </c>
    </row>
    <row r="38" spans="1:10" x14ac:dyDescent="0.25">
      <c r="A38" s="33">
        <v>1007731269</v>
      </c>
      <c r="B38" s="33">
        <v>0</v>
      </c>
      <c r="C38" s="34" t="s">
        <v>248</v>
      </c>
      <c r="D38" s="34" t="s">
        <v>244</v>
      </c>
      <c r="E38" s="34" t="s">
        <v>252</v>
      </c>
      <c r="F38" s="35">
        <v>46146</v>
      </c>
      <c r="G38" s="34" t="s">
        <v>247</v>
      </c>
      <c r="H38" s="36" t="str">
        <f>VLOOKUP(E38,'HC for display name '!$B:$D,2,0)</f>
        <v>Hassan Ramy-Hassan</v>
      </c>
      <c r="I38" s="36" t="str">
        <f>VLOOKUP(E38,'HC for display name '!$B:$D,3,0)</f>
        <v>Merna Ashraf-Ashrafy</v>
      </c>
      <c r="J38" s="36" t="str">
        <f t="shared" si="0"/>
        <v>D</v>
      </c>
    </row>
    <row r="39" spans="1:10" x14ac:dyDescent="0.25">
      <c r="A39" s="33">
        <v>1008910270</v>
      </c>
      <c r="B39" s="33">
        <v>10</v>
      </c>
      <c r="C39" s="34" t="s">
        <v>244</v>
      </c>
      <c r="D39" s="34" t="s">
        <v>245</v>
      </c>
      <c r="E39" s="34" t="s">
        <v>145</v>
      </c>
      <c r="F39" s="35">
        <v>46146</v>
      </c>
      <c r="G39" s="34" t="s">
        <v>45</v>
      </c>
      <c r="H39" s="36" t="str">
        <f>VLOOKUP(E39,'HC for display name '!$B:$D,2,0)</f>
        <v>Aya Ezzat-Mahmoud</v>
      </c>
      <c r="I39" s="36" t="str">
        <f>VLOOKUP(E39,'HC for display name '!$B:$D,3,0)</f>
        <v>Merna Ashraf-Ashrafy</v>
      </c>
      <c r="J39" s="36" t="str">
        <f t="shared" si="0"/>
        <v>P</v>
      </c>
    </row>
    <row r="40" spans="1:10" x14ac:dyDescent="0.25">
      <c r="A40" s="33">
        <v>1010080713</v>
      </c>
      <c r="B40" s="33">
        <v>10</v>
      </c>
      <c r="C40" s="34" t="s">
        <v>250</v>
      </c>
      <c r="D40" s="34" t="s">
        <v>245</v>
      </c>
      <c r="E40" s="34" t="s">
        <v>192</v>
      </c>
      <c r="F40" s="35">
        <v>46146</v>
      </c>
      <c r="G40" s="34" t="s">
        <v>247</v>
      </c>
      <c r="H40" s="36" t="str">
        <f>VLOOKUP(E40,'HC for display name '!$B:$D,2,0)</f>
        <v>Ibrahim Ahmed-Ghonimy</v>
      </c>
      <c r="I40" s="36" t="str">
        <f>VLOOKUP(E40,'HC for display name '!$B:$D,3,0)</f>
        <v>AbdElRahman Adel-ElKelany</v>
      </c>
      <c r="J40" s="36" t="str">
        <f t="shared" si="0"/>
        <v>P</v>
      </c>
    </row>
    <row r="41" spans="1:10" x14ac:dyDescent="0.25">
      <c r="A41" s="33">
        <v>1011577058</v>
      </c>
      <c r="B41" s="33">
        <v>9</v>
      </c>
      <c r="C41" s="34" t="s">
        <v>244</v>
      </c>
      <c r="D41" s="34" t="s">
        <v>245</v>
      </c>
      <c r="E41" s="34" t="s">
        <v>152</v>
      </c>
      <c r="F41" s="35">
        <v>46146</v>
      </c>
      <c r="G41" s="34" t="s">
        <v>45</v>
      </c>
      <c r="H41" s="36" t="str">
        <f>VLOOKUP(E41,'HC for display name '!$B:$D,2,0)</f>
        <v>Bassant Salah-Hassan</v>
      </c>
      <c r="I41" s="36" t="str">
        <f>VLOOKUP(E41,'HC for display name '!$B:$D,3,0)</f>
        <v>Merna Ashraf-Ashrafy</v>
      </c>
      <c r="J41" s="36" t="str">
        <f t="shared" si="0"/>
        <v>P</v>
      </c>
    </row>
    <row r="42" spans="1:10" x14ac:dyDescent="0.25">
      <c r="A42" s="33">
        <v>1012031818</v>
      </c>
      <c r="B42" s="33">
        <v>10</v>
      </c>
      <c r="C42" s="34" t="s">
        <v>244</v>
      </c>
      <c r="D42" s="34" t="s">
        <v>245</v>
      </c>
      <c r="E42" s="34" t="s">
        <v>260</v>
      </c>
      <c r="F42" s="35">
        <v>46146</v>
      </c>
      <c r="G42" s="34" t="s">
        <v>45</v>
      </c>
      <c r="H42" s="36" t="str">
        <f>VLOOKUP(E42,'HC for display name '!$B:$D,2,0)</f>
        <v>Mohamed Khaled-Khattab</v>
      </c>
      <c r="I42" s="36" t="str">
        <f>VLOOKUP(E42,'HC for display name '!$B:$D,3,0)</f>
        <v>Hend Yousry-AbdElRassoul</v>
      </c>
      <c r="J42" s="36" t="str">
        <f t="shared" si="0"/>
        <v>P</v>
      </c>
    </row>
    <row r="43" spans="1:10" x14ac:dyDescent="0.25">
      <c r="A43" s="33">
        <v>1012388854</v>
      </c>
      <c r="B43" s="33">
        <v>8</v>
      </c>
      <c r="C43" s="34" t="s">
        <v>250</v>
      </c>
      <c r="D43" s="34" t="s">
        <v>245</v>
      </c>
      <c r="E43" s="34" t="s">
        <v>261</v>
      </c>
      <c r="F43" s="35">
        <v>46146</v>
      </c>
      <c r="G43" s="34" t="s">
        <v>247</v>
      </c>
      <c r="H43" s="36" t="str">
        <f>VLOOKUP(E43,'HC for display name '!$B:$D,2,0)</f>
        <v>Mohamed AbdElaziz-AbdElRahman</v>
      </c>
      <c r="I43" s="36" t="str">
        <f>VLOOKUP(E43,'HC for display name '!$B:$D,3,0)</f>
        <v>Omar Emad-Mahmoud</v>
      </c>
      <c r="J43" s="36" t="str">
        <f t="shared" si="0"/>
        <v>N</v>
      </c>
    </row>
    <row r="44" spans="1:10" x14ac:dyDescent="0.25">
      <c r="A44" s="33">
        <v>1016431803</v>
      </c>
      <c r="B44" s="33">
        <v>10</v>
      </c>
      <c r="C44" s="34" t="s">
        <v>244</v>
      </c>
      <c r="D44" s="34" t="s">
        <v>245</v>
      </c>
      <c r="E44" s="34" t="s">
        <v>262</v>
      </c>
      <c r="F44" s="35">
        <v>46146</v>
      </c>
      <c r="G44" s="34" t="s">
        <v>45</v>
      </c>
      <c r="H44" s="36" t="str">
        <f>VLOOKUP(E44,'HC for display name '!$B:$D,2,0)</f>
        <v>Mohamed AbdElazim-Farag</v>
      </c>
      <c r="I44" s="36" t="str">
        <f>VLOOKUP(E44,'HC for display name '!$B:$D,3,0)</f>
        <v>Hend Yousry-AbdElRassoul</v>
      </c>
      <c r="J44" s="36" t="str">
        <f t="shared" si="0"/>
        <v>P</v>
      </c>
    </row>
    <row r="45" spans="1:10" x14ac:dyDescent="0.25">
      <c r="A45" s="33">
        <v>1018690142</v>
      </c>
      <c r="B45" s="33">
        <v>10</v>
      </c>
      <c r="C45" s="34" t="s">
        <v>250</v>
      </c>
      <c r="D45" s="34" t="s">
        <v>245</v>
      </c>
      <c r="E45" s="34" t="s">
        <v>93</v>
      </c>
      <c r="F45" s="35">
        <v>46146</v>
      </c>
      <c r="G45" s="34" t="s">
        <v>45</v>
      </c>
      <c r="H45" s="36" t="str">
        <f>VLOOKUP(E45,'HC for display name '!$B:$D,2,0)</f>
        <v>Islam Gamal-Zakaria</v>
      </c>
      <c r="I45" s="36" t="str">
        <f>VLOOKUP(E45,'HC for display name '!$B:$D,3,0)</f>
        <v>Omar Emad-Mahmoud</v>
      </c>
      <c r="J45" s="36" t="str">
        <f t="shared" si="0"/>
        <v>P</v>
      </c>
    </row>
    <row r="46" spans="1:10" x14ac:dyDescent="0.25">
      <c r="A46" s="33">
        <v>1020211424</v>
      </c>
      <c r="B46" s="33">
        <v>9</v>
      </c>
      <c r="C46" s="34" t="s">
        <v>244</v>
      </c>
      <c r="D46" s="34" t="s">
        <v>245</v>
      </c>
      <c r="E46" s="34" t="s">
        <v>137</v>
      </c>
      <c r="F46" s="35">
        <v>46146</v>
      </c>
      <c r="G46" s="34" t="s">
        <v>45</v>
      </c>
      <c r="H46" s="36" t="str">
        <f>VLOOKUP(E46,'HC for display name '!$B:$D,2,0)</f>
        <v>Yasmine Waleed-Mohamed</v>
      </c>
      <c r="I46" s="36" t="str">
        <f>VLOOKUP(E46,'HC for display name '!$B:$D,3,0)</f>
        <v>Merna Ashraf-Ashrafy</v>
      </c>
      <c r="J46" s="36" t="str">
        <f t="shared" si="0"/>
        <v>P</v>
      </c>
    </row>
    <row r="47" spans="1:10" x14ac:dyDescent="0.25">
      <c r="A47" s="33">
        <v>1020397889</v>
      </c>
      <c r="B47" s="33">
        <v>10</v>
      </c>
      <c r="C47" s="34" t="s">
        <v>244</v>
      </c>
      <c r="D47" s="34" t="s">
        <v>245</v>
      </c>
      <c r="E47" s="34" t="s">
        <v>145</v>
      </c>
      <c r="F47" s="35">
        <v>46146</v>
      </c>
      <c r="G47" s="34" t="s">
        <v>45</v>
      </c>
      <c r="H47" s="36" t="str">
        <f>VLOOKUP(E47,'HC for display name '!$B:$D,2,0)</f>
        <v>Aya Ezzat-Mahmoud</v>
      </c>
      <c r="I47" s="36" t="str">
        <f>VLOOKUP(E47,'HC for display name '!$B:$D,3,0)</f>
        <v>Merna Ashraf-Ashrafy</v>
      </c>
      <c r="J47" s="36" t="str">
        <f t="shared" si="0"/>
        <v>P</v>
      </c>
    </row>
    <row r="48" spans="1:10" x14ac:dyDescent="0.25">
      <c r="A48" s="33">
        <v>1022839500</v>
      </c>
      <c r="B48" s="33">
        <v>10</v>
      </c>
      <c r="C48" s="34" t="s">
        <v>250</v>
      </c>
      <c r="D48" s="34" t="s">
        <v>245</v>
      </c>
      <c r="E48" s="34" t="s">
        <v>256</v>
      </c>
      <c r="F48" s="35">
        <v>46146</v>
      </c>
      <c r="G48" s="34" t="s">
        <v>45</v>
      </c>
      <c r="H48" s="36" t="str">
        <f>VLOOKUP(E48,'HC for display name '!$B:$D,2,0)</f>
        <v>Esraa Saad-Mahfod</v>
      </c>
      <c r="I48" s="36" t="str">
        <f>VLOOKUP(E48,'HC for display name '!$B:$D,3,0)</f>
        <v>Hend Yousry-AbdElRassoul</v>
      </c>
      <c r="J48" s="36" t="str">
        <f t="shared" si="0"/>
        <v>P</v>
      </c>
    </row>
    <row r="49" spans="1:10" x14ac:dyDescent="0.25">
      <c r="A49" s="33">
        <v>1026746434</v>
      </c>
      <c r="B49" s="33">
        <v>0</v>
      </c>
      <c r="C49" s="34" t="s">
        <v>248</v>
      </c>
      <c r="D49" s="34" t="s">
        <v>244</v>
      </c>
      <c r="E49" s="34" t="s">
        <v>263</v>
      </c>
      <c r="F49" s="35">
        <v>46146</v>
      </c>
      <c r="G49" s="34" t="s">
        <v>45</v>
      </c>
      <c r="H49" s="36" t="str">
        <f>VLOOKUP(E49,'HC for display name '!$B:$D,2,0)</f>
        <v>Yara Hussein-Mofleh</v>
      </c>
      <c r="I49" s="36" t="str">
        <f>VLOOKUP(E49,'HC for display name '!$B:$D,3,0)</f>
        <v>Hend Yousry-AbdElRassoul</v>
      </c>
      <c r="J49" s="36" t="str">
        <f t="shared" si="0"/>
        <v>D</v>
      </c>
    </row>
    <row r="50" spans="1:10" x14ac:dyDescent="0.25">
      <c r="A50" s="33">
        <v>1032405991</v>
      </c>
      <c r="B50" s="33">
        <v>8</v>
      </c>
      <c r="C50" s="34" t="s">
        <v>258</v>
      </c>
      <c r="D50" s="34" t="s">
        <v>245</v>
      </c>
      <c r="E50" s="34" t="s">
        <v>155</v>
      </c>
      <c r="F50" s="35">
        <v>46146</v>
      </c>
      <c r="G50" s="34" t="s">
        <v>45</v>
      </c>
      <c r="H50" s="36" t="str">
        <f>VLOOKUP(E50,'HC for display name '!$B:$D,2,0)</f>
        <v>Omnia Wageeh-ElAzab</v>
      </c>
      <c r="I50" s="36" t="str">
        <f>VLOOKUP(E50,'HC for display name '!$B:$D,3,0)</f>
        <v>Merna Ashraf-Ashrafy</v>
      </c>
      <c r="J50" s="36" t="str">
        <f t="shared" si="0"/>
        <v>N</v>
      </c>
    </row>
    <row r="51" spans="1:10" x14ac:dyDescent="0.25">
      <c r="A51" s="33">
        <v>1050062333</v>
      </c>
      <c r="B51" s="33">
        <v>10</v>
      </c>
      <c r="C51" s="34" t="s">
        <v>250</v>
      </c>
      <c r="D51" s="34" t="s">
        <v>245</v>
      </c>
      <c r="E51" s="34" t="s">
        <v>263</v>
      </c>
      <c r="F51" s="35">
        <v>46146</v>
      </c>
      <c r="G51" s="34" t="s">
        <v>45</v>
      </c>
      <c r="H51" s="36" t="str">
        <f>VLOOKUP(E51,'HC for display name '!$B:$D,2,0)</f>
        <v>Yara Hussein-Mofleh</v>
      </c>
      <c r="I51" s="36" t="str">
        <f>VLOOKUP(E51,'HC for display name '!$B:$D,3,0)</f>
        <v>Hend Yousry-AbdElRassoul</v>
      </c>
      <c r="J51" s="36" t="str">
        <f t="shared" si="0"/>
        <v>P</v>
      </c>
    </row>
    <row r="52" spans="1:10" x14ac:dyDescent="0.25">
      <c r="A52" s="33">
        <v>1061355888</v>
      </c>
      <c r="B52" s="33">
        <v>0</v>
      </c>
      <c r="C52" s="34" t="s">
        <v>248</v>
      </c>
      <c r="D52" s="34" t="s">
        <v>244</v>
      </c>
      <c r="E52" s="34" t="s">
        <v>137</v>
      </c>
      <c r="F52" s="35">
        <v>46146</v>
      </c>
      <c r="G52" s="34" t="s">
        <v>45</v>
      </c>
      <c r="H52" s="36" t="str">
        <f>VLOOKUP(E52,'HC for display name '!$B:$D,2,0)</f>
        <v>Yasmine Waleed-Mohamed</v>
      </c>
      <c r="I52" s="36" t="str">
        <f>VLOOKUP(E52,'HC for display name '!$B:$D,3,0)</f>
        <v>Merna Ashraf-Ashrafy</v>
      </c>
      <c r="J52" s="36" t="str">
        <f t="shared" si="0"/>
        <v>D</v>
      </c>
    </row>
    <row r="53" spans="1:10" x14ac:dyDescent="0.25">
      <c r="A53" s="33">
        <v>1063194199</v>
      </c>
      <c r="B53" s="33">
        <v>8</v>
      </c>
      <c r="C53" s="34" t="s">
        <v>244</v>
      </c>
      <c r="D53" s="34" t="s">
        <v>250</v>
      </c>
      <c r="E53" s="34" t="s">
        <v>252</v>
      </c>
      <c r="F53" s="35">
        <v>46146</v>
      </c>
      <c r="G53" s="34" t="s">
        <v>247</v>
      </c>
      <c r="H53" s="36" t="str">
        <f>VLOOKUP(E53,'HC for display name '!$B:$D,2,0)</f>
        <v>Hassan Ramy-Hassan</v>
      </c>
      <c r="I53" s="36" t="str">
        <f>VLOOKUP(E53,'HC for display name '!$B:$D,3,0)</f>
        <v>Merna Ashraf-Ashrafy</v>
      </c>
      <c r="J53" s="36" t="str">
        <f t="shared" si="0"/>
        <v>N</v>
      </c>
    </row>
    <row r="54" spans="1:10" x14ac:dyDescent="0.25">
      <c r="A54" s="33">
        <v>1066099301</v>
      </c>
      <c r="B54" s="33">
        <v>0</v>
      </c>
      <c r="C54" s="34" t="s">
        <v>250</v>
      </c>
      <c r="D54" s="34" t="s">
        <v>244</v>
      </c>
      <c r="E54" s="34" t="s">
        <v>264</v>
      </c>
      <c r="F54" s="35">
        <v>46146</v>
      </c>
      <c r="G54" s="34" t="s">
        <v>247</v>
      </c>
      <c r="H54" s="36" t="str">
        <f>VLOOKUP(E54,'HC for display name '!$B:$D,2,0)</f>
        <v>Ziad Hassan-Donkol</v>
      </c>
      <c r="I54" s="36" t="str">
        <f>VLOOKUP(E54,'HC for display name '!$B:$D,3,0)</f>
        <v>AbdElRahman Adel-ElKelany</v>
      </c>
      <c r="J54" s="36" t="str">
        <f t="shared" si="0"/>
        <v>D</v>
      </c>
    </row>
    <row r="55" spans="1:10" x14ac:dyDescent="0.25">
      <c r="A55" s="33">
        <v>1070083603</v>
      </c>
      <c r="B55" s="33">
        <v>10</v>
      </c>
      <c r="C55" s="34" t="s">
        <v>244</v>
      </c>
      <c r="D55" s="34" t="s">
        <v>245</v>
      </c>
      <c r="E55" s="34" t="s">
        <v>152</v>
      </c>
      <c r="F55" s="35">
        <v>46146</v>
      </c>
      <c r="G55" s="34" t="s">
        <v>45</v>
      </c>
      <c r="H55" s="36" t="str">
        <f>VLOOKUP(E55,'HC for display name '!$B:$D,2,0)</f>
        <v>Bassant Salah-Hassan</v>
      </c>
      <c r="I55" s="36" t="str">
        <f>VLOOKUP(E55,'HC for display name '!$B:$D,3,0)</f>
        <v>Merna Ashraf-Ashrafy</v>
      </c>
      <c r="J55" s="36" t="str">
        <f t="shared" si="0"/>
        <v>P</v>
      </c>
    </row>
    <row r="56" spans="1:10" x14ac:dyDescent="0.25">
      <c r="A56" s="33">
        <v>1070636014</v>
      </c>
      <c r="B56" s="33">
        <v>5</v>
      </c>
      <c r="C56" s="34" t="s">
        <v>258</v>
      </c>
      <c r="D56" s="34" t="s">
        <v>248</v>
      </c>
      <c r="E56" s="34" t="s">
        <v>262</v>
      </c>
      <c r="F56" s="35">
        <v>46146</v>
      </c>
      <c r="G56" s="34" t="s">
        <v>247</v>
      </c>
      <c r="H56" s="36" t="str">
        <f>VLOOKUP(E56,'HC for display name '!$B:$D,2,0)</f>
        <v>Mohamed AbdElazim-Farag</v>
      </c>
      <c r="I56" s="36" t="str">
        <f>VLOOKUP(E56,'HC for display name '!$B:$D,3,0)</f>
        <v>Hend Yousry-AbdElRassoul</v>
      </c>
      <c r="J56" s="36" t="str">
        <f t="shared" si="0"/>
        <v>D</v>
      </c>
    </row>
    <row r="57" spans="1:10" x14ac:dyDescent="0.25">
      <c r="A57" s="33">
        <v>1080801906</v>
      </c>
      <c r="B57" s="33">
        <v>0</v>
      </c>
      <c r="C57" s="34" t="s">
        <v>250</v>
      </c>
      <c r="D57" s="34" t="s">
        <v>244</v>
      </c>
      <c r="E57" s="34" t="s">
        <v>260</v>
      </c>
      <c r="F57" s="35">
        <v>46146</v>
      </c>
      <c r="G57" s="34" t="s">
        <v>45</v>
      </c>
      <c r="H57" s="36" t="str">
        <f>VLOOKUP(E57,'HC for display name '!$B:$D,2,0)</f>
        <v>Mohamed Khaled-Khattab</v>
      </c>
      <c r="I57" s="36" t="str">
        <f>VLOOKUP(E57,'HC for display name '!$B:$D,3,0)</f>
        <v>Hend Yousry-AbdElRassoul</v>
      </c>
      <c r="J57" s="36" t="str">
        <f t="shared" si="0"/>
        <v>D</v>
      </c>
    </row>
    <row r="58" spans="1:10" x14ac:dyDescent="0.25">
      <c r="A58" s="33">
        <v>1090019530</v>
      </c>
      <c r="B58" s="33">
        <v>0</v>
      </c>
      <c r="C58" s="34" t="s">
        <v>248</v>
      </c>
      <c r="D58" s="34" t="s">
        <v>244</v>
      </c>
      <c r="E58" s="34" t="s">
        <v>122</v>
      </c>
      <c r="F58" s="35">
        <v>46146</v>
      </c>
      <c r="G58" s="34" t="s">
        <v>45</v>
      </c>
      <c r="H58" s="36" t="str">
        <f>VLOOKUP(E58,'HC for display name '!$B:$D,2,0)</f>
        <v>Nouran AbdAllah-Saeed</v>
      </c>
      <c r="I58" s="36" t="str">
        <f>VLOOKUP(E58,'HC for display name '!$B:$D,3,0)</f>
        <v>Merna Ashraf-Ashrafy</v>
      </c>
      <c r="J58" s="36" t="str">
        <f t="shared" si="0"/>
        <v>D</v>
      </c>
    </row>
    <row r="59" spans="1:10" x14ac:dyDescent="0.25">
      <c r="A59" s="33">
        <v>1090687784</v>
      </c>
      <c r="B59" s="33">
        <v>10</v>
      </c>
      <c r="C59" s="34" t="s">
        <v>250</v>
      </c>
      <c r="D59" s="34" t="s">
        <v>244</v>
      </c>
      <c r="E59" s="34" t="s">
        <v>256</v>
      </c>
      <c r="F59" s="35">
        <v>46146</v>
      </c>
      <c r="G59" s="34" t="s">
        <v>45</v>
      </c>
      <c r="H59" s="36" t="str">
        <f>VLOOKUP(E59,'HC for display name '!$B:$D,2,0)</f>
        <v>Esraa Saad-Mahfod</v>
      </c>
      <c r="I59" s="36" t="str">
        <f>VLOOKUP(E59,'HC for display name '!$B:$D,3,0)</f>
        <v>Hend Yousry-AbdElRassoul</v>
      </c>
      <c r="J59" s="36" t="str">
        <f t="shared" si="0"/>
        <v>P</v>
      </c>
    </row>
    <row r="60" spans="1:10" x14ac:dyDescent="0.25">
      <c r="A60" s="33">
        <v>1094507927</v>
      </c>
      <c r="B60" s="33">
        <v>10</v>
      </c>
      <c r="C60" s="34" t="s">
        <v>244</v>
      </c>
      <c r="D60" s="34" t="s">
        <v>245</v>
      </c>
      <c r="E60" s="34" t="s">
        <v>87</v>
      </c>
      <c r="F60" s="35">
        <v>46146</v>
      </c>
      <c r="G60" s="34" t="s">
        <v>247</v>
      </c>
      <c r="H60" s="36" t="str">
        <f>VLOOKUP(E60,'HC for display name '!$B:$D,2,0)</f>
        <v>Ahmed Magdy-Ewis</v>
      </c>
      <c r="I60" s="36" t="str">
        <f>VLOOKUP(E60,'HC for display name '!$B:$D,3,0)</f>
        <v>Omar Emad-Mahmoud</v>
      </c>
      <c r="J60" s="36" t="str">
        <f t="shared" si="0"/>
        <v>P</v>
      </c>
    </row>
    <row r="61" spans="1:10" x14ac:dyDescent="0.25">
      <c r="A61" s="33">
        <v>1095885086</v>
      </c>
      <c r="B61" s="33">
        <v>10</v>
      </c>
      <c r="C61" s="34" t="s">
        <v>244</v>
      </c>
      <c r="D61" s="34" t="s">
        <v>245</v>
      </c>
      <c r="E61" s="34" t="s">
        <v>87</v>
      </c>
      <c r="F61" s="35">
        <v>46146</v>
      </c>
      <c r="G61" s="34" t="s">
        <v>247</v>
      </c>
      <c r="H61" s="36" t="str">
        <f>VLOOKUP(E61,'HC for display name '!$B:$D,2,0)</f>
        <v>Ahmed Magdy-Ewis</v>
      </c>
      <c r="I61" s="36" t="str">
        <f>VLOOKUP(E61,'HC for display name '!$B:$D,3,0)</f>
        <v>Omar Emad-Mahmoud</v>
      </c>
      <c r="J61" s="36" t="str">
        <f t="shared" si="0"/>
        <v>P</v>
      </c>
    </row>
    <row r="62" spans="1:10" x14ac:dyDescent="0.25">
      <c r="A62" s="33">
        <v>1098044170</v>
      </c>
      <c r="B62" s="33">
        <v>10</v>
      </c>
      <c r="C62" s="34" t="s">
        <v>250</v>
      </c>
      <c r="D62" s="34" t="s">
        <v>245</v>
      </c>
      <c r="E62" s="34" t="s">
        <v>263</v>
      </c>
      <c r="F62" s="35">
        <v>46146</v>
      </c>
      <c r="G62" s="34" t="s">
        <v>45</v>
      </c>
      <c r="H62" s="36" t="str">
        <f>VLOOKUP(E62,'HC for display name '!$B:$D,2,0)</f>
        <v>Yara Hussein-Mofleh</v>
      </c>
      <c r="I62" s="36" t="str">
        <f>VLOOKUP(E62,'HC for display name '!$B:$D,3,0)</f>
        <v>Hend Yousry-AbdElRassoul</v>
      </c>
      <c r="J62" s="36" t="str">
        <f t="shared" si="0"/>
        <v>P</v>
      </c>
    </row>
    <row r="63" spans="1:10" x14ac:dyDescent="0.25">
      <c r="A63" s="33">
        <v>1099097342</v>
      </c>
      <c r="B63" s="33">
        <v>10</v>
      </c>
      <c r="C63" s="34" t="s">
        <v>244</v>
      </c>
      <c r="D63" s="34" t="s">
        <v>245</v>
      </c>
      <c r="E63" s="34" t="s">
        <v>263</v>
      </c>
      <c r="F63" s="35">
        <v>46146</v>
      </c>
      <c r="G63" s="34" t="s">
        <v>45</v>
      </c>
      <c r="H63" s="36" t="str">
        <f>VLOOKUP(E63,'HC for display name '!$B:$D,2,0)</f>
        <v>Yara Hussein-Mofleh</v>
      </c>
      <c r="I63" s="36" t="str">
        <f>VLOOKUP(E63,'HC for display name '!$B:$D,3,0)</f>
        <v>Hend Yousry-AbdElRassoul</v>
      </c>
      <c r="J63" s="36" t="str">
        <f t="shared" si="0"/>
        <v>P</v>
      </c>
    </row>
    <row r="64" spans="1:10" x14ac:dyDescent="0.25">
      <c r="A64" s="33">
        <v>1142221000</v>
      </c>
      <c r="B64" s="33">
        <v>9</v>
      </c>
      <c r="C64" s="34" t="s">
        <v>244</v>
      </c>
      <c r="D64" s="34" t="s">
        <v>244</v>
      </c>
      <c r="E64" s="34" t="s">
        <v>263</v>
      </c>
      <c r="F64" s="35">
        <v>46146</v>
      </c>
      <c r="G64" s="34" t="s">
        <v>45</v>
      </c>
      <c r="H64" s="36" t="str">
        <f>VLOOKUP(E64,'HC for display name '!$B:$D,2,0)</f>
        <v>Yara Hussein-Mofleh</v>
      </c>
      <c r="I64" s="36" t="str">
        <f>VLOOKUP(E64,'HC for display name '!$B:$D,3,0)</f>
        <v>Hend Yousry-AbdElRassoul</v>
      </c>
      <c r="J64" s="36" t="str">
        <f t="shared" si="0"/>
        <v>P</v>
      </c>
    </row>
    <row r="65" spans="1:10" x14ac:dyDescent="0.25">
      <c r="A65" s="33">
        <v>1002392007</v>
      </c>
      <c r="B65" s="33">
        <v>9</v>
      </c>
      <c r="C65" s="34" t="s">
        <v>244</v>
      </c>
      <c r="D65" s="34" t="s">
        <v>245</v>
      </c>
      <c r="E65" s="34" t="s">
        <v>265</v>
      </c>
      <c r="F65" s="35">
        <v>46147</v>
      </c>
      <c r="G65" s="34" t="s">
        <v>45</v>
      </c>
      <c r="H65" s="36" t="str">
        <f>VLOOKUP(E65,'HC for display name '!$B:$D,2,0)</f>
        <v>Safaa Safwat-Zekry</v>
      </c>
      <c r="I65" s="36" t="str">
        <f>VLOOKUP(E65,'HC for display name '!$B:$D,3,0)</f>
        <v>Merna Ashraf-Ashrafy</v>
      </c>
      <c r="J65" s="36" t="str">
        <f t="shared" si="0"/>
        <v>P</v>
      </c>
    </row>
    <row r="66" spans="1:10" x14ac:dyDescent="0.25">
      <c r="A66" s="33">
        <v>1002722630</v>
      </c>
      <c r="B66" s="33">
        <v>10</v>
      </c>
      <c r="C66" s="34" t="s">
        <v>250</v>
      </c>
      <c r="D66" s="34" t="s">
        <v>245</v>
      </c>
      <c r="E66" s="34" t="s">
        <v>260</v>
      </c>
      <c r="F66" s="35">
        <v>46147</v>
      </c>
      <c r="G66" s="34" t="s">
        <v>45</v>
      </c>
      <c r="H66" s="36" t="str">
        <f>VLOOKUP(E66,'HC for display name '!$B:$D,2,0)</f>
        <v>Mohamed Khaled-Khattab</v>
      </c>
      <c r="I66" s="36" t="str">
        <f>VLOOKUP(E66,'HC for display name '!$B:$D,3,0)</f>
        <v>Hend Yousry-AbdElRassoul</v>
      </c>
      <c r="J66" s="36" t="str">
        <f t="shared" si="0"/>
        <v>P</v>
      </c>
    </row>
    <row r="67" spans="1:10" x14ac:dyDescent="0.25">
      <c r="A67" s="33">
        <v>1003506085</v>
      </c>
      <c r="B67" s="33">
        <v>10</v>
      </c>
      <c r="C67" s="34" t="s">
        <v>244</v>
      </c>
      <c r="D67" s="34" t="s">
        <v>245</v>
      </c>
      <c r="E67" s="34" t="s">
        <v>137</v>
      </c>
      <c r="F67" s="35">
        <v>46147</v>
      </c>
      <c r="G67" s="34" t="s">
        <v>45</v>
      </c>
      <c r="H67" s="36" t="str">
        <f>VLOOKUP(E67,'HC for display name '!$B:$D,2,0)</f>
        <v>Yasmine Waleed-Mohamed</v>
      </c>
      <c r="I67" s="36" t="str">
        <f>VLOOKUP(E67,'HC for display name '!$B:$D,3,0)</f>
        <v>Merna Ashraf-Ashrafy</v>
      </c>
      <c r="J67" s="36" t="str">
        <f t="shared" ref="J67:J130" si="1">VLOOKUP(B67,$T$3:$U$13,2,0)</f>
        <v>P</v>
      </c>
    </row>
    <row r="68" spans="1:10" x14ac:dyDescent="0.25">
      <c r="A68" s="33">
        <v>1003840779</v>
      </c>
      <c r="B68" s="33">
        <v>8</v>
      </c>
      <c r="C68" s="34" t="s">
        <v>250</v>
      </c>
      <c r="D68" s="34" t="s">
        <v>245</v>
      </c>
      <c r="E68" s="34" t="s">
        <v>111</v>
      </c>
      <c r="F68" s="35">
        <v>46147</v>
      </c>
      <c r="G68" s="34" t="s">
        <v>45</v>
      </c>
      <c r="H68" s="36" t="str">
        <f>VLOOKUP(E68,'HC for display name '!$B:$D,2,0)</f>
        <v>Mohada Mohamed-Hamdy</v>
      </c>
      <c r="I68" s="36" t="str">
        <f>VLOOKUP(E68,'HC for display name '!$B:$D,3,0)</f>
        <v>Merna Ashraf-Ashrafy</v>
      </c>
      <c r="J68" s="36" t="str">
        <f t="shared" si="1"/>
        <v>N</v>
      </c>
    </row>
    <row r="69" spans="1:10" x14ac:dyDescent="0.25">
      <c r="A69" s="33">
        <v>1004663436</v>
      </c>
      <c r="B69" s="33">
        <v>5</v>
      </c>
      <c r="C69" s="34" t="s">
        <v>250</v>
      </c>
      <c r="D69" s="34" t="s">
        <v>250</v>
      </c>
      <c r="E69" s="34" t="s">
        <v>253</v>
      </c>
      <c r="F69" s="35">
        <v>46147</v>
      </c>
      <c r="G69" s="34" t="s">
        <v>45</v>
      </c>
      <c r="H69" s="36" t="str">
        <f>VLOOKUP(E69,'HC for display name '!$B:$D,2,0)</f>
        <v>Mohamed AbdElMohsen-Mahdy</v>
      </c>
      <c r="I69" s="36" t="str">
        <f>VLOOKUP(E69,'HC for display name '!$B:$D,3,0)</f>
        <v>AbdElRahman Adel-ElKelany</v>
      </c>
      <c r="J69" s="36" t="str">
        <f t="shared" si="1"/>
        <v>D</v>
      </c>
    </row>
    <row r="70" spans="1:10" x14ac:dyDescent="0.25">
      <c r="A70" s="33">
        <v>1009824409</v>
      </c>
      <c r="B70" s="33">
        <v>10</v>
      </c>
      <c r="C70" s="34" t="s">
        <v>244</v>
      </c>
      <c r="D70" s="34" t="s">
        <v>245</v>
      </c>
      <c r="E70" s="34" t="s">
        <v>253</v>
      </c>
      <c r="F70" s="35">
        <v>46147</v>
      </c>
      <c r="G70" s="34" t="s">
        <v>45</v>
      </c>
      <c r="H70" s="36" t="str">
        <f>VLOOKUP(E70,'HC for display name '!$B:$D,2,0)</f>
        <v>Mohamed AbdElMohsen-Mahdy</v>
      </c>
      <c r="I70" s="36" t="str">
        <f>VLOOKUP(E70,'HC for display name '!$B:$D,3,0)</f>
        <v>AbdElRahman Adel-ElKelany</v>
      </c>
      <c r="J70" s="36" t="str">
        <f t="shared" si="1"/>
        <v>P</v>
      </c>
    </row>
    <row r="71" spans="1:10" x14ac:dyDescent="0.25">
      <c r="A71" s="33">
        <v>1010359013</v>
      </c>
      <c r="B71" s="33">
        <v>8</v>
      </c>
      <c r="C71" s="34" t="s">
        <v>250</v>
      </c>
      <c r="D71" s="34" t="s">
        <v>248</v>
      </c>
      <c r="E71" s="34" t="s">
        <v>257</v>
      </c>
      <c r="F71" s="35">
        <v>46147</v>
      </c>
      <c r="G71" s="34" t="s">
        <v>45</v>
      </c>
      <c r="H71" s="36" t="str">
        <f>VLOOKUP(E71,'HC for display name '!$B:$D,2,0)</f>
        <v>Seif Ahmed-AbdELMawgod</v>
      </c>
      <c r="I71" s="36" t="str">
        <f>VLOOKUP(E71,'HC for display name '!$B:$D,3,0)</f>
        <v>AbdElRahman Adel-ElKelany</v>
      </c>
      <c r="J71" s="36" t="str">
        <f t="shared" si="1"/>
        <v>N</v>
      </c>
    </row>
    <row r="72" spans="1:10" x14ac:dyDescent="0.25">
      <c r="A72" s="33">
        <v>1011708174</v>
      </c>
      <c r="B72" s="33">
        <v>9</v>
      </c>
      <c r="C72" s="34" t="s">
        <v>244</v>
      </c>
      <c r="D72" s="34" t="s">
        <v>245</v>
      </c>
      <c r="E72" s="34" t="s">
        <v>256</v>
      </c>
      <c r="F72" s="35">
        <v>46147</v>
      </c>
      <c r="G72" s="34" t="s">
        <v>45</v>
      </c>
      <c r="H72" s="36" t="str">
        <f>VLOOKUP(E72,'HC for display name '!$B:$D,2,0)</f>
        <v>Esraa Saad-Mahfod</v>
      </c>
      <c r="I72" s="36" t="str">
        <f>VLOOKUP(E72,'HC for display name '!$B:$D,3,0)</f>
        <v>Hend Yousry-AbdElRassoul</v>
      </c>
      <c r="J72" s="36" t="str">
        <f t="shared" si="1"/>
        <v>P</v>
      </c>
    </row>
    <row r="73" spans="1:10" x14ac:dyDescent="0.25">
      <c r="A73" s="33">
        <v>1014624389</v>
      </c>
      <c r="B73" s="33">
        <v>0</v>
      </c>
      <c r="C73" s="34" t="s">
        <v>248</v>
      </c>
      <c r="D73" s="34" t="s">
        <v>248</v>
      </c>
      <c r="E73" s="34" t="s">
        <v>152</v>
      </c>
      <c r="F73" s="35">
        <v>46147</v>
      </c>
      <c r="G73" s="34" t="s">
        <v>45</v>
      </c>
      <c r="H73" s="36" t="str">
        <f>VLOOKUP(E73,'HC for display name '!$B:$D,2,0)</f>
        <v>Bassant Salah-Hassan</v>
      </c>
      <c r="I73" s="36" t="str">
        <f>VLOOKUP(E73,'HC for display name '!$B:$D,3,0)</f>
        <v>Merna Ashraf-Ashrafy</v>
      </c>
      <c r="J73" s="36" t="str">
        <f t="shared" si="1"/>
        <v>D</v>
      </c>
    </row>
    <row r="74" spans="1:10" x14ac:dyDescent="0.25">
      <c r="A74" s="33">
        <v>1016102019</v>
      </c>
      <c r="B74" s="33">
        <v>10</v>
      </c>
      <c r="C74" s="34" t="s">
        <v>244</v>
      </c>
      <c r="D74" s="34" t="s">
        <v>245</v>
      </c>
      <c r="E74" s="34" t="s">
        <v>104</v>
      </c>
      <c r="F74" s="35">
        <v>46147</v>
      </c>
      <c r="G74" s="34" t="s">
        <v>45</v>
      </c>
      <c r="H74" s="36" t="str">
        <f>VLOOKUP(E74,'HC for display name '!$B:$D,2,0)</f>
        <v>Farha Ashraf-AboElMagd</v>
      </c>
      <c r="I74" s="36" t="str">
        <f>VLOOKUP(E74,'HC for display name '!$B:$D,3,0)</f>
        <v>Merna Ashraf-Ashrafy</v>
      </c>
      <c r="J74" s="36" t="str">
        <f t="shared" si="1"/>
        <v>P</v>
      </c>
    </row>
    <row r="75" spans="1:10" x14ac:dyDescent="0.25">
      <c r="A75" s="33">
        <v>1017058085</v>
      </c>
      <c r="B75" s="33">
        <v>10</v>
      </c>
      <c r="C75" s="34" t="s">
        <v>244</v>
      </c>
      <c r="D75" s="34" t="s">
        <v>245</v>
      </c>
      <c r="E75" s="34" t="s">
        <v>195</v>
      </c>
      <c r="F75" s="35">
        <v>46147</v>
      </c>
      <c r="G75" s="34" t="s">
        <v>45</v>
      </c>
      <c r="H75" s="36" t="str">
        <f>VLOOKUP(E75,'HC for display name '!$B:$D,2,0)</f>
        <v>Sherif Madbouly-Sayed</v>
      </c>
      <c r="I75" s="36" t="str">
        <f>VLOOKUP(E75,'HC for display name '!$B:$D,3,0)</f>
        <v>Omar Emad-Mahmoud</v>
      </c>
      <c r="J75" s="36" t="str">
        <f t="shared" si="1"/>
        <v>P</v>
      </c>
    </row>
    <row r="76" spans="1:10" x14ac:dyDescent="0.25">
      <c r="A76" s="33">
        <v>1022434081</v>
      </c>
      <c r="B76" s="33">
        <v>10</v>
      </c>
      <c r="C76" s="34" t="s">
        <v>244</v>
      </c>
      <c r="D76" s="34" t="s">
        <v>245</v>
      </c>
      <c r="E76" s="34" t="s">
        <v>260</v>
      </c>
      <c r="F76" s="35">
        <v>46147</v>
      </c>
      <c r="G76" s="34" t="s">
        <v>45</v>
      </c>
      <c r="H76" s="36" t="str">
        <f>VLOOKUP(E76,'HC for display name '!$B:$D,2,0)</f>
        <v>Mohamed Khaled-Khattab</v>
      </c>
      <c r="I76" s="36" t="str">
        <f>VLOOKUP(E76,'HC for display name '!$B:$D,3,0)</f>
        <v>Hend Yousry-AbdElRassoul</v>
      </c>
      <c r="J76" s="36" t="str">
        <f t="shared" si="1"/>
        <v>P</v>
      </c>
    </row>
    <row r="77" spans="1:10" x14ac:dyDescent="0.25">
      <c r="A77" s="33">
        <v>1023883144</v>
      </c>
      <c r="B77" s="33">
        <v>0</v>
      </c>
      <c r="C77" s="34" t="s">
        <v>250</v>
      </c>
      <c r="D77" s="34" t="s">
        <v>245</v>
      </c>
      <c r="E77" s="34" t="s">
        <v>137</v>
      </c>
      <c r="F77" s="35">
        <v>46147</v>
      </c>
      <c r="G77" s="34" t="s">
        <v>45</v>
      </c>
      <c r="H77" s="36" t="str">
        <f>VLOOKUP(E77,'HC for display name '!$B:$D,2,0)</f>
        <v>Yasmine Waleed-Mohamed</v>
      </c>
      <c r="I77" s="36" t="str">
        <f>VLOOKUP(E77,'HC for display name '!$B:$D,3,0)</f>
        <v>Merna Ashraf-Ashrafy</v>
      </c>
      <c r="J77" s="36" t="str">
        <f t="shared" si="1"/>
        <v>D</v>
      </c>
    </row>
    <row r="78" spans="1:10" x14ac:dyDescent="0.25">
      <c r="A78" s="33">
        <v>1032050505</v>
      </c>
      <c r="B78" s="33">
        <v>10</v>
      </c>
      <c r="C78" s="34" t="s">
        <v>250</v>
      </c>
      <c r="D78" s="34" t="s">
        <v>245</v>
      </c>
      <c r="E78" s="34" t="s">
        <v>137</v>
      </c>
      <c r="F78" s="35">
        <v>46147</v>
      </c>
      <c r="G78" s="34" t="s">
        <v>45</v>
      </c>
      <c r="H78" s="36" t="str">
        <f>VLOOKUP(E78,'HC for display name '!$B:$D,2,0)</f>
        <v>Yasmine Waleed-Mohamed</v>
      </c>
      <c r="I78" s="36" t="str">
        <f>VLOOKUP(E78,'HC for display name '!$B:$D,3,0)</f>
        <v>Merna Ashraf-Ashrafy</v>
      </c>
      <c r="J78" s="36" t="str">
        <f t="shared" si="1"/>
        <v>P</v>
      </c>
    </row>
    <row r="79" spans="1:10" x14ac:dyDescent="0.25">
      <c r="A79" s="33">
        <v>1033752375</v>
      </c>
      <c r="B79" s="33">
        <v>9</v>
      </c>
      <c r="C79" s="34" t="s">
        <v>250</v>
      </c>
      <c r="D79" s="34" t="s">
        <v>250</v>
      </c>
      <c r="E79" s="34" t="s">
        <v>145</v>
      </c>
      <c r="F79" s="35">
        <v>46147</v>
      </c>
      <c r="G79" s="34" t="s">
        <v>45</v>
      </c>
      <c r="H79" s="36" t="str">
        <f>VLOOKUP(E79,'HC for display name '!$B:$D,2,0)</f>
        <v>Aya Ezzat-Mahmoud</v>
      </c>
      <c r="I79" s="36" t="str">
        <f>VLOOKUP(E79,'HC for display name '!$B:$D,3,0)</f>
        <v>Merna Ashraf-Ashrafy</v>
      </c>
      <c r="J79" s="36" t="str">
        <f t="shared" si="1"/>
        <v>P</v>
      </c>
    </row>
    <row r="80" spans="1:10" x14ac:dyDescent="0.25">
      <c r="A80" s="33">
        <v>1060700949</v>
      </c>
      <c r="B80" s="33">
        <v>10</v>
      </c>
      <c r="C80" s="34" t="s">
        <v>244</v>
      </c>
      <c r="D80" s="34" t="s">
        <v>245</v>
      </c>
      <c r="E80" s="34" t="s">
        <v>259</v>
      </c>
      <c r="F80" s="35">
        <v>46147</v>
      </c>
      <c r="G80" s="34" t="s">
        <v>45</v>
      </c>
      <c r="H80" s="36" t="str">
        <f>VLOOKUP(E80,'HC for display name '!$B:$D,2,0)</f>
        <v>Ahmed Fathy-Fathy</v>
      </c>
      <c r="I80" s="36" t="str">
        <f>VLOOKUP(E80,'HC for display name '!$B:$D,3,0)</f>
        <v>Omar Emad-Mahmoud</v>
      </c>
      <c r="J80" s="36" t="str">
        <f t="shared" si="1"/>
        <v>P</v>
      </c>
    </row>
    <row r="81" spans="1:10" x14ac:dyDescent="0.25">
      <c r="A81" s="33">
        <v>1066162386</v>
      </c>
      <c r="B81" s="33">
        <v>3</v>
      </c>
      <c r="C81" s="34" t="s">
        <v>250</v>
      </c>
      <c r="D81" s="34" t="s">
        <v>248</v>
      </c>
      <c r="E81" s="34" t="s">
        <v>262</v>
      </c>
      <c r="F81" s="35">
        <v>46147</v>
      </c>
      <c r="G81" s="34" t="s">
        <v>45</v>
      </c>
      <c r="H81" s="36" t="str">
        <f>VLOOKUP(E81,'HC for display name '!$B:$D,2,0)</f>
        <v>Mohamed AbdElazim-Farag</v>
      </c>
      <c r="I81" s="36" t="str">
        <f>VLOOKUP(E81,'HC for display name '!$B:$D,3,0)</f>
        <v>Hend Yousry-AbdElRassoul</v>
      </c>
      <c r="J81" s="36" t="str">
        <f t="shared" si="1"/>
        <v>D</v>
      </c>
    </row>
    <row r="82" spans="1:10" x14ac:dyDescent="0.25">
      <c r="A82" s="33">
        <v>1067449502</v>
      </c>
      <c r="B82" s="33">
        <v>10</v>
      </c>
      <c r="C82" s="34" t="s">
        <v>244</v>
      </c>
      <c r="D82" s="34" t="s">
        <v>245</v>
      </c>
      <c r="E82" s="34" t="s">
        <v>265</v>
      </c>
      <c r="F82" s="35">
        <v>46147</v>
      </c>
      <c r="G82" s="34" t="s">
        <v>45</v>
      </c>
      <c r="H82" s="36" t="str">
        <f>VLOOKUP(E82,'HC for display name '!$B:$D,2,0)</f>
        <v>Safaa Safwat-Zekry</v>
      </c>
      <c r="I82" s="36" t="str">
        <f>VLOOKUP(E82,'HC for display name '!$B:$D,3,0)</f>
        <v>Merna Ashraf-Ashrafy</v>
      </c>
      <c r="J82" s="36" t="str">
        <f t="shared" si="1"/>
        <v>P</v>
      </c>
    </row>
    <row r="83" spans="1:10" x14ac:dyDescent="0.25">
      <c r="A83" s="33">
        <v>1068037945</v>
      </c>
      <c r="B83" s="33">
        <v>10</v>
      </c>
      <c r="C83" s="34" t="s">
        <v>250</v>
      </c>
      <c r="D83" s="34" t="s">
        <v>245</v>
      </c>
      <c r="E83" s="34" t="s">
        <v>90</v>
      </c>
      <c r="F83" s="35">
        <v>46147</v>
      </c>
      <c r="G83" s="34" t="s">
        <v>45</v>
      </c>
      <c r="H83" s="36" t="str">
        <f>VLOOKUP(E83,'HC for display name '!$B:$D,2,0)</f>
        <v>Hatem Ibrahim-Ahmed</v>
      </c>
      <c r="I83" s="36" t="str">
        <f>VLOOKUP(E83,'HC for display name '!$B:$D,3,0)</f>
        <v>Omar Emad-Mahmoud</v>
      </c>
      <c r="J83" s="36" t="str">
        <f t="shared" si="1"/>
        <v>P</v>
      </c>
    </row>
    <row r="84" spans="1:10" x14ac:dyDescent="0.25">
      <c r="A84" s="33">
        <v>1090907901</v>
      </c>
      <c r="B84" s="33">
        <v>10</v>
      </c>
      <c r="C84" s="34" t="s">
        <v>244</v>
      </c>
      <c r="D84" s="34" t="s">
        <v>245</v>
      </c>
      <c r="E84" s="34" t="s">
        <v>90</v>
      </c>
      <c r="F84" s="35">
        <v>46147</v>
      </c>
      <c r="G84" s="34" t="s">
        <v>45</v>
      </c>
      <c r="H84" s="36" t="str">
        <f>VLOOKUP(E84,'HC for display name '!$B:$D,2,0)</f>
        <v>Hatem Ibrahim-Ahmed</v>
      </c>
      <c r="I84" s="36" t="str">
        <f>VLOOKUP(E84,'HC for display name '!$B:$D,3,0)</f>
        <v>Omar Emad-Mahmoud</v>
      </c>
      <c r="J84" s="36" t="str">
        <f t="shared" si="1"/>
        <v>P</v>
      </c>
    </row>
    <row r="85" spans="1:10" x14ac:dyDescent="0.25">
      <c r="A85" s="33">
        <v>1091110449</v>
      </c>
      <c r="B85" s="33">
        <v>10</v>
      </c>
      <c r="C85" s="34" t="s">
        <v>244</v>
      </c>
      <c r="D85" s="34" t="s">
        <v>245</v>
      </c>
      <c r="E85" s="34" t="s">
        <v>260</v>
      </c>
      <c r="F85" s="35">
        <v>46147</v>
      </c>
      <c r="G85" s="34" t="s">
        <v>45</v>
      </c>
      <c r="H85" s="36" t="str">
        <f>VLOOKUP(E85,'HC for display name '!$B:$D,2,0)</f>
        <v>Mohamed Khaled-Khattab</v>
      </c>
      <c r="I85" s="36" t="str">
        <f>VLOOKUP(E85,'HC for display name '!$B:$D,3,0)</f>
        <v>Hend Yousry-AbdElRassoul</v>
      </c>
      <c r="J85" s="36" t="str">
        <f t="shared" si="1"/>
        <v>P</v>
      </c>
    </row>
    <row r="86" spans="1:10" x14ac:dyDescent="0.25">
      <c r="A86" s="33">
        <v>1093269451</v>
      </c>
      <c r="B86" s="33">
        <v>10</v>
      </c>
      <c r="C86" s="34" t="s">
        <v>244</v>
      </c>
      <c r="D86" s="34" t="s">
        <v>245</v>
      </c>
      <c r="E86" s="34" t="s">
        <v>265</v>
      </c>
      <c r="F86" s="35">
        <v>46147</v>
      </c>
      <c r="G86" s="34" t="s">
        <v>45</v>
      </c>
      <c r="H86" s="36" t="str">
        <f>VLOOKUP(E86,'HC for display name '!$B:$D,2,0)</f>
        <v>Safaa Safwat-Zekry</v>
      </c>
      <c r="I86" s="36" t="str">
        <f>VLOOKUP(E86,'HC for display name '!$B:$D,3,0)</f>
        <v>Merna Ashraf-Ashrafy</v>
      </c>
      <c r="J86" s="36" t="str">
        <f t="shared" si="1"/>
        <v>P</v>
      </c>
    </row>
    <row r="87" spans="1:10" x14ac:dyDescent="0.25">
      <c r="A87" s="33">
        <v>1097313575</v>
      </c>
      <c r="B87" s="33">
        <v>10</v>
      </c>
      <c r="C87" s="34" t="s">
        <v>250</v>
      </c>
      <c r="D87" s="34" t="s">
        <v>245</v>
      </c>
      <c r="E87" s="34" t="s">
        <v>185</v>
      </c>
      <c r="F87" s="35">
        <v>46147</v>
      </c>
      <c r="G87" s="34" t="s">
        <v>45</v>
      </c>
      <c r="H87" s="36" t="str">
        <f>VLOOKUP(E87,'HC for display name '!$B:$D,2,0)</f>
        <v>Mohamed Gamil-Salah</v>
      </c>
      <c r="I87" s="36" t="str">
        <f>VLOOKUP(E87,'HC for display name '!$B:$D,3,0)</f>
        <v>Omar Emad-Mahmoud</v>
      </c>
      <c r="J87" s="36" t="str">
        <f t="shared" si="1"/>
        <v>P</v>
      </c>
    </row>
    <row r="88" spans="1:10" x14ac:dyDescent="0.25">
      <c r="A88" s="33">
        <v>1157740003</v>
      </c>
      <c r="B88" s="33">
        <v>0</v>
      </c>
      <c r="C88" s="34" t="s">
        <v>248</v>
      </c>
      <c r="D88" s="34" t="s">
        <v>258</v>
      </c>
      <c r="E88" s="34" t="s">
        <v>87</v>
      </c>
      <c r="F88" s="35">
        <v>46147</v>
      </c>
      <c r="G88" s="34" t="s">
        <v>45</v>
      </c>
      <c r="H88" s="36" t="str">
        <f>VLOOKUP(E88,'HC for display name '!$B:$D,2,0)</f>
        <v>Ahmed Magdy-Ewis</v>
      </c>
      <c r="I88" s="36" t="str">
        <f>VLOOKUP(E88,'HC for display name '!$B:$D,3,0)</f>
        <v>Omar Emad-Mahmoud</v>
      </c>
      <c r="J88" s="36" t="str">
        <f t="shared" si="1"/>
        <v>D</v>
      </c>
    </row>
    <row r="89" spans="1:10" x14ac:dyDescent="0.25">
      <c r="A89" s="33">
        <v>1000621001</v>
      </c>
      <c r="B89" s="33">
        <v>9</v>
      </c>
      <c r="C89" s="34" t="s">
        <v>250</v>
      </c>
      <c r="D89" s="34" t="s">
        <v>245</v>
      </c>
      <c r="E89" s="34" t="s">
        <v>254</v>
      </c>
      <c r="F89" s="35">
        <v>46148</v>
      </c>
      <c r="G89" s="34" t="s">
        <v>45</v>
      </c>
      <c r="H89" s="36" t="str">
        <f>VLOOKUP(E89,'HC for display name '!$B:$D,2,0)</f>
        <v>Mohamed Ahmed-Mansour</v>
      </c>
      <c r="I89" s="36" t="str">
        <f>VLOOKUP(E89,'HC for display name '!$B:$D,3,0)</f>
        <v>Hend Yousry-AbdElRassoul</v>
      </c>
      <c r="J89" s="36" t="str">
        <f t="shared" si="1"/>
        <v>P</v>
      </c>
    </row>
    <row r="90" spans="1:10" x14ac:dyDescent="0.25">
      <c r="A90" s="33">
        <v>1002695206</v>
      </c>
      <c r="B90" s="33">
        <v>10</v>
      </c>
      <c r="C90" s="34" t="s">
        <v>258</v>
      </c>
      <c r="D90" s="34" t="s">
        <v>245</v>
      </c>
      <c r="E90" s="34" t="s">
        <v>265</v>
      </c>
      <c r="F90" s="35">
        <v>46148</v>
      </c>
      <c r="G90" s="34" t="s">
        <v>45</v>
      </c>
      <c r="H90" s="36" t="str">
        <f>VLOOKUP(E90,'HC for display name '!$B:$D,2,0)</f>
        <v>Safaa Safwat-Zekry</v>
      </c>
      <c r="I90" s="36" t="str">
        <f>VLOOKUP(E90,'HC for display name '!$B:$D,3,0)</f>
        <v>Merna Ashraf-Ashrafy</v>
      </c>
      <c r="J90" s="36" t="str">
        <f t="shared" si="1"/>
        <v>P</v>
      </c>
    </row>
    <row r="91" spans="1:10" x14ac:dyDescent="0.25">
      <c r="A91" s="33">
        <v>1002777200</v>
      </c>
      <c r="B91" s="33">
        <v>7</v>
      </c>
      <c r="C91" s="34" t="s">
        <v>250</v>
      </c>
      <c r="D91" s="34" t="s">
        <v>250</v>
      </c>
      <c r="E91" s="34" t="s">
        <v>261</v>
      </c>
      <c r="F91" s="35">
        <v>46148</v>
      </c>
      <c r="G91" s="34" t="s">
        <v>45</v>
      </c>
      <c r="H91" s="36" t="str">
        <f>VLOOKUP(E91,'HC for display name '!$B:$D,2,0)</f>
        <v>Mohamed AbdElaziz-AbdElRahman</v>
      </c>
      <c r="I91" s="36" t="str">
        <f>VLOOKUP(E91,'HC for display name '!$B:$D,3,0)</f>
        <v>Omar Emad-Mahmoud</v>
      </c>
      <c r="J91" s="36" t="str">
        <f t="shared" si="1"/>
        <v>N</v>
      </c>
    </row>
    <row r="92" spans="1:10" x14ac:dyDescent="0.25">
      <c r="A92" s="33">
        <v>1003711910</v>
      </c>
      <c r="B92" s="33">
        <v>10</v>
      </c>
      <c r="C92" s="34" t="s">
        <v>244</v>
      </c>
      <c r="D92" s="34" t="s">
        <v>245</v>
      </c>
      <c r="E92" s="34" t="s">
        <v>111</v>
      </c>
      <c r="F92" s="35">
        <v>46148</v>
      </c>
      <c r="G92" s="34" t="s">
        <v>45</v>
      </c>
      <c r="H92" s="36" t="str">
        <f>VLOOKUP(E92,'HC for display name '!$B:$D,2,0)</f>
        <v>Mohada Mohamed-Hamdy</v>
      </c>
      <c r="I92" s="36" t="str">
        <f>VLOOKUP(E92,'HC for display name '!$B:$D,3,0)</f>
        <v>Merna Ashraf-Ashrafy</v>
      </c>
      <c r="J92" s="36" t="str">
        <f t="shared" si="1"/>
        <v>P</v>
      </c>
    </row>
    <row r="93" spans="1:10" x14ac:dyDescent="0.25">
      <c r="A93" s="33">
        <v>1005452345</v>
      </c>
      <c r="B93" s="33">
        <v>9</v>
      </c>
      <c r="C93" s="34" t="s">
        <v>244</v>
      </c>
      <c r="D93" s="34" t="s">
        <v>245</v>
      </c>
      <c r="E93" s="34" t="s">
        <v>145</v>
      </c>
      <c r="F93" s="35">
        <v>46148</v>
      </c>
      <c r="G93" s="34" t="s">
        <v>45</v>
      </c>
      <c r="H93" s="36" t="str">
        <f>VLOOKUP(E93,'HC for display name '!$B:$D,2,0)</f>
        <v>Aya Ezzat-Mahmoud</v>
      </c>
      <c r="I93" s="36" t="str">
        <f>VLOOKUP(E93,'HC for display name '!$B:$D,3,0)</f>
        <v>Merna Ashraf-Ashrafy</v>
      </c>
      <c r="J93" s="36" t="str">
        <f t="shared" si="1"/>
        <v>P</v>
      </c>
    </row>
    <row r="94" spans="1:10" x14ac:dyDescent="0.25">
      <c r="A94" s="33">
        <v>1013277739</v>
      </c>
      <c r="B94" s="33">
        <v>10</v>
      </c>
      <c r="C94" s="34" t="s">
        <v>244</v>
      </c>
      <c r="D94" s="34" t="s">
        <v>245</v>
      </c>
      <c r="E94" s="34" t="s">
        <v>254</v>
      </c>
      <c r="F94" s="35">
        <v>46148</v>
      </c>
      <c r="G94" s="34" t="s">
        <v>45</v>
      </c>
      <c r="H94" s="36" t="str">
        <f>VLOOKUP(E94,'HC for display name '!$B:$D,2,0)</f>
        <v>Mohamed Ahmed-Mansour</v>
      </c>
      <c r="I94" s="36" t="str">
        <f>VLOOKUP(E94,'HC for display name '!$B:$D,3,0)</f>
        <v>Hend Yousry-AbdElRassoul</v>
      </c>
      <c r="J94" s="36" t="str">
        <f t="shared" si="1"/>
        <v>P</v>
      </c>
    </row>
    <row r="95" spans="1:10" x14ac:dyDescent="0.25">
      <c r="A95" s="33">
        <v>1020731172</v>
      </c>
      <c r="B95" s="33">
        <v>10</v>
      </c>
      <c r="C95" s="34" t="s">
        <v>244</v>
      </c>
      <c r="D95" s="34" t="s">
        <v>245</v>
      </c>
      <c r="E95" s="34" t="s">
        <v>260</v>
      </c>
      <c r="F95" s="35">
        <v>46148</v>
      </c>
      <c r="G95" s="34" t="s">
        <v>45</v>
      </c>
      <c r="H95" s="36" t="str">
        <f>VLOOKUP(E95,'HC for display name '!$B:$D,2,0)</f>
        <v>Mohamed Khaled-Khattab</v>
      </c>
      <c r="I95" s="36" t="str">
        <f>VLOOKUP(E95,'HC for display name '!$B:$D,3,0)</f>
        <v>Hend Yousry-AbdElRassoul</v>
      </c>
      <c r="J95" s="36" t="str">
        <f t="shared" si="1"/>
        <v>P</v>
      </c>
    </row>
    <row r="96" spans="1:10" x14ac:dyDescent="0.25">
      <c r="A96" s="33">
        <v>1022777335</v>
      </c>
      <c r="B96" s="33">
        <v>0</v>
      </c>
      <c r="C96" s="34" t="s">
        <v>248</v>
      </c>
      <c r="D96" s="34" t="s">
        <v>258</v>
      </c>
      <c r="E96" s="34" t="s">
        <v>192</v>
      </c>
      <c r="F96" s="35">
        <v>46148</v>
      </c>
      <c r="G96" s="34" t="s">
        <v>45</v>
      </c>
      <c r="H96" s="36" t="str">
        <f>VLOOKUP(E96,'HC for display name '!$B:$D,2,0)</f>
        <v>Ibrahim Ahmed-Ghonimy</v>
      </c>
      <c r="I96" s="36" t="str">
        <f>VLOOKUP(E96,'HC for display name '!$B:$D,3,0)</f>
        <v>AbdElRahman Adel-ElKelany</v>
      </c>
      <c r="J96" s="36" t="str">
        <f t="shared" si="1"/>
        <v>D</v>
      </c>
    </row>
    <row r="97" spans="1:10" x14ac:dyDescent="0.25">
      <c r="A97" s="33">
        <v>1023114116</v>
      </c>
      <c r="B97" s="33">
        <v>10</v>
      </c>
      <c r="C97" s="34" t="s">
        <v>244</v>
      </c>
      <c r="D97" s="34" t="s">
        <v>245</v>
      </c>
      <c r="E97" s="34" t="s">
        <v>246</v>
      </c>
      <c r="F97" s="35">
        <v>46148</v>
      </c>
      <c r="G97" s="34" t="s">
        <v>45</v>
      </c>
      <c r="H97" s="36" t="str">
        <f>VLOOKUP(E97,'HC for display name '!$B:$D,2,0)</f>
        <v>Peter Amgad-Shehata</v>
      </c>
      <c r="I97" s="36" t="str">
        <f>VLOOKUP(E97,'HC for display name '!$B:$D,3,0)</f>
        <v>Hend Yousry-AbdElRassoul</v>
      </c>
      <c r="J97" s="36" t="str">
        <f t="shared" si="1"/>
        <v>P</v>
      </c>
    </row>
    <row r="98" spans="1:10" x14ac:dyDescent="0.25">
      <c r="A98" s="33">
        <v>1023843464</v>
      </c>
      <c r="B98" s="33">
        <v>2</v>
      </c>
      <c r="C98" s="34" t="s">
        <v>250</v>
      </c>
      <c r="D98" s="34" t="s">
        <v>248</v>
      </c>
      <c r="E98" s="34" t="s">
        <v>266</v>
      </c>
      <c r="F98" s="35">
        <v>46148</v>
      </c>
      <c r="G98" s="34" t="s">
        <v>45</v>
      </c>
      <c r="H98" s="36" t="str">
        <f>VLOOKUP(E98,'HC for display name '!$B:$D,2,0)</f>
        <v>AbdElRahman Mohamed-Moslhy</v>
      </c>
      <c r="I98" s="36" t="str">
        <f>VLOOKUP(E98,'HC for display name '!$B:$D,3,0)</f>
        <v>Omar Emad-Mahmoud</v>
      </c>
      <c r="J98" s="36" t="str">
        <f t="shared" si="1"/>
        <v>D</v>
      </c>
    </row>
    <row r="99" spans="1:10" x14ac:dyDescent="0.25">
      <c r="A99" s="33">
        <v>1026850330</v>
      </c>
      <c r="B99" s="33">
        <v>10</v>
      </c>
      <c r="C99" s="34" t="s">
        <v>244</v>
      </c>
      <c r="D99" s="34" t="s">
        <v>245</v>
      </c>
      <c r="E99" s="34" t="s">
        <v>265</v>
      </c>
      <c r="F99" s="35">
        <v>46148</v>
      </c>
      <c r="G99" s="34" t="s">
        <v>45</v>
      </c>
      <c r="H99" s="36" t="str">
        <f>VLOOKUP(E99,'HC for display name '!$B:$D,2,0)</f>
        <v>Safaa Safwat-Zekry</v>
      </c>
      <c r="I99" s="36" t="str">
        <f>VLOOKUP(E99,'HC for display name '!$B:$D,3,0)</f>
        <v>Merna Ashraf-Ashrafy</v>
      </c>
      <c r="J99" s="36" t="str">
        <f t="shared" si="1"/>
        <v>P</v>
      </c>
    </row>
    <row r="100" spans="1:10" x14ac:dyDescent="0.25">
      <c r="A100" s="33">
        <v>1030993752</v>
      </c>
      <c r="B100" s="33">
        <v>10</v>
      </c>
      <c r="C100" s="34" t="s">
        <v>244</v>
      </c>
      <c r="D100" s="34" t="s">
        <v>245</v>
      </c>
      <c r="E100" s="34" t="s">
        <v>101</v>
      </c>
      <c r="F100" s="35">
        <v>46148</v>
      </c>
      <c r="G100" s="34" t="s">
        <v>45</v>
      </c>
      <c r="H100" s="36" t="str">
        <f>VLOOKUP(E100,'HC for display name '!$B:$D,2,0)</f>
        <v>Salma Taha-Ahmed</v>
      </c>
      <c r="I100" s="36" t="str">
        <f>VLOOKUP(E100,'HC for display name '!$B:$D,3,0)</f>
        <v>Merna Ashraf-Ashrafy</v>
      </c>
      <c r="J100" s="36" t="str">
        <f t="shared" si="1"/>
        <v>P</v>
      </c>
    </row>
    <row r="101" spans="1:10" x14ac:dyDescent="0.25">
      <c r="A101" s="33">
        <v>1032357722</v>
      </c>
      <c r="B101" s="33">
        <v>8</v>
      </c>
      <c r="C101" s="34" t="s">
        <v>248</v>
      </c>
      <c r="D101" s="34" t="s">
        <v>258</v>
      </c>
      <c r="E101" s="34" t="s">
        <v>266</v>
      </c>
      <c r="F101" s="35">
        <v>46148</v>
      </c>
      <c r="G101" s="34" t="s">
        <v>45</v>
      </c>
      <c r="H101" s="36" t="str">
        <f>VLOOKUP(E101,'HC for display name '!$B:$D,2,0)</f>
        <v>AbdElRahman Mohamed-Moslhy</v>
      </c>
      <c r="I101" s="36" t="str">
        <f>VLOOKUP(E101,'HC for display name '!$B:$D,3,0)</f>
        <v>Omar Emad-Mahmoud</v>
      </c>
      <c r="J101" s="36" t="str">
        <f t="shared" si="1"/>
        <v>N</v>
      </c>
    </row>
    <row r="102" spans="1:10" x14ac:dyDescent="0.25">
      <c r="A102" s="33">
        <v>1044710610</v>
      </c>
      <c r="B102" s="33">
        <v>10</v>
      </c>
      <c r="C102" s="34" t="s">
        <v>250</v>
      </c>
      <c r="D102" s="34" t="s">
        <v>245</v>
      </c>
      <c r="E102" s="34" t="s">
        <v>266</v>
      </c>
      <c r="F102" s="35">
        <v>46148</v>
      </c>
      <c r="G102" s="34" t="s">
        <v>45</v>
      </c>
      <c r="H102" s="36" t="str">
        <f>VLOOKUP(E102,'HC for display name '!$B:$D,2,0)</f>
        <v>AbdElRahman Mohamed-Moslhy</v>
      </c>
      <c r="I102" s="36" t="str">
        <f>VLOOKUP(E102,'HC for display name '!$B:$D,3,0)</f>
        <v>Omar Emad-Mahmoud</v>
      </c>
      <c r="J102" s="36" t="str">
        <f t="shared" si="1"/>
        <v>P</v>
      </c>
    </row>
    <row r="103" spans="1:10" x14ac:dyDescent="0.25">
      <c r="A103" s="33">
        <v>1092254220</v>
      </c>
      <c r="B103" s="33">
        <v>10</v>
      </c>
      <c r="C103" s="34" t="s">
        <v>248</v>
      </c>
      <c r="D103" s="34" t="s">
        <v>245</v>
      </c>
      <c r="E103" s="34" t="s">
        <v>104</v>
      </c>
      <c r="F103" s="35">
        <v>46148</v>
      </c>
      <c r="G103" s="34" t="s">
        <v>45</v>
      </c>
      <c r="H103" s="36" t="str">
        <f>VLOOKUP(E103,'HC for display name '!$B:$D,2,0)</f>
        <v>Farha Ashraf-AboElMagd</v>
      </c>
      <c r="I103" s="36" t="str">
        <f>VLOOKUP(E103,'HC for display name '!$B:$D,3,0)</f>
        <v>Merna Ashraf-Ashrafy</v>
      </c>
      <c r="J103" s="36" t="str">
        <f t="shared" si="1"/>
        <v>P</v>
      </c>
    </row>
    <row r="104" spans="1:10" x14ac:dyDescent="0.25">
      <c r="A104" s="33">
        <v>1095028017</v>
      </c>
      <c r="B104" s="33">
        <v>10</v>
      </c>
      <c r="C104" s="34" t="s">
        <v>250</v>
      </c>
      <c r="D104" s="34" t="s">
        <v>245</v>
      </c>
      <c r="E104" s="34" t="s">
        <v>263</v>
      </c>
      <c r="F104" s="35">
        <v>46148</v>
      </c>
      <c r="G104" s="34" t="s">
        <v>45</v>
      </c>
      <c r="H104" s="36" t="str">
        <f>VLOOKUP(E104,'HC for display name '!$B:$D,2,0)</f>
        <v>Yara Hussein-Mofleh</v>
      </c>
      <c r="I104" s="36" t="str">
        <f>VLOOKUP(E104,'HC for display name '!$B:$D,3,0)</f>
        <v>Hend Yousry-AbdElRassoul</v>
      </c>
      <c r="J104" s="36" t="str">
        <f t="shared" si="1"/>
        <v>P</v>
      </c>
    </row>
    <row r="105" spans="1:10" x14ac:dyDescent="0.25">
      <c r="A105" s="33">
        <v>1095189204</v>
      </c>
      <c r="B105" s="33">
        <v>9</v>
      </c>
      <c r="C105" s="34" t="s">
        <v>244</v>
      </c>
      <c r="D105" s="34" t="s">
        <v>245</v>
      </c>
      <c r="E105" s="34" t="s">
        <v>169</v>
      </c>
      <c r="F105" s="35">
        <v>46148</v>
      </c>
      <c r="G105" s="34" t="s">
        <v>45</v>
      </c>
      <c r="H105" s="36" t="str">
        <f>VLOOKUP(E105,'HC for display name '!$B:$D,2,0)</f>
        <v>AbdElRhman Hesham-AbdElFadeel</v>
      </c>
      <c r="I105" s="36" t="str">
        <f>VLOOKUP(E105,'HC for display name '!$B:$D,3,0)</f>
        <v>AbdElRahman Adel-ElKelany</v>
      </c>
      <c r="J105" s="36" t="str">
        <f t="shared" si="1"/>
        <v>P</v>
      </c>
    </row>
    <row r="106" spans="1:10" x14ac:dyDescent="0.25">
      <c r="A106" s="33">
        <v>1097937870</v>
      </c>
      <c r="B106" s="33">
        <v>10</v>
      </c>
      <c r="C106" s="34" t="s">
        <v>250</v>
      </c>
      <c r="D106" s="34" t="s">
        <v>245</v>
      </c>
      <c r="E106" s="34" t="s">
        <v>262</v>
      </c>
      <c r="F106" s="35">
        <v>46148</v>
      </c>
      <c r="G106" s="34" t="s">
        <v>45</v>
      </c>
      <c r="H106" s="36" t="str">
        <f>VLOOKUP(E106,'HC for display name '!$B:$D,2,0)</f>
        <v>Mohamed AbdElazim-Farag</v>
      </c>
      <c r="I106" s="36" t="str">
        <f>VLOOKUP(E106,'HC for display name '!$B:$D,3,0)</f>
        <v>Hend Yousry-AbdElRassoul</v>
      </c>
      <c r="J106" s="36" t="str">
        <f t="shared" si="1"/>
        <v>P</v>
      </c>
    </row>
    <row r="107" spans="1:10" x14ac:dyDescent="0.25">
      <c r="A107" s="33">
        <v>1099988715</v>
      </c>
      <c r="B107" s="33">
        <v>0</v>
      </c>
      <c r="C107" s="34" t="s">
        <v>248</v>
      </c>
      <c r="D107" s="34" t="s">
        <v>258</v>
      </c>
      <c r="E107" s="34" t="s">
        <v>158</v>
      </c>
      <c r="F107" s="35">
        <v>46148</v>
      </c>
      <c r="G107" s="34" t="s">
        <v>45</v>
      </c>
      <c r="H107" s="36" t="str">
        <f>VLOOKUP(E107,'HC for display name '!$B:$D,2,0)</f>
        <v>Tarek Ayman-Ahmed</v>
      </c>
      <c r="I107" s="36" t="str">
        <f>VLOOKUP(E107,'HC for display name '!$B:$D,3,0)</f>
        <v>AbdElRahman Adel-ElKelany</v>
      </c>
      <c r="J107" s="36" t="str">
        <f t="shared" si="1"/>
        <v>D</v>
      </c>
    </row>
    <row r="108" spans="1:10" x14ac:dyDescent="0.25">
      <c r="A108" s="33">
        <v>1279090763</v>
      </c>
      <c r="B108" s="33">
        <v>10</v>
      </c>
      <c r="C108" s="34" t="s">
        <v>250</v>
      </c>
      <c r="D108" s="34" t="s">
        <v>245</v>
      </c>
      <c r="E108" s="34" t="s">
        <v>145</v>
      </c>
      <c r="F108" s="35">
        <v>46148</v>
      </c>
      <c r="G108" s="34" t="s">
        <v>45</v>
      </c>
      <c r="H108" s="36" t="str">
        <f>VLOOKUP(E108,'HC for display name '!$B:$D,2,0)</f>
        <v>Aya Ezzat-Mahmoud</v>
      </c>
      <c r="I108" s="36" t="str">
        <f>VLOOKUP(E108,'HC for display name '!$B:$D,3,0)</f>
        <v>Merna Ashraf-Ashrafy</v>
      </c>
      <c r="J108" s="36" t="str">
        <f t="shared" si="1"/>
        <v>P</v>
      </c>
    </row>
    <row r="109" spans="1:10" x14ac:dyDescent="0.25">
      <c r="A109" s="33">
        <v>1003325506</v>
      </c>
      <c r="B109" s="33">
        <v>10</v>
      </c>
      <c r="C109" s="34" t="s">
        <v>244</v>
      </c>
      <c r="D109" s="34" t="s">
        <v>245</v>
      </c>
      <c r="E109" s="34" t="s">
        <v>265</v>
      </c>
      <c r="F109" s="35">
        <v>46149</v>
      </c>
      <c r="G109" s="34" t="s">
        <v>45</v>
      </c>
      <c r="H109" s="36" t="str">
        <f>VLOOKUP(E109,'HC for display name '!$B:$D,2,0)</f>
        <v>Safaa Safwat-Zekry</v>
      </c>
      <c r="I109" s="36" t="str">
        <f>VLOOKUP(E109,'HC for display name '!$B:$D,3,0)</f>
        <v>Merna Ashraf-Ashrafy</v>
      </c>
      <c r="J109" s="36" t="str">
        <f t="shared" si="1"/>
        <v>P</v>
      </c>
    </row>
    <row r="110" spans="1:10" x14ac:dyDescent="0.25">
      <c r="A110" s="33">
        <v>1004179183</v>
      </c>
      <c r="B110" s="33">
        <v>10</v>
      </c>
      <c r="C110" s="34" t="s">
        <v>244</v>
      </c>
      <c r="D110" s="34" t="s">
        <v>245</v>
      </c>
      <c r="E110" s="34" t="s">
        <v>263</v>
      </c>
      <c r="F110" s="35">
        <v>46149</v>
      </c>
      <c r="G110" s="34" t="s">
        <v>45</v>
      </c>
      <c r="H110" s="36" t="str">
        <f>VLOOKUP(E110,'HC for display name '!$B:$D,2,0)</f>
        <v>Yara Hussein-Mofleh</v>
      </c>
      <c r="I110" s="36" t="str">
        <f>VLOOKUP(E110,'HC for display name '!$B:$D,3,0)</f>
        <v>Hend Yousry-AbdElRassoul</v>
      </c>
      <c r="J110" s="36" t="str">
        <f t="shared" si="1"/>
        <v>P</v>
      </c>
    </row>
    <row r="111" spans="1:10" x14ac:dyDescent="0.25">
      <c r="A111" s="33">
        <v>1004216599</v>
      </c>
      <c r="B111" s="33">
        <v>5</v>
      </c>
      <c r="C111" s="34" t="s">
        <v>248</v>
      </c>
      <c r="D111" s="34" t="s">
        <v>245</v>
      </c>
      <c r="E111" s="34" t="s">
        <v>251</v>
      </c>
      <c r="F111" s="35">
        <v>46149</v>
      </c>
      <c r="G111" s="34" t="s">
        <v>45</v>
      </c>
      <c r="H111" s="36" t="str">
        <f>VLOOKUP(E111,'HC for display name '!$B:$D,2,0)</f>
        <v>Ahmed Maged-Wahib</v>
      </c>
      <c r="I111" s="36" t="str">
        <f>VLOOKUP(E111,'HC for display name '!$B:$D,3,0)</f>
        <v>Hend Yousry-AbdElRassoul</v>
      </c>
      <c r="J111" s="36" t="str">
        <f t="shared" si="1"/>
        <v>D</v>
      </c>
    </row>
    <row r="112" spans="1:10" x14ac:dyDescent="0.25">
      <c r="A112" s="33">
        <v>1004308849</v>
      </c>
      <c r="B112" s="33">
        <v>5</v>
      </c>
      <c r="C112" s="34" t="s">
        <v>248</v>
      </c>
      <c r="D112" s="34" t="s">
        <v>245</v>
      </c>
      <c r="E112" s="34" t="s">
        <v>259</v>
      </c>
      <c r="F112" s="35">
        <v>46149</v>
      </c>
      <c r="G112" s="34" t="s">
        <v>45</v>
      </c>
      <c r="H112" s="36" t="str">
        <f>VLOOKUP(E112,'HC for display name '!$B:$D,2,0)</f>
        <v>Ahmed Fathy-Fathy</v>
      </c>
      <c r="I112" s="36" t="str">
        <f>VLOOKUP(E112,'HC for display name '!$B:$D,3,0)</f>
        <v>Omar Emad-Mahmoud</v>
      </c>
      <c r="J112" s="36" t="str">
        <f t="shared" si="1"/>
        <v>D</v>
      </c>
    </row>
    <row r="113" spans="1:10" x14ac:dyDescent="0.25">
      <c r="A113" s="33">
        <v>1004506362</v>
      </c>
      <c r="B113" s="33">
        <v>10</v>
      </c>
      <c r="C113" s="34" t="s">
        <v>250</v>
      </c>
      <c r="D113" s="34" t="s">
        <v>245</v>
      </c>
      <c r="E113" s="34" t="s">
        <v>169</v>
      </c>
      <c r="F113" s="35">
        <v>46149</v>
      </c>
      <c r="G113" s="34" t="s">
        <v>45</v>
      </c>
      <c r="H113" s="36" t="str">
        <f>VLOOKUP(E113,'HC for display name '!$B:$D,2,0)</f>
        <v>AbdElRhman Hesham-AbdElFadeel</v>
      </c>
      <c r="I113" s="36" t="str">
        <f>VLOOKUP(E113,'HC for display name '!$B:$D,3,0)</f>
        <v>AbdElRahman Adel-ElKelany</v>
      </c>
      <c r="J113" s="36" t="str">
        <f t="shared" si="1"/>
        <v>P</v>
      </c>
    </row>
    <row r="114" spans="1:10" x14ac:dyDescent="0.25">
      <c r="A114" s="33">
        <v>1005162817</v>
      </c>
      <c r="B114" s="33">
        <v>9</v>
      </c>
      <c r="C114" s="34" t="s">
        <v>244</v>
      </c>
      <c r="D114" s="34" t="s">
        <v>245</v>
      </c>
      <c r="E114" s="34" t="s">
        <v>259</v>
      </c>
      <c r="F114" s="35">
        <v>46149</v>
      </c>
      <c r="G114" s="34" t="s">
        <v>45</v>
      </c>
      <c r="H114" s="36" t="str">
        <f>VLOOKUP(E114,'HC for display name '!$B:$D,2,0)</f>
        <v>Ahmed Fathy-Fathy</v>
      </c>
      <c r="I114" s="36" t="str">
        <f>VLOOKUP(E114,'HC for display name '!$B:$D,3,0)</f>
        <v>Omar Emad-Mahmoud</v>
      </c>
      <c r="J114" s="36" t="str">
        <f t="shared" si="1"/>
        <v>P</v>
      </c>
    </row>
    <row r="115" spans="1:10" x14ac:dyDescent="0.25">
      <c r="A115" s="33">
        <v>1005195196</v>
      </c>
      <c r="B115" s="33">
        <v>9</v>
      </c>
      <c r="C115" s="34" t="s">
        <v>244</v>
      </c>
      <c r="D115" s="34" t="s">
        <v>245</v>
      </c>
      <c r="E115" s="34" t="s">
        <v>265</v>
      </c>
      <c r="F115" s="35">
        <v>46149</v>
      </c>
      <c r="G115" s="34" t="s">
        <v>45</v>
      </c>
      <c r="H115" s="36" t="str">
        <f>VLOOKUP(E115,'HC for display name '!$B:$D,2,0)</f>
        <v>Safaa Safwat-Zekry</v>
      </c>
      <c r="I115" s="36" t="str">
        <f>VLOOKUP(E115,'HC for display name '!$B:$D,3,0)</f>
        <v>Merna Ashraf-Ashrafy</v>
      </c>
      <c r="J115" s="36" t="str">
        <f t="shared" si="1"/>
        <v>P</v>
      </c>
    </row>
    <row r="116" spans="1:10" x14ac:dyDescent="0.25">
      <c r="A116" s="33">
        <v>1007725148</v>
      </c>
      <c r="B116" s="33">
        <v>10</v>
      </c>
      <c r="C116" s="34" t="s">
        <v>248</v>
      </c>
      <c r="D116" s="34" t="s">
        <v>245</v>
      </c>
      <c r="E116" s="34" t="s">
        <v>266</v>
      </c>
      <c r="F116" s="35">
        <v>46149</v>
      </c>
      <c r="G116" s="34" t="s">
        <v>45</v>
      </c>
      <c r="H116" s="36" t="str">
        <f>VLOOKUP(E116,'HC for display name '!$B:$D,2,0)</f>
        <v>AbdElRahman Mohamed-Moslhy</v>
      </c>
      <c r="I116" s="36" t="str">
        <f>VLOOKUP(E116,'HC for display name '!$B:$D,3,0)</f>
        <v>Omar Emad-Mahmoud</v>
      </c>
      <c r="J116" s="36" t="str">
        <f t="shared" si="1"/>
        <v>P</v>
      </c>
    </row>
    <row r="117" spans="1:10" x14ac:dyDescent="0.25">
      <c r="A117" s="33">
        <v>1016719264</v>
      </c>
      <c r="B117" s="33">
        <v>10</v>
      </c>
      <c r="C117" s="34" t="s">
        <v>244</v>
      </c>
      <c r="D117" s="34" t="s">
        <v>245</v>
      </c>
      <c r="E117" s="34" t="s">
        <v>256</v>
      </c>
      <c r="F117" s="35">
        <v>46149</v>
      </c>
      <c r="G117" s="34" t="s">
        <v>45</v>
      </c>
      <c r="H117" s="36" t="str">
        <f>VLOOKUP(E117,'HC for display name '!$B:$D,2,0)</f>
        <v>Esraa Saad-Mahfod</v>
      </c>
      <c r="I117" s="36" t="str">
        <f>VLOOKUP(E117,'HC for display name '!$B:$D,3,0)</f>
        <v>Hend Yousry-AbdElRassoul</v>
      </c>
      <c r="J117" s="36" t="str">
        <f t="shared" si="1"/>
        <v>P</v>
      </c>
    </row>
    <row r="118" spans="1:10" x14ac:dyDescent="0.25">
      <c r="A118" s="33">
        <v>1017672054</v>
      </c>
      <c r="B118" s="33">
        <v>10</v>
      </c>
      <c r="C118" s="34" t="s">
        <v>250</v>
      </c>
      <c r="D118" s="34" t="s">
        <v>245</v>
      </c>
      <c r="E118" s="34" t="s">
        <v>266</v>
      </c>
      <c r="F118" s="35">
        <v>46149</v>
      </c>
      <c r="G118" s="34" t="s">
        <v>45</v>
      </c>
      <c r="H118" s="36" t="str">
        <f>VLOOKUP(E118,'HC for display name '!$B:$D,2,0)</f>
        <v>AbdElRahman Mohamed-Moslhy</v>
      </c>
      <c r="I118" s="36" t="str">
        <f>VLOOKUP(E118,'HC for display name '!$B:$D,3,0)</f>
        <v>Omar Emad-Mahmoud</v>
      </c>
      <c r="J118" s="36" t="str">
        <f t="shared" si="1"/>
        <v>P</v>
      </c>
    </row>
    <row r="119" spans="1:10" x14ac:dyDescent="0.25">
      <c r="A119" s="33">
        <v>1018052407</v>
      </c>
      <c r="B119" s="33">
        <v>10</v>
      </c>
      <c r="C119" s="34" t="s">
        <v>244</v>
      </c>
      <c r="D119" s="34" t="s">
        <v>245</v>
      </c>
      <c r="E119" s="34" t="s">
        <v>111</v>
      </c>
      <c r="F119" s="35">
        <v>46149</v>
      </c>
      <c r="G119" s="34" t="s">
        <v>45</v>
      </c>
      <c r="H119" s="36" t="str">
        <f>VLOOKUP(E119,'HC for display name '!$B:$D,2,0)</f>
        <v>Mohada Mohamed-Hamdy</v>
      </c>
      <c r="I119" s="36" t="str">
        <f>VLOOKUP(E119,'HC for display name '!$B:$D,3,0)</f>
        <v>Merna Ashraf-Ashrafy</v>
      </c>
      <c r="J119" s="36" t="str">
        <f t="shared" si="1"/>
        <v>P</v>
      </c>
    </row>
    <row r="120" spans="1:10" x14ac:dyDescent="0.25">
      <c r="A120" s="33">
        <v>1030793991</v>
      </c>
      <c r="B120" s="33">
        <v>0</v>
      </c>
      <c r="C120" s="34" t="s">
        <v>248</v>
      </c>
      <c r="D120" s="34" t="s">
        <v>245</v>
      </c>
      <c r="E120" s="34" t="s">
        <v>58</v>
      </c>
      <c r="F120" s="35">
        <v>46149</v>
      </c>
      <c r="G120" s="34" t="s">
        <v>45</v>
      </c>
      <c r="H120" s="36" t="str">
        <f>VLOOKUP(E120,'HC for display name '!$B:$D,2,0)</f>
        <v>Mohamed Ali-AbdElGelil</v>
      </c>
      <c r="I120" s="36" t="str">
        <f>VLOOKUP(E120,'HC for display name '!$B:$D,3,0)</f>
        <v>Omar Emad-Mahmoud</v>
      </c>
      <c r="J120" s="36" t="str">
        <f t="shared" si="1"/>
        <v>D</v>
      </c>
    </row>
    <row r="121" spans="1:10" x14ac:dyDescent="0.25">
      <c r="A121" s="33">
        <v>1030806246</v>
      </c>
      <c r="B121" s="33">
        <v>10</v>
      </c>
      <c r="C121" s="34" t="s">
        <v>244</v>
      </c>
      <c r="D121" s="34" t="s">
        <v>245</v>
      </c>
      <c r="E121" s="34" t="s">
        <v>195</v>
      </c>
      <c r="F121" s="35">
        <v>46149</v>
      </c>
      <c r="G121" s="34" t="s">
        <v>45</v>
      </c>
      <c r="H121" s="36" t="str">
        <f>VLOOKUP(E121,'HC for display name '!$B:$D,2,0)</f>
        <v>Sherif Madbouly-Sayed</v>
      </c>
      <c r="I121" s="36" t="str">
        <f>VLOOKUP(E121,'HC for display name '!$B:$D,3,0)</f>
        <v>Omar Emad-Mahmoud</v>
      </c>
      <c r="J121" s="36" t="str">
        <f t="shared" si="1"/>
        <v>P</v>
      </c>
    </row>
    <row r="122" spans="1:10" x14ac:dyDescent="0.25">
      <c r="A122" s="33">
        <v>1033002254</v>
      </c>
      <c r="B122" s="33">
        <v>10</v>
      </c>
      <c r="C122" s="34" t="s">
        <v>244</v>
      </c>
      <c r="D122" s="34" t="s">
        <v>245</v>
      </c>
      <c r="E122" s="34" t="s">
        <v>155</v>
      </c>
      <c r="F122" s="35">
        <v>46149</v>
      </c>
      <c r="G122" s="34" t="s">
        <v>45</v>
      </c>
      <c r="H122" s="36" t="str">
        <f>VLOOKUP(E122,'HC for display name '!$B:$D,2,0)</f>
        <v>Omnia Wageeh-ElAzab</v>
      </c>
      <c r="I122" s="36" t="str">
        <f>VLOOKUP(E122,'HC for display name '!$B:$D,3,0)</f>
        <v>Merna Ashraf-Ashrafy</v>
      </c>
      <c r="J122" s="36" t="str">
        <f t="shared" si="1"/>
        <v>P</v>
      </c>
    </row>
    <row r="123" spans="1:10" x14ac:dyDescent="0.25">
      <c r="A123" s="33">
        <v>1061167774</v>
      </c>
      <c r="B123" s="33">
        <v>10</v>
      </c>
      <c r="C123" s="34" t="s">
        <v>244</v>
      </c>
      <c r="D123" s="34" t="s">
        <v>245</v>
      </c>
      <c r="E123" s="34" t="s">
        <v>259</v>
      </c>
      <c r="F123" s="35">
        <v>46149</v>
      </c>
      <c r="G123" s="34" t="s">
        <v>45</v>
      </c>
      <c r="H123" s="36" t="str">
        <f>VLOOKUP(E123,'HC for display name '!$B:$D,2,0)</f>
        <v>Ahmed Fathy-Fathy</v>
      </c>
      <c r="I123" s="36" t="str">
        <f>VLOOKUP(E123,'HC for display name '!$B:$D,3,0)</f>
        <v>Omar Emad-Mahmoud</v>
      </c>
      <c r="J123" s="36" t="str">
        <f t="shared" si="1"/>
        <v>P</v>
      </c>
    </row>
    <row r="124" spans="1:10" x14ac:dyDescent="0.25">
      <c r="A124" s="33">
        <v>1069570090</v>
      </c>
      <c r="B124" s="33">
        <v>10</v>
      </c>
      <c r="C124" s="34" t="s">
        <v>244</v>
      </c>
      <c r="D124" s="34" t="s">
        <v>245</v>
      </c>
      <c r="E124" s="34" t="s">
        <v>259</v>
      </c>
      <c r="F124" s="35">
        <v>46149</v>
      </c>
      <c r="G124" s="34" t="s">
        <v>45</v>
      </c>
      <c r="H124" s="36" t="str">
        <f>VLOOKUP(E124,'HC for display name '!$B:$D,2,0)</f>
        <v>Ahmed Fathy-Fathy</v>
      </c>
      <c r="I124" s="36" t="str">
        <f>VLOOKUP(E124,'HC for display name '!$B:$D,3,0)</f>
        <v>Omar Emad-Mahmoud</v>
      </c>
      <c r="J124" s="36" t="str">
        <f t="shared" si="1"/>
        <v>P</v>
      </c>
    </row>
    <row r="125" spans="1:10" x14ac:dyDescent="0.25">
      <c r="A125" s="33">
        <v>1090067647</v>
      </c>
      <c r="B125" s="33">
        <v>6</v>
      </c>
      <c r="C125" s="34" t="s">
        <v>250</v>
      </c>
      <c r="D125" s="34" t="s">
        <v>245</v>
      </c>
      <c r="E125" s="34" t="s">
        <v>209</v>
      </c>
      <c r="F125" s="35">
        <v>46149</v>
      </c>
      <c r="G125" s="34" t="s">
        <v>45</v>
      </c>
      <c r="H125" s="36" t="str">
        <f>VLOOKUP(E125,'HC for display name '!$B:$D,2,0)</f>
        <v>Aya Mohamed-Hassan</v>
      </c>
      <c r="I125" s="36" t="str">
        <f>VLOOKUP(E125,'HC for display name '!$B:$D,3,0)</f>
        <v>Merna Ashraf-Ashrafy</v>
      </c>
      <c r="J125" s="36" t="str">
        <f t="shared" si="1"/>
        <v>D</v>
      </c>
    </row>
    <row r="126" spans="1:10" x14ac:dyDescent="0.25">
      <c r="A126" s="33">
        <v>1094315561</v>
      </c>
      <c r="B126" s="33">
        <v>10</v>
      </c>
      <c r="C126" s="34" t="s">
        <v>244</v>
      </c>
      <c r="D126" s="34" t="s">
        <v>245</v>
      </c>
      <c r="E126" s="34" t="s">
        <v>259</v>
      </c>
      <c r="F126" s="35">
        <v>46149</v>
      </c>
      <c r="G126" s="34" t="s">
        <v>45</v>
      </c>
      <c r="H126" s="36" t="str">
        <f>VLOOKUP(E126,'HC for display name '!$B:$D,2,0)</f>
        <v>Ahmed Fathy-Fathy</v>
      </c>
      <c r="I126" s="36" t="str">
        <f>VLOOKUP(E126,'HC for display name '!$B:$D,3,0)</f>
        <v>Omar Emad-Mahmoud</v>
      </c>
      <c r="J126" s="36" t="str">
        <f t="shared" si="1"/>
        <v>P</v>
      </c>
    </row>
    <row r="127" spans="1:10" x14ac:dyDescent="0.25">
      <c r="A127" s="33">
        <v>1000930406</v>
      </c>
      <c r="B127" s="33">
        <v>0</v>
      </c>
      <c r="C127" s="34" t="s">
        <v>258</v>
      </c>
      <c r="D127" s="34" t="s">
        <v>244</v>
      </c>
      <c r="E127" s="34" t="s">
        <v>185</v>
      </c>
      <c r="F127" s="35">
        <v>46150</v>
      </c>
      <c r="G127" s="34" t="s">
        <v>45</v>
      </c>
      <c r="H127" s="36" t="str">
        <f>VLOOKUP(E127,'HC for display name '!$B:$D,2,0)</f>
        <v>Mohamed Gamil-Salah</v>
      </c>
      <c r="I127" s="36" t="str">
        <f>VLOOKUP(E127,'HC for display name '!$B:$D,3,0)</f>
        <v>Omar Emad-Mahmoud</v>
      </c>
      <c r="J127" s="36" t="str">
        <f t="shared" si="1"/>
        <v>D</v>
      </c>
    </row>
    <row r="128" spans="1:10" x14ac:dyDescent="0.25">
      <c r="A128" s="33">
        <v>1003980525</v>
      </c>
      <c r="B128" s="33">
        <v>10</v>
      </c>
      <c r="C128" s="34" t="s">
        <v>244</v>
      </c>
      <c r="D128" s="34" t="s">
        <v>245</v>
      </c>
      <c r="E128" s="34" t="s">
        <v>169</v>
      </c>
      <c r="F128" s="35">
        <v>46150</v>
      </c>
      <c r="G128" s="34" t="s">
        <v>45</v>
      </c>
      <c r="H128" s="36" t="str">
        <f>VLOOKUP(E128,'HC for display name '!$B:$D,2,0)</f>
        <v>AbdElRhman Hesham-AbdElFadeel</v>
      </c>
      <c r="I128" s="36" t="str">
        <f>VLOOKUP(E128,'HC for display name '!$B:$D,3,0)</f>
        <v>AbdElRahman Adel-ElKelany</v>
      </c>
      <c r="J128" s="36" t="str">
        <f t="shared" si="1"/>
        <v>P</v>
      </c>
    </row>
    <row r="129" spans="1:10" x14ac:dyDescent="0.25">
      <c r="A129" s="33">
        <v>1004801928</v>
      </c>
      <c r="B129" s="33">
        <v>10</v>
      </c>
      <c r="C129" s="34" t="s">
        <v>258</v>
      </c>
      <c r="D129" s="34" t="s">
        <v>245</v>
      </c>
      <c r="E129" s="34" t="s">
        <v>249</v>
      </c>
      <c r="F129" s="35">
        <v>46150</v>
      </c>
      <c r="G129" s="34" t="s">
        <v>45</v>
      </c>
      <c r="H129" s="36" t="str">
        <f>VLOOKUP(E129,'HC for display name '!$B:$D,2,0)</f>
        <v>Omar Mamdouh-AbdAllah</v>
      </c>
      <c r="I129" s="36" t="str">
        <f>VLOOKUP(E129,'HC for display name '!$B:$D,3,0)</f>
        <v>Hend Yousry-AbdElRassoul</v>
      </c>
      <c r="J129" s="36" t="str">
        <f t="shared" si="1"/>
        <v>P</v>
      </c>
    </row>
    <row r="130" spans="1:10" x14ac:dyDescent="0.25">
      <c r="A130" s="33">
        <v>1006347909</v>
      </c>
      <c r="B130" s="33">
        <v>9</v>
      </c>
      <c r="C130" s="34" t="s">
        <v>250</v>
      </c>
      <c r="D130" s="34" t="s">
        <v>245</v>
      </c>
      <c r="E130" s="34" t="s">
        <v>169</v>
      </c>
      <c r="F130" s="35">
        <v>46150</v>
      </c>
      <c r="G130" s="34" t="s">
        <v>45</v>
      </c>
      <c r="H130" s="36" t="str">
        <f>VLOOKUP(E130,'HC for display name '!$B:$D,2,0)</f>
        <v>AbdElRhman Hesham-AbdElFadeel</v>
      </c>
      <c r="I130" s="36" t="str">
        <f>VLOOKUP(E130,'HC for display name '!$B:$D,3,0)</f>
        <v>AbdElRahman Adel-ElKelany</v>
      </c>
      <c r="J130" s="36" t="str">
        <f t="shared" si="1"/>
        <v>P</v>
      </c>
    </row>
    <row r="131" spans="1:10" x14ac:dyDescent="0.25">
      <c r="A131" s="33">
        <v>1006791809</v>
      </c>
      <c r="B131" s="33">
        <v>9</v>
      </c>
      <c r="C131" s="34" t="s">
        <v>244</v>
      </c>
      <c r="D131" s="34" t="s">
        <v>245</v>
      </c>
      <c r="E131" s="34" t="s">
        <v>260</v>
      </c>
      <c r="F131" s="35">
        <v>46150</v>
      </c>
      <c r="G131" s="34" t="s">
        <v>45</v>
      </c>
      <c r="H131" s="36" t="str">
        <f>VLOOKUP(E131,'HC for display name '!$B:$D,2,0)</f>
        <v>Mohamed Khaled-Khattab</v>
      </c>
      <c r="I131" s="36" t="str">
        <f>VLOOKUP(E131,'HC for display name '!$B:$D,3,0)</f>
        <v>Hend Yousry-AbdElRassoul</v>
      </c>
      <c r="J131" s="36" t="str">
        <f t="shared" ref="J131:J194" si="2">VLOOKUP(B131,$T$3:$U$13,2,0)</f>
        <v>P</v>
      </c>
    </row>
    <row r="132" spans="1:10" x14ac:dyDescent="0.25">
      <c r="A132" s="33">
        <v>1009162895</v>
      </c>
      <c r="B132" s="33">
        <v>0</v>
      </c>
      <c r="C132" s="34" t="s">
        <v>250</v>
      </c>
      <c r="D132" s="34" t="s">
        <v>245</v>
      </c>
      <c r="E132" s="34" t="s">
        <v>253</v>
      </c>
      <c r="F132" s="35">
        <v>46150</v>
      </c>
      <c r="G132" s="34" t="s">
        <v>45</v>
      </c>
      <c r="H132" s="36" t="str">
        <f>VLOOKUP(E132,'HC for display name '!$B:$D,2,0)</f>
        <v>Mohamed AbdElMohsen-Mahdy</v>
      </c>
      <c r="I132" s="36" t="str">
        <f>VLOOKUP(E132,'HC for display name '!$B:$D,3,0)</f>
        <v>AbdElRahman Adel-ElKelany</v>
      </c>
      <c r="J132" s="36" t="str">
        <f t="shared" si="2"/>
        <v>D</v>
      </c>
    </row>
    <row r="133" spans="1:10" x14ac:dyDescent="0.25">
      <c r="A133" s="33">
        <v>1013193030</v>
      </c>
      <c r="B133" s="33">
        <v>10</v>
      </c>
      <c r="C133" s="34" t="s">
        <v>244</v>
      </c>
      <c r="D133" s="34" t="s">
        <v>245</v>
      </c>
      <c r="E133" s="34" t="s">
        <v>246</v>
      </c>
      <c r="F133" s="35">
        <v>46150</v>
      </c>
      <c r="G133" s="34" t="s">
        <v>45</v>
      </c>
      <c r="H133" s="36" t="str">
        <f>VLOOKUP(E133,'HC for display name '!$B:$D,2,0)</f>
        <v>Peter Amgad-Shehata</v>
      </c>
      <c r="I133" s="36" t="str">
        <f>VLOOKUP(E133,'HC for display name '!$B:$D,3,0)</f>
        <v>Hend Yousry-AbdElRassoul</v>
      </c>
      <c r="J133" s="36" t="str">
        <f t="shared" si="2"/>
        <v>P</v>
      </c>
    </row>
    <row r="134" spans="1:10" x14ac:dyDescent="0.25">
      <c r="A134" s="33">
        <v>1016690622</v>
      </c>
      <c r="B134" s="33">
        <v>0</v>
      </c>
      <c r="C134" s="34" t="s">
        <v>250</v>
      </c>
      <c r="D134" s="34" t="s">
        <v>248</v>
      </c>
      <c r="E134" s="34" t="s">
        <v>263</v>
      </c>
      <c r="F134" s="35">
        <v>46150</v>
      </c>
      <c r="G134" s="34" t="s">
        <v>45</v>
      </c>
      <c r="H134" s="36" t="str">
        <f>VLOOKUP(E134,'HC for display name '!$B:$D,2,0)</f>
        <v>Yara Hussein-Mofleh</v>
      </c>
      <c r="I134" s="36" t="str">
        <f>VLOOKUP(E134,'HC for display name '!$B:$D,3,0)</f>
        <v>Hend Yousry-AbdElRassoul</v>
      </c>
      <c r="J134" s="36" t="str">
        <f t="shared" si="2"/>
        <v>D</v>
      </c>
    </row>
    <row r="135" spans="1:10" x14ac:dyDescent="0.25">
      <c r="A135" s="33">
        <v>1019854458</v>
      </c>
      <c r="B135" s="33">
        <v>10</v>
      </c>
      <c r="C135" s="34" t="s">
        <v>258</v>
      </c>
      <c r="D135" s="34" t="s">
        <v>245</v>
      </c>
      <c r="E135" s="34" t="s">
        <v>249</v>
      </c>
      <c r="F135" s="35">
        <v>46150</v>
      </c>
      <c r="G135" s="34" t="s">
        <v>45</v>
      </c>
      <c r="H135" s="36" t="str">
        <f>VLOOKUP(E135,'HC for display name '!$B:$D,2,0)</f>
        <v>Omar Mamdouh-AbdAllah</v>
      </c>
      <c r="I135" s="36" t="str">
        <f>VLOOKUP(E135,'HC for display name '!$B:$D,3,0)</f>
        <v>Hend Yousry-AbdElRassoul</v>
      </c>
      <c r="J135" s="36" t="str">
        <f t="shared" si="2"/>
        <v>P</v>
      </c>
    </row>
    <row r="136" spans="1:10" x14ac:dyDescent="0.25">
      <c r="A136" s="33">
        <v>1024649550</v>
      </c>
      <c r="B136" s="33">
        <v>7</v>
      </c>
      <c r="C136" s="34" t="s">
        <v>250</v>
      </c>
      <c r="D136" s="34" t="s">
        <v>245</v>
      </c>
      <c r="E136" s="34" t="s">
        <v>260</v>
      </c>
      <c r="F136" s="35">
        <v>46150</v>
      </c>
      <c r="G136" s="34" t="s">
        <v>45</v>
      </c>
      <c r="H136" s="36" t="str">
        <f>VLOOKUP(E136,'HC for display name '!$B:$D,2,0)</f>
        <v>Mohamed Khaled-Khattab</v>
      </c>
      <c r="I136" s="36" t="str">
        <f>VLOOKUP(E136,'HC for display name '!$B:$D,3,0)</f>
        <v>Hend Yousry-AbdElRassoul</v>
      </c>
      <c r="J136" s="36" t="str">
        <f t="shared" si="2"/>
        <v>N</v>
      </c>
    </row>
    <row r="137" spans="1:10" x14ac:dyDescent="0.25">
      <c r="A137" s="33">
        <v>1029136154</v>
      </c>
      <c r="B137" s="33">
        <v>10</v>
      </c>
      <c r="C137" s="34" t="s">
        <v>244</v>
      </c>
      <c r="D137" s="34" t="s">
        <v>245</v>
      </c>
      <c r="E137" s="34" t="s">
        <v>263</v>
      </c>
      <c r="F137" s="35">
        <v>46150</v>
      </c>
      <c r="G137" s="34" t="s">
        <v>45</v>
      </c>
      <c r="H137" s="36" t="str">
        <f>VLOOKUP(E137,'HC for display name '!$B:$D,2,0)</f>
        <v>Yara Hussein-Mofleh</v>
      </c>
      <c r="I137" s="36" t="str">
        <f>VLOOKUP(E137,'HC for display name '!$B:$D,3,0)</f>
        <v>Hend Yousry-AbdElRassoul</v>
      </c>
      <c r="J137" s="36" t="str">
        <f t="shared" si="2"/>
        <v>P</v>
      </c>
    </row>
    <row r="138" spans="1:10" x14ac:dyDescent="0.25">
      <c r="A138" s="33">
        <v>1034619999</v>
      </c>
      <c r="B138" s="33">
        <v>10</v>
      </c>
      <c r="C138" s="34" t="s">
        <v>244</v>
      </c>
      <c r="D138" s="34" t="s">
        <v>245</v>
      </c>
      <c r="E138" s="34" t="s">
        <v>155</v>
      </c>
      <c r="F138" s="35">
        <v>46150</v>
      </c>
      <c r="G138" s="34" t="s">
        <v>45</v>
      </c>
      <c r="H138" s="36" t="str">
        <f>VLOOKUP(E138,'HC for display name '!$B:$D,2,0)</f>
        <v>Omnia Wageeh-ElAzab</v>
      </c>
      <c r="I138" s="36" t="str">
        <f>VLOOKUP(E138,'HC for display name '!$B:$D,3,0)</f>
        <v>Merna Ashraf-Ashrafy</v>
      </c>
      <c r="J138" s="36" t="str">
        <f t="shared" si="2"/>
        <v>P</v>
      </c>
    </row>
    <row r="139" spans="1:10" x14ac:dyDescent="0.25">
      <c r="A139" s="33">
        <v>1055387059</v>
      </c>
      <c r="B139" s="33">
        <v>8</v>
      </c>
      <c r="C139" s="34" t="s">
        <v>244</v>
      </c>
      <c r="D139" s="34" t="s">
        <v>245</v>
      </c>
      <c r="E139" s="34" t="s">
        <v>253</v>
      </c>
      <c r="F139" s="35">
        <v>46150</v>
      </c>
      <c r="G139" s="34" t="s">
        <v>45</v>
      </c>
      <c r="H139" s="36" t="str">
        <f>VLOOKUP(E139,'HC for display name '!$B:$D,2,0)</f>
        <v>Mohamed AbdElMohsen-Mahdy</v>
      </c>
      <c r="I139" s="36" t="str">
        <f>VLOOKUP(E139,'HC for display name '!$B:$D,3,0)</f>
        <v>AbdElRahman Adel-ElKelany</v>
      </c>
      <c r="J139" s="36" t="str">
        <f t="shared" si="2"/>
        <v>N</v>
      </c>
    </row>
    <row r="140" spans="1:10" x14ac:dyDescent="0.25">
      <c r="A140" s="33">
        <v>1063018745</v>
      </c>
      <c r="B140" s="33">
        <v>9</v>
      </c>
      <c r="C140" s="34" t="s">
        <v>250</v>
      </c>
      <c r="D140" s="34" t="s">
        <v>245</v>
      </c>
      <c r="E140" s="34" t="s">
        <v>249</v>
      </c>
      <c r="F140" s="35">
        <v>46150</v>
      </c>
      <c r="G140" s="34" t="s">
        <v>45</v>
      </c>
      <c r="H140" s="36" t="str">
        <f>VLOOKUP(E140,'HC for display name '!$B:$D,2,0)</f>
        <v>Omar Mamdouh-AbdAllah</v>
      </c>
      <c r="I140" s="36" t="str">
        <f>VLOOKUP(E140,'HC for display name '!$B:$D,3,0)</f>
        <v>Hend Yousry-AbdElRassoul</v>
      </c>
      <c r="J140" s="36" t="str">
        <f t="shared" si="2"/>
        <v>P</v>
      </c>
    </row>
    <row r="141" spans="1:10" x14ac:dyDescent="0.25">
      <c r="A141" s="33">
        <v>1080066061</v>
      </c>
      <c r="B141" s="33">
        <v>10</v>
      </c>
      <c r="C141" s="34" t="s">
        <v>244</v>
      </c>
      <c r="D141" s="34" t="s">
        <v>245</v>
      </c>
      <c r="E141" s="34" t="s">
        <v>169</v>
      </c>
      <c r="F141" s="35">
        <v>46150</v>
      </c>
      <c r="G141" s="34" t="s">
        <v>45</v>
      </c>
      <c r="H141" s="36" t="str">
        <f>VLOOKUP(E141,'HC for display name '!$B:$D,2,0)</f>
        <v>AbdElRhman Hesham-AbdElFadeel</v>
      </c>
      <c r="I141" s="36" t="str">
        <f>VLOOKUP(E141,'HC for display name '!$B:$D,3,0)</f>
        <v>AbdElRahman Adel-ElKelany</v>
      </c>
      <c r="J141" s="36" t="str">
        <f t="shared" si="2"/>
        <v>P</v>
      </c>
    </row>
    <row r="142" spans="1:10" x14ac:dyDescent="0.25">
      <c r="A142" s="33">
        <v>1223357547</v>
      </c>
      <c r="B142" s="33">
        <v>9</v>
      </c>
      <c r="C142" s="34" t="s">
        <v>244</v>
      </c>
      <c r="D142" s="34" t="s">
        <v>245</v>
      </c>
      <c r="E142" s="34" t="s">
        <v>259</v>
      </c>
      <c r="F142" s="35">
        <v>46150</v>
      </c>
      <c r="G142" s="34" t="s">
        <v>45</v>
      </c>
      <c r="H142" s="36" t="str">
        <f>VLOOKUP(E142,'HC for display name '!$B:$D,2,0)</f>
        <v>Ahmed Fathy-Fathy</v>
      </c>
      <c r="I142" s="36" t="str">
        <f>VLOOKUP(E142,'HC for display name '!$B:$D,3,0)</f>
        <v>Omar Emad-Mahmoud</v>
      </c>
      <c r="J142" s="36" t="str">
        <f t="shared" si="2"/>
        <v>P</v>
      </c>
    </row>
    <row r="143" spans="1:10" x14ac:dyDescent="0.25">
      <c r="A143" s="33">
        <v>1000023610</v>
      </c>
      <c r="B143" s="33">
        <v>8</v>
      </c>
      <c r="C143" s="34" t="s">
        <v>258</v>
      </c>
      <c r="D143" s="34" t="s">
        <v>245</v>
      </c>
      <c r="E143" s="34" t="s">
        <v>93</v>
      </c>
      <c r="F143" s="35">
        <v>46151</v>
      </c>
      <c r="G143" s="34" t="s">
        <v>45</v>
      </c>
      <c r="H143" s="36" t="str">
        <f>VLOOKUP(E143,'HC for display name '!$B:$D,2,0)</f>
        <v>Islam Gamal-Zakaria</v>
      </c>
      <c r="I143" s="36" t="str">
        <f>VLOOKUP(E143,'HC for display name '!$B:$D,3,0)</f>
        <v>Omar Emad-Mahmoud</v>
      </c>
      <c r="J143" s="36" t="str">
        <f t="shared" si="2"/>
        <v>N</v>
      </c>
    </row>
    <row r="144" spans="1:10" x14ac:dyDescent="0.25">
      <c r="A144" s="33">
        <v>1001232625</v>
      </c>
      <c r="B144" s="33">
        <v>0</v>
      </c>
      <c r="C144" s="34" t="s">
        <v>250</v>
      </c>
      <c r="D144" s="34" t="s">
        <v>244</v>
      </c>
      <c r="E144" s="34" t="s">
        <v>263</v>
      </c>
      <c r="F144" s="35">
        <v>46151</v>
      </c>
      <c r="G144" s="34" t="s">
        <v>45</v>
      </c>
      <c r="H144" s="36" t="str">
        <f>VLOOKUP(E144,'HC for display name '!$B:$D,2,0)</f>
        <v>Yara Hussein-Mofleh</v>
      </c>
      <c r="I144" s="36" t="str">
        <f>VLOOKUP(E144,'HC for display name '!$B:$D,3,0)</f>
        <v>Hend Yousry-AbdElRassoul</v>
      </c>
      <c r="J144" s="36" t="str">
        <f t="shared" si="2"/>
        <v>D</v>
      </c>
    </row>
    <row r="145" spans="1:10" x14ac:dyDescent="0.25">
      <c r="A145" s="33">
        <v>1001912447</v>
      </c>
      <c r="B145" s="33">
        <v>10</v>
      </c>
      <c r="C145" s="34" t="s">
        <v>244</v>
      </c>
      <c r="D145" s="34" t="s">
        <v>245</v>
      </c>
      <c r="E145" s="34" t="s">
        <v>263</v>
      </c>
      <c r="F145" s="35">
        <v>46151</v>
      </c>
      <c r="G145" s="34" t="s">
        <v>45</v>
      </c>
      <c r="H145" s="36" t="str">
        <f>VLOOKUP(E145,'HC for display name '!$B:$D,2,0)</f>
        <v>Yara Hussein-Mofleh</v>
      </c>
      <c r="I145" s="36" t="str">
        <f>VLOOKUP(E145,'HC for display name '!$B:$D,3,0)</f>
        <v>Hend Yousry-AbdElRassoul</v>
      </c>
      <c r="J145" s="36" t="str">
        <f t="shared" si="2"/>
        <v>P</v>
      </c>
    </row>
    <row r="146" spans="1:10" x14ac:dyDescent="0.25">
      <c r="A146" s="33">
        <v>1002480807</v>
      </c>
      <c r="B146" s="33">
        <v>10</v>
      </c>
      <c r="C146" s="34" t="s">
        <v>244</v>
      </c>
      <c r="D146" s="34" t="s">
        <v>245</v>
      </c>
      <c r="E146" s="34" t="s">
        <v>192</v>
      </c>
      <c r="F146" s="35">
        <v>46151</v>
      </c>
      <c r="G146" s="34" t="s">
        <v>45</v>
      </c>
      <c r="H146" s="36" t="str">
        <f>VLOOKUP(E146,'HC for display name '!$B:$D,2,0)</f>
        <v>Ibrahim Ahmed-Ghonimy</v>
      </c>
      <c r="I146" s="36" t="str">
        <f>VLOOKUP(E146,'HC for display name '!$B:$D,3,0)</f>
        <v>AbdElRahman Adel-ElKelany</v>
      </c>
      <c r="J146" s="36" t="str">
        <f t="shared" si="2"/>
        <v>P</v>
      </c>
    </row>
    <row r="147" spans="1:10" x14ac:dyDescent="0.25">
      <c r="A147" s="33">
        <v>1002832838</v>
      </c>
      <c r="B147" s="33">
        <v>10</v>
      </c>
      <c r="C147" s="34" t="s">
        <v>250</v>
      </c>
      <c r="D147" s="34" t="s">
        <v>245</v>
      </c>
      <c r="E147" s="34" t="s">
        <v>185</v>
      </c>
      <c r="F147" s="35">
        <v>46151</v>
      </c>
      <c r="G147" s="34" t="s">
        <v>45</v>
      </c>
      <c r="H147" s="36" t="str">
        <f>VLOOKUP(E147,'HC for display name '!$B:$D,2,0)</f>
        <v>Mohamed Gamil-Salah</v>
      </c>
      <c r="I147" s="36" t="str">
        <f>VLOOKUP(E147,'HC for display name '!$B:$D,3,0)</f>
        <v>Omar Emad-Mahmoud</v>
      </c>
      <c r="J147" s="36" t="str">
        <f t="shared" si="2"/>
        <v>P</v>
      </c>
    </row>
    <row r="148" spans="1:10" x14ac:dyDescent="0.25">
      <c r="A148" s="33">
        <v>1003500334</v>
      </c>
      <c r="B148" s="33">
        <v>6</v>
      </c>
      <c r="C148" s="34" t="s">
        <v>244</v>
      </c>
      <c r="D148" s="34" t="s">
        <v>245</v>
      </c>
      <c r="E148" s="34" t="s">
        <v>263</v>
      </c>
      <c r="F148" s="35">
        <v>46151</v>
      </c>
      <c r="G148" s="34" t="s">
        <v>45</v>
      </c>
      <c r="H148" s="36" t="str">
        <f>VLOOKUP(E148,'HC for display name '!$B:$D,2,0)</f>
        <v>Yara Hussein-Mofleh</v>
      </c>
      <c r="I148" s="36" t="str">
        <f>VLOOKUP(E148,'HC for display name '!$B:$D,3,0)</f>
        <v>Hend Yousry-AbdElRassoul</v>
      </c>
      <c r="J148" s="36" t="str">
        <f t="shared" si="2"/>
        <v>D</v>
      </c>
    </row>
    <row r="149" spans="1:10" x14ac:dyDescent="0.25">
      <c r="A149" s="33">
        <v>1005137177</v>
      </c>
      <c r="B149" s="33">
        <v>10</v>
      </c>
      <c r="C149" s="34" t="s">
        <v>258</v>
      </c>
      <c r="D149" s="34" t="s">
        <v>245</v>
      </c>
      <c r="E149" s="34" t="s">
        <v>192</v>
      </c>
      <c r="F149" s="35">
        <v>46151</v>
      </c>
      <c r="G149" s="34" t="s">
        <v>45</v>
      </c>
      <c r="H149" s="36" t="str">
        <f>VLOOKUP(E149,'HC for display name '!$B:$D,2,0)</f>
        <v>Ibrahim Ahmed-Ghonimy</v>
      </c>
      <c r="I149" s="36" t="str">
        <f>VLOOKUP(E149,'HC for display name '!$B:$D,3,0)</f>
        <v>AbdElRahman Adel-ElKelany</v>
      </c>
      <c r="J149" s="36" t="str">
        <f t="shared" si="2"/>
        <v>P</v>
      </c>
    </row>
    <row r="150" spans="1:10" x14ac:dyDescent="0.25">
      <c r="A150" s="33">
        <v>1005240132</v>
      </c>
      <c r="B150" s="33">
        <v>7</v>
      </c>
      <c r="C150" s="34" t="s">
        <v>244</v>
      </c>
      <c r="D150" s="34" t="s">
        <v>245</v>
      </c>
      <c r="E150" s="34" t="s">
        <v>158</v>
      </c>
      <c r="F150" s="35">
        <v>46151</v>
      </c>
      <c r="G150" s="34" t="s">
        <v>45</v>
      </c>
      <c r="H150" s="36" t="str">
        <f>VLOOKUP(E150,'HC for display name '!$B:$D,2,0)</f>
        <v>Tarek Ayman-Ahmed</v>
      </c>
      <c r="I150" s="36" t="str">
        <f>VLOOKUP(E150,'HC for display name '!$B:$D,3,0)</f>
        <v>AbdElRahman Adel-ElKelany</v>
      </c>
      <c r="J150" s="36" t="str">
        <f t="shared" si="2"/>
        <v>N</v>
      </c>
    </row>
    <row r="151" spans="1:10" x14ac:dyDescent="0.25">
      <c r="A151" s="33">
        <v>1006931005</v>
      </c>
      <c r="B151" s="33">
        <v>5</v>
      </c>
      <c r="C151" s="34" t="s">
        <v>250</v>
      </c>
      <c r="D151" s="34" t="s">
        <v>245</v>
      </c>
      <c r="E151" s="34" t="s">
        <v>263</v>
      </c>
      <c r="F151" s="35">
        <v>46151</v>
      </c>
      <c r="G151" s="34" t="s">
        <v>45</v>
      </c>
      <c r="H151" s="36" t="str">
        <f>VLOOKUP(E151,'HC for display name '!$B:$D,2,0)</f>
        <v>Yara Hussein-Mofleh</v>
      </c>
      <c r="I151" s="36" t="str">
        <f>VLOOKUP(E151,'HC for display name '!$B:$D,3,0)</f>
        <v>Hend Yousry-AbdElRassoul</v>
      </c>
      <c r="J151" s="36" t="str">
        <f t="shared" si="2"/>
        <v>D</v>
      </c>
    </row>
    <row r="152" spans="1:10" x14ac:dyDescent="0.25">
      <c r="A152" s="33">
        <v>1014809048</v>
      </c>
      <c r="B152" s="33">
        <v>10</v>
      </c>
      <c r="C152" s="34" t="s">
        <v>250</v>
      </c>
      <c r="D152" s="34" t="s">
        <v>245</v>
      </c>
      <c r="E152" s="34" t="s">
        <v>246</v>
      </c>
      <c r="F152" s="35">
        <v>46151</v>
      </c>
      <c r="G152" s="34" t="s">
        <v>45</v>
      </c>
      <c r="H152" s="36" t="str">
        <f>VLOOKUP(E152,'HC for display name '!$B:$D,2,0)</f>
        <v>Peter Amgad-Shehata</v>
      </c>
      <c r="I152" s="36" t="str">
        <f>VLOOKUP(E152,'HC for display name '!$B:$D,3,0)</f>
        <v>Hend Yousry-AbdElRassoul</v>
      </c>
      <c r="J152" s="36" t="str">
        <f t="shared" si="2"/>
        <v>P</v>
      </c>
    </row>
    <row r="153" spans="1:10" x14ac:dyDescent="0.25">
      <c r="A153" s="33">
        <v>1017065546</v>
      </c>
      <c r="B153" s="33">
        <v>10</v>
      </c>
      <c r="C153" s="34" t="s">
        <v>244</v>
      </c>
      <c r="D153" s="34" t="s">
        <v>245</v>
      </c>
      <c r="E153" s="34" t="s">
        <v>267</v>
      </c>
      <c r="F153" s="35">
        <v>46151</v>
      </c>
      <c r="G153" s="34" t="s">
        <v>45</v>
      </c>
      <c r="H153" s="36" t="str">
        <f>VLOOKUP(E153,'HC for display name '!$B:$D,2,0)</f>
        <v>Andrwa Wafeek-Zaki</v>
      </c>
      <c r="I153" s="36" t="str">
        <f>VLOOKUP(E153,'HC for display name '!$B:$D,3,0)</f>
        <v>Omar Emad-Mahmoud</v>
      </c>
      <c r="J153" s="36" t="str">
        <f t="shared" si="2"/>
        <v>P</v>
      </c>
    </row>
    <row r="154" spans="1:10" x14ac:dyDescent="0.25">
      <c r="A154" s="33">
        <v>1017103785</v>
      </c>
      <c r="B154" s="33">
        <v>9</v>
      </c>
      <c r="C154" s="34" t="s">
        <v>244</v>
      </c>
      <c r="D154" s="34" t="s">
        <v>245</v>
      </c>
      <c r="E154" s="34" t="s">
        <v>58</v>
      </c>
      <c r="F154" s="35">
        <v>46151</v>
      </c>
      <c r="G154" s="34" t="s">
        <v>45</v>
      </c>
      <c r="H154" s="36" t="str">
        <f>VLOOKUP(E154,'HC for display name '!$B:$D,2,0)</f>
        <v>Mohamed Ali-AbdElGelil</v>
      </c>
      <c r="I154" s="36" t="str">
        <f>VLOOKUP(E154,'HC for display name '!$B:$D,3,0)</f>
        <v>Omar Emad-Mahmoud</v>
      </c>
      <c r="J154" s="36" t="str">
        <f t="shared" si="2"/>
        <v>P</v>
      </c>
    </row>
    <row r="155" spans="1:10" x14ac:dyDescent="0.25">
      <c r="A155" s="33">
        <v>1020094747</v>
      </c>
      <c r="B155" s="33">
        <v>8</v>
      </c>
      <c r="C155" s="34" t="s">
        <v>250</v>
      </c>
      <c r="D155" s="34" t="s">
        <v>245</v>
      </c>
      <c r="E155" s="34" t="s">
        <v>93</v>
      </c>
      <c r="F155" s="35">
        <v>46151</v>
      </c>
      <c r="G155" s="34" t="s">
        <v>45</v>
      </c>
      <c r="H155" s="36" t="str">
        <f>VLOOKUP(E155,'HC for display name '!$B:$D,2,0)</f>
        <v>Islam Gamal-Zakaria</v>
      </c>
      <c r="I155" s="36" t="str">
        <f>VLOOKUP(E155,'HC for display name '!$B:$D,3,0)</f>
        <v>Omar Emad-Mahmoud</v>
      </c>
      <c r="J155" s="36" t="str">
        <f t="shared" si="2"/>
        <v>N</v>
      </c>
    </row>
    <row r="156" spans="1:10" x14ac:dyDescent="0.25">
      <c r="A156" s="33">
        <v>1021532410</v>
      </c>
      <c r="B156" s="33">
        <v>10</v>
      </c>
      <c r="C156" s="34" t="s">
        <v>250</v>
      </c>
      <c r="D156" s="34" t="s">
        <v>245</v>
      </c>
      <c r="E156" s="34" t="s">
        <v>93</v>
      </c>
      <c r="F156" s="35">
        <v>46151</v>
      </c>
      <c r="G156" s="34" t="s">
        <v>45</v>
      </c>
      <c r="H156" s="36" t="str">
        <f>VLOOKUP(E156,'HC for display name '!$B:$D,2,0)</f>
        <v>Islam Gamal-Zakaria</v>
      </c>
      <c r="I156" s="36" t="str">
        <f>VLOOKUP(E156,'HC for display name '!$B:$D,3,0)</f>
        <v>Omar Emad-Mahmoud</v>
      </c>
      <c r="J156" s="36" t="str">
        <f t="shared" si="2"/>
        <v>P</v>
      </c>
    </row>
    <row r="157" spans="1:10" x14ac:dyDescent="0.25">
      <c r="A157" s="33">
        <v>1022888668</v>
      </c>
      <c r="B157" s="33">
        <v>10</v>
      </c>
      <c r="C157" s="34" t="s">
        <v>250</v>
      </c>
      <c r="D157" s="34" t="s">
        <v>245</v>
      </c>
      <c r="E157" s="34" t="s">
        <v>267</v>
      </c>
      <c r="F157" s="35">
        <v>46151</v>
      </c>
      <c r="G157" s="34" t="s">
        <v>45</v>
      </c>
      <c r="H157" s="36" t="str">
        <f>VLOOKUP(E157,'HC for display name '!$B:$D,2,0)</f>
        <v>Andrwa Wafeek-Zaki</v>
      </c>
      <c r="I157" s="36" t="str">
        <f>VLOOKUP(E157,'HC for display name '!$B:$D,3,0)</f>
        <v>Omar Emad-Mahmoud</v>
      </c>
      <c r="J157" s="36" t="str">
        <f t="shared" si="2"/>
        <v>P</v>
      </c>
    </row>
    <row r="158" spans="1:10" x14ac:dyDescent="0.25">
      <c r="A158" s="33">
        <v>1023735406</v>
      </c>
      <c r="B158" s="33">
        <v>10</v>
      </c>
      <c r="C158" s="34" t="s">
        <v>250</v>
      </c>
      <c r="D158" s="34" t="s">
        <v>245</v>
      </c>
      <c r="E158" s="34" t="s">
        <v>155</v>
      </c>
      <c r="F158" s="35">
        <v>46151</v>
      </c>
      <c r="G158" s="34" t="s">
        <v>45</v>
      </c>
      <c r="H158" s="36" t="str">
        <f>VLOOKUP(E158,'HC for display name '!$B:$D,2,0)</f>
        <v>Omnia Wageeh-ElAzab</v>
      </c>
      <c r="I158" s="36" t="str">
        <f>VLOOKUP(E158,'HC for display name '!$B:$D,3,0)</f>
        <v>Merna Ashraf-Ashrafy</v>
      </c>
      <c r="J158" s="36" t="str">
        <f t="shared" si="2"/>
        <v>P</v>
      </c>
    </row>
    <row r="159" spans="1:10" x14ac:dyDescent="0.25">
      <c r="A159" s="33">
        <v>1024908003</v>
      </c>
      <c r="B159" s="33">
        <v>0</v>
      </c>
      <c r="C159" s="34" t="s">
        <v>248</v>
      </c>
      <c r="D159" s="34" t="s">
        <v>244</v>
      </c>
      <c r="E159" s="34" t="s">
        <v>155</v>
      </c>
      <c r="F159" s="35">
        <v>46151</v>
      </c>
      <c r="G159" s="34" t="s">
        <v>45</v>
      </c>
      <c r="H159" s="36" t="str">
        <f>VLOOKUP(E159,'HC for display name '!$B:$D,2,0)</f>
        <v>Omnia Wageeh-ElAzab</v>
      </c>
      <c r="I159" s="36" t="str">
        <f>VLOOKUP(E159,'HC for display name '!$B:$D,3,0)</f>
        <v>Merna Ashraf-Ashrafy</v>
      </c>
      <c r="J159" s="36" t="str">
        <f t="shared" si="2"/>
        <v>D</v>
      </c>
    </row>
    <row r="160" spans="1:10" x14ac:dyDescent="0.25">
      <c r="A160" s="33">
        <v>1033205019</v>
      </c>
      <c r="B160" s="33">
        <v>10</v>
      </c>
      <c r="C160" s="34" t="s">
        <v>250</v>
      </c>
      <c r="D160" s="34" t="s">
        <v>245</v>
      </c>
      <c r="E160" s="34" t="s">
        <v>145</v>
      </c>
      <c r="F160" s="35">
        <v>46151</v>
      </c>
      <c r="G160" s="34" t="s">
        <v>45</v>
      </c>
      <c r="H160" s="36" t="str">
        <f>VLOOKUP(E160,'HC for display name '!$B:$D,2,0)</f>
        <v>Aya Ezzat-Mahmoud</v>
      </c>
      <c r="I160" s="36" t="str">
        <f>VLOOKUP(E160,'HC for display name '!$B:$D,3,0)</f>
        <v>Merna Ashraf-Ashrafy</v>
      </c>
      <c r="J160" s="36" t="str">
        <f t="shared" si="2"/>
        <v>P</v>
      </c>
    </row>
    <row r="161" spans="1:27" x14ac:dyDescent="0.25">
      <c r="A161" s="33">
        <v>1055000725</v>
      </c>
      <c r="B161" s="33">
        <v>10</v>
      </c>
      <c r="C161" s="34" t="s">
        <v>244</v>
      </c>
      <c r="D161" s="34" t="s">
        <v>245</v>
      </c>
      <c r="E161" s="34" t="s">
        <v>58</v>
      </c>
      <c r="F161" s="35">
        <v>46151</v>
      </c>
      <c r="G161" s="34" t="s">
        <v>45</v>
      </c>
      <c r="H161" s="36" t="str">
        <f>VLOOKUP(E161,'HC for display name '!$B:$D,2,0)</f>
        <v>Mohamed Ali-AbdElGelil</v>
      </c>
      <c r="I161" s="36" t="str">
        <f>VLOOKUP(E161,'HC for display name '!$B:$D,3,0)</f>
        <v>Omar Emad-Mahmoud</v>
      </c>
      <c r="J161" s="36" t="str">
        <f t="shared" si="2"/>
        <v>P</v>
      </c>
    </row>
    <row r="162" spans="1:27" x14ac:dyDescent="0.25">
      <c r="A162" s="33">
        <v>1055559085</v>
      </c>
      <c r="B162" s="33">
        <v>10</v>
      </c>
      <c r="C162" s="34" t="s">
        <v>244</v>
      </c>
      <c r="D162" s="34" t="s">
        <v>245</v>
      </c>
      <c r="E162" s="34" t="s">
        <v>185</v>
      </c>
      <c r="F162" s="35">
        <v>46151</v>
      </c>
      <c r="G162" s="34" t="s">
        <v>45</v>
      </c>
      <c r="H162" s="36" t="str">
        <f>VLOOKUP(E162,'HC for display name '!$B:$D,2,0)</f>
        <v>Mohamed Gamil-Salah</v>
      </c>
      <c r="I162" s="36" t="str">
        <f>VLOOKUP(E162,'HC for display name '!$B:$D,3,0)</f>
        <v>Omar Emad-Mahmoud</v>
      </c>
      <c r="J162" s="36" t="str">
        <f t="shared" si="2"/>
        <v>P</v>
      </c>
    </row>
    <row r="163" spans="1:27" x14ac:dyDescent="0.25">
      <c r="A163" s="33">
        <v>1064445354</v>
      </c>
      <c r="B163" s="33">
        <v>10</v>
      </c>
      <c r="C163" s="34" t="s">
        <v>244</v>
      </c>
      <c r="D163" s="34" t="s">
        <v>245</v>
      </c>
      <c r="E163" s="34" t="s">
        <v>264</v>
      </c>
      <c r="F163" s="35">
        <v>46151</v>
      </c>
      <c r="G163" s="34" t="s">
        <v>45</v>
      </c>
      <c r="H163" s="36" t="str">
        <f>VLOOKUP(E163,'HC for display name '!$B:$D,2,0)</f>
        <v>Ziad Hassan-Donkol</v>
      </c>
      <c r="I163" s="36" t="str">
        <f>VLOOKUP(E163,'HC for display name '!$B:$D,3,0)</f>
        <v>AbdElRahman Adel-ElKelany</v>
      </c>
      <c r="J163" s="36" t="str">
        <f t="shared" si="2"/>
        <v>P</v>
      </c>
    </row>
    <row r="164" spans="1:27" x14ac:dyDescent="0.25">
      <c r="A164" s="33">
        <v>1080080528</v>
      </c>
      <c r="B164" s="33">
        <v>0</v>
      </c>
      <c r="C164" s="34" t="s">
        <v>248</v>
      </c>
      <c r="D164" s="34" t="s">
        <v>244</v>
      </c>
      <c r="E164" s="34" t="s">
        <v>192</v>
      </c>
      <c r="F164" s="35">
        <v>46151</v>
      </c>
      <c r="G164" s="34" t="s">
        <v>45</v>
      </c>
      <c r="H164" s="36" t="str">
        <f>VLOOKUP(E164,'HC for display name '!$B:$D,2,0)</f>
        <v>Ibrahim Ahmed-Ghonimy</v>
      </c>
      <c r="I164" s="36" t="str">
        <f>VLOOKUP(E164,'HC for display name '!$B:$D,3,0)</f>
        <v>AbdElRahman Adel-ElKelany</v>
      </c>
      <c r="J164" s="36" t="str">
        <f t="shared" si="2"/>
        <v>D</v>
      </c>
    </row>
    <row r="165" spans="1:27" x14ac:dyDescent="0.25">
      <c r="A165" s="33">
        <v>1090009666</v>
      </c>
      <c r="B165" s="33">
        <v>10</v>
      </c>
      <c r="C165" s="34" t="s">
        <v>244</v>
      </c>
      <c r="D165" s="34" t="s">
        <v>245</v>
      </c>
      <c r="E165" s="34" t="s">
        <v>93</v>
      </c>
      <c r="F165" s="35">
        <v>46151</v>
      </c>
      <c r="G165" s="34" t="s">
        <v>45</v>
      </c>
      <c r="H165" s="36" t="str">
        <f>VLOOKUP(E165,'HC for display name '!$B:$D,2,0)</f>
        <v>Islam Gamal-Zakaria</v>
      </c>
      <c r="I165" s="36" t="str">
        <f>VLOOKUP(E165,'HC for display name '!$B:$D,3,0)</f>
        <v>Omar Emad-Mahmoud</v>
      </c>
      <c r="J165" s="36" t="str">
        <f t="shared" si="2"/>
        <v>P</v>
      </c>
      <c r="O165" s="17"/>
      <c r="P165" s="17"/>
      <c r="Q165" s="17"/>
      <c r="R165" s="18"/>
      <c r="S165" s="17"/>
      <c r="T165" s="19"/>
      <c r="U165" s="19"/>
      <c r="V165" s="17"/>
      <c r="W165" s="17"/>
      <c r="X165" s="17"/>
      <c r="Y165" s="17"/>
      <c r="Z165" s="17"/>
      <c r="AA165" s="17"/>
    </row>
    <row r="166" spans="1:27" x14ac:dyDescent="0.25">
      <c r="A166" s="33">
        <v>1090666680</v>
      </c>
      <c r="B166" s="33">
        <v>10</v>
      </c>
      <c r="C166" s="34" t="s">
        <v>244</v>
      </c>
      <c r="D166" s="34" t="s">
        <v>245</v>
      </c>
      <c r="E166" s="34" t="s">
        <v>93</v>
      </c>
      <c r="F166" s="35">
        <v>46151</v>
      </c>
      <c r="G166" s="34" t="s">
        <v>45</v>
      </c>
      <c r="H166" s="36" t="str">
        <f>VLOOKUP(E166,'HC for display name '!$B:$D,2,0)</f>
        <v>Islam Gamal-Zakaria</v>
      </c>
      <c r="I166" s="36" t="str">
        <f>VLOOKUP(E166,'HC for display name '!$B:$D,3,0)</f>
        <v>Omar Emad-Mahmoud</v>
      </c>
      <c r="J166" s="36" t="str">
        <f t="shared" si="2"/>
        <v>P</v>
      </c>
      <c r="O166" s="20"/>
      <c r="P166" s="20"/>
      <c r="Q166" s="20"/>
      <c r="R166" s="21"/>
      <c r="S166" s="20"/>
      <c r="T166" s="19"/>
      <c r="U166" s="19"/>
      <c r="V166" s="20"/>
      <c r="W166" s="20"/>
      <c r="X166" s="20"/>
      <c r="Y166" s="20"/>
      <c r="Z166" s="20"/>
      <c r="AA166" s="20"/>
    </row>
    <row r="167" spans="1:27" x14ac:dyDescent="0.25">
      <c r="A167" s="33">
        <v>1153143786</v>
      </c>
      <c r="B167" s="33">
        <v>8</v>
      </c>
      <c r="C167" s="34" t="s">
        <v>250</v>
      </c>
      <c r="D167" s="34" t="s">
        <v>245</v>
      </c>
      <c r="E167" s="34" t="s">
        <v>155</v>
      </c>
      <c r="F167" s="35">
        <v>46151</v>
      </c>
      <c r="G167" s="34" t="s">
        <v>45</v>
      </c>
      <c r="H167" s="36" t="str">
        <f>VLOOKUP(E167,'HC for display name '!$B:$D,2,0)</f>
        <v>Omnia Wageeh-ElAzab</v>
      </c>
      <c r="I167" s="36" t="str">
        <f>VLOOKUP(E167,'HC for display name '!$B:$D,3,0)</f>
        <v>Merna Ashraf-Ashrafy</v>
      </c>
      <c r="J167" s="36" t="str">
        <f t="shared" si="2"/>
        <v>N</v>
      </c>
      <c r="O167" s="17"/>
      <c r="P167" s="17"/>
      <c r="Q167" s="17"/>
      <c r="R167" s="18"/>
      <c r="S167" s="17"/>
      <c r="T167" s="19"/>
      <c r="U167" s="19"/>
      <c r="V167" s="17"/>
      <c r="W167" s="17"/>
      <c r="X167" s="17"/>
      <c r="Y167" s="17"/>
      <c r="Z167" s="17"/>
      <c r="AA167" s="17"/>
    </row>
    <row r="168" spans="1:27" x14ac:dyDescent="0.25">
      <c r="A168" s="33">
        <v>1000033147</v>
      </c>
      <c r="B168" s="33">
        <v>10</v>
      </c>
      <c r="C168" s="34" t="s">
        <v>244</v>
      </c>
      <c r="D168" s="34" t="s">
        <v>245</v>
      </c>
      <c r="E168" s="34" t="s">
        <v>158</v>
      </c>
      <c r="F168" s="35">
        <v>46152</v>
      </c>
      <c r="G168" s="34" t="s">
        <v>45</v>
      </c>
      <c r="H168" s="36" t="str">
        <f>VLOOKUP(E168,'HC for display name '!$B:$D,2,0)</f>
        <v>Tarek Ayman-Ahmed</v>
      </c>
      <c r="I168" s="36" t="str">
        <f>VLOOKUP(E168,'HC for display name '!$B:$D,3,0)</f>
        <v>AbdElRahman Adel-ElKelany</v>
      </c>
      <c r="J168" s="36" t="str">
        <f t="shared" si="2"/>
        <v>P</v>
      </c>
      <c r="O168" s="20"/>
      <c r="P168" s="20"/>
      <c r="Q168" s="20"/>
      <c r="R168" s="21"/>
      <c r="S168" s="20"/>
      <c r="T168" s="19"/>
      <c r="U168" s="19"/>
      <c r="V168" s="20"/>
      <c r="W168" s="20"/>
      <c r="X168" s="20"/>
      <c r="Y168" s="20"/>
      <c r="Z168" s="20"/>
      <c r="AA168" s="20"/>
    </row>
    <row r="169" spans="1:27" x14ac:dyDescent="0.25">
      <c r="A169" s="33">
        <v>1000877117</v>
      </c>
      <c r="B169" s="33">
        <v>10</v>
      </c>
      <c r="C169" s="34" t="s">
        <v>244</v>
      </c>
      <c r="D169" s="34" t="s">
        <v>245</v>
      </c>
      <c r="E169" s="34" t="s">
        <v>253</v>
      </c>
      <c r="F169" s="35">
        <v>46152</v>
      </c>
      <c r="G169" s="34" t="s">
        <v>45</v>
      </c>
      <c r="H169" s="36" t="str">
        <f>VLOOKUP(E169,'HC for display name '!$B:$D,2,0)</f>
        <v>Mohamed AbdElMohsen-Mahdy</v>
      </c>
      <c r="I169" s="36" t="str">
        <f>VLOOKUP(E169,'HC for display name '!$B:$D,3,0)</f>
        <v>AbdElRahman Adel-ElKelany</v>
      </c>
      <c r="J169" s="36" t="str">
        <f t="shared" si="2"/>
        <v>P</v>
      </c>
      <c r="O169" s="17"/>
      <c r="P169" s="17"/>
      <c r="Q169" s="17"/>
      <c r="R169" s="18"/>
      <c r="S169" s="17"/>
      <c r="T169" s="19"/>
      <c r="U169" s="19"/>
      <c r="V169" s="17"/>
      <c r="W169" s="17"/>
      <c r="X169" s="17"/>
      <c r="Y169" s="17"/>
      <c r="Z169" s="17"/>
      <c r="AA169" s="17"/>
    </row>
    <row r="170" spans="1:27" x14ac:dyDescent="0.25">
      <c r="A170" s="33">
        <v>1001073051</v>
      </c>
      <c r="B170" s="33">
        <v>10</v>
      </c>
      <c r="C170" s="34" t="s">
        <v>244</v>
      </c>
      <c r="D170" s="34" t="s">
        <v>245</v>
      </c>
      <c r="E170" s="34" t="s">
        <v>262</v>
      </c>
      <c r="F170" s="35">
        <v>46152</v>
      </c>
      <c r="G170" s="34" t="s">
        <v>45</v>
      </c>
      <c r="H170" s="36" t="str">
        <f>VLOOKUP(E170,'HC for display name '!$B:$D,2,0)</f>
        <v>Mohamed AbdElazim-Farag</v>
      </c>
      <c r="I170" s="36" t="str">
        <f>VLOOKUP(E170,'HC for display name '!$B:$D,3,0)</f>
        <v>Hend Yousry-AbdElRassoul</v>
      </c>
      <c r="J170" s="36" t="str">
        <f t="shared" si="2"/>
        <v>P</v>
      </c>
      <c r="O170" s="20"/>
      <c r="P170" s="20"/>
      <c r="Q170" s="20"/>
      <c r="R170" s="21"/>
      <c r="S170" s="20"/>
      <c r="T170" s="19"/>
      <c r="U170" s="19"/>
      <c r="V170" s="20"/>
      <c r="W170" s="20"/>
      <c r="X170" s="20"/>
      <c r="Y170" s="20"/>
      <c r="Z170" s="20"/>
      <c r="AA170" s="20"/>
    </row>
    <row r="171" spans="1:27" x14ac:dyDescent="0.25">
      <c r="A171" s="33">
        <v>1003250660</v>
      </c>
      <c r="B171" s="33">
        <v>0</v>
      </c>
      <c r="C171" s="34" t="s">
        <v>248</v>
      </c>
      <c r="D171" s="34" t="s">
        <v>244</v>
      </c>
      <c r="E171" s="34" t="s">
        <v>252</v>
      </c>
      <c r="F171" s="35">
        <v>46152</v>
      </c>
      <c r="G171" s="34" t="s">
        <v>45</v>
      </c>
      <c r="H171" s="36" t="str">
        <f>VLOOKUP(E171,'HC for display name '!$B:$D,2,0)</f>
        <v>Hassan Ramy-Hassan</v>
      </c>
      <c r="I171" s="36" t="str">
        <f>VLOOKUP(E171,'HC for display name '!$B:$D,3,0)</f>
        <v>Merna Ashraf-Ashrafy</v>
      </c>
      <c r="J171" s="36" t="str">
        <f t="shared" si="2"/>
        <v>D</v>
      </c>
      <c r="O171" s="17"/>
      <c r="P171" s="17"/>
      <c r="Q171" s="17"/>
      <c r="R171" s="18"/>
      <c r="S171" s="17"/>
      <c r="T171" s="19"/>
      <c r="U171" s="19"/>
      <c r="V171" s="17"/>
      <c r="W171" s="17"/>
      <c r="X171" s="17"/>
      <c r="Y171" s="17"/>
      <c r="Z171" s="17"/>
      <c r="AA171" s="17"/>
    </row>
    <row r="172" spans="1:27" x14ac:dyDescent="0.25">
      <c r="A172" s="33">
        <v>1003532624</v>
      </c>
      <c r="B172" s="33">
        <v>10</v>
      </c>
      <c r="C172" s="34" t="s">
        <v>244</v>
      </c>
      <c r="D172" s="34" t="s">
        <v>245</v>
      </c>
      <c r="E172" s="34" t="s">
        <v>251</v>
      </c>
      <c r="F172" s="35">
        <v>46152</v>
      </c>
      <c r="G172" s="34" t="s">
        <v>45</v>
      </c>
      <c r="H172" s="36" t="str">
        <f>VLOOKUP(E172,'HC for display name '!$B:$D,2,0)</f>
        <v>Ahmed Maged-Wahib</v>
      </c>
      <c r="I172" s="36" t="str">
        <f>VLOOKUP(E172,'HC for display name '!$B:$D,3,0)</f>
        <v>Hend Yousry-AbdElRassoul</v>
      </c>
      <c r="J172" s="36" t="str">
        <f t="shared" si="2"/>
        <v>P</v>
      </c>
      <c r="O172" s="20"/>
      <c r="P172" s="20"/>
      <c r="Q172" s="20"/>
      <c r="R172" s="21"/>
      <c r="S172" s="20"/>
      <c r="T172" s="19"/>
      <c r="U172" s="19"/>
      <c r="V172" s="20"/>
      <c r="W172" s="20"/>
      <c r="X172" s="20"/>
      <c r="Y172" s="20"/>
      <c r="Z172" s="20"/>
      <c r="AA172" s="20"/>
    </row>
    <row r="173" spans="1:27" x14ac:dyDescent="0.25">
      <c r="A173" s="33">
        <v>1004860144</v>
      </c>
      <c r="B173" s="33">
        <v>10</v>
      </c>
      <c r="C173" s="34" t="s">
        <v>250</v>
      </c>
      <c r="D173" s="34" t="s">
        <v>245</v>
      </c>
      <c r="E173" s="34" t="s">
        <v>158</v>
      </c>
      <c r="F173" s="35">
        <v>46152</v>
      </c>
      <c r="G173" s="34" t="s">
        <v>45</v>
      </c>
      <c r="H173" s="36" t="str">
        <f>VLOOKUP(E173,'HC for display name '!$B:$D,2,0)</f>
        <v>Tarek Ayman-Ahmed</v>
      </c>
      <c r="I173" s="36" t="str">
        <f>VLOOKUP(E173,'HC for display name '!$B:$D,3,0)</f>
        <v>AbdElRahman Adel-ElKelany</v>
      </c>
      <c r="J173" s="36" t="str">
        <f t="shared" si="2"/>
        <v>P</v>
      </c>
      <c r="O173" s="17"/>
      <c r="P173" s="17"/>
      <c r="Q173" s="17"/>
      <c r="R173" s="18"/>
      <c r="S173" s="17"/>
      <c r="T173" s="19"/>
      <c r="U173" s="19"/>
      <c r="V173" s="17"/>
      <c r="W173" s="17"/>
      <c r="X173" s="17"/>
      <c r="Y173" s="17"/>
      <c r="Z173" s="17"/>
      <c r="AA173" s="17"/>
    </row>
    <row r="174" spans="1:27" x14ac:dyDescent="0.25">
      <c r="A174" s="33">
        <v>1004915114</v>
      </c>
      <c r="B174" s="33">
        <v>10</v>
      </c>
      <c r="C174" s="34" t="s">
        <v>244</v>
      </c>
      <c r="D174" s="34" t="s">
        <v>245</v>
      </c>
      <c r="E174" s="34" t="s">
        <v>101</v>
      </c>
      <c r="F174" s="35">
        <v>46152</v>
      </c>
      <c r="G174" s="34" t="s">
        <v>45</v>
      </c>
      <c r="H174" s="36" t="str">
        <f>VLOOKUP(E174,'HC for display name '!$B:$D,2,0)</f>
        <v>Salma Taha-Ahmed</v>
      </c>
      <c r="I174" s="36" t="str">
        <f>VLOOKUP(E174,'HC for display name '!$B:$D,3,0)</f>
        <v>Merna Ashraf-Ashrafy</v>
      </c>
      <c r="J174" s="36" t="str">
        <f t="shared" si="2"/>
        <v>P</v>
      </c>
      <c r="O174" s="20"/>
      <c r="P174" s="20"/>
      <c r="Q174" s="20"/>
      <c r="R174" s="21"/>
      <c r="S174" s="20"/>
      <c r="T174" s="19"/>
      <c r="U174" s="19"/>
      <c r="V174" s="20"/>
      <c r="W174" s="20"/>
      <c r="X174" s="20"/>
      <c r="Y174" s="20"/>
      <c r="Z174" s="20"/>
      <c r="AA174" s="20"/>
    </row>
    <row r="175" spans="1:27" x14ac:dyDescent="0.25">
      <c r="A175" s="33">
        <v>1011091760</v>
      </c>
      <c r="B175" s="33">
        <v>10</v>
      </c>
      <c r="C175" s="34" t="s">
        <v>248</v>
      </c>
      <c r="D175" s="34" t="s">
        <v>245</v>
      </c>
      <c r="E175" s="34" t="s">
        <v>101</v>
      </c>
      <c r="F175" s="35">
        <v>46152</v>
      </c>
      <c r="G175" s="34" t="s">
        <v>45</v>
      </c>
      <c r="H175" s="36" t="str">
        <f>VLOOKUP(E175,'HC for display name '!$B:$D,2,0)</f>
        <v>Salma Taha-Ahmed</v>
      </c>
      <c r="I175" s="36" t="str">
        <f>VLOOKUP(E175,'HC for display name '!$B:$D,3,0)</f>
        <v>Merna Ashraf-Ashrafy</v>
      </c>
      <c r="J175" s="36" t="str">
        <f t="shared" si="2"/>
        <v>P</v>
      </c>
      <c r="O175" s="17"/>
      <c r="P175" s="17"/>
      <c r="Q175" s="17"/>
      <c r="R175" s="18"/>
      <c r="S175" s="17"/>
      <c r="T175" s="19"/>
      <c r="U175" s="19"/>
      <c r="V175" s="17"/>
      <c r="W175" s="17"/>
      <c r="X175" s="17"/>
      <c r="Y175" s="17"/>
      <c r="Z175" s="17"/>
      <c r="AA175" s="17"/>
    </row>
    <row r="176" spans="1:27" x14ac:dyDescent="0.25">
      <c r="A176" s="33">
        <v>1011112461</v>
      </c>
      <c r="B176" s="33">
        <v>10</v>
      </c>
      <c r="C176" s="34" t="s">
        <v>244</v>
      </c>
      <c r="D176" s="34" t="s">
        <v>245</v>
      </c>
      <c r="E176" s="34" t="s">
        <v>249</v>
      </c>
      <c r="F176" s="35">
        <v>46152</v>
      </c>
      <c r="G176" s="34" t="s">
        <v>45</v>
      </c>
      <c r="H176" s="36" t="str">
        <f>VLOOKUP(E176,'HC for display name '!$B:$D,2,0)</f>
        <v>Omar Mamdouh-AbdAllah</v>
      </c>
      <c r="I176" s="36" t="str">
        <f>VLOOKUP(E176,'HC for display name '!$B:$D,3,0)</f>
        <v>Hend Yousry-AbdElRassoul</v>
      </c>
      <c r="J176" s="36" t="str">
        <f t="shared" si="2"/>
        <v>P</v>
      </c>
      <c r="O176" s="20"/>
      <c r="P176" s="20"/>
      <c r="Q176" s="20"/>
      <c r="R176" s="21"/>
      <c r="S176" s="20"/>
      <c r="T176" s="19"/>
      <c r="U176" s="19"/>
      <c r="V176" s="20"/>
      <c r="W176" s="20"/>
      <c r="X176" s="20"/>
      <c r="Y176" s="20"/>
      <c r="Z176" s="20"/>
      <c r="AA176" s="20"/>
    </row>
    <row r="177" spans="1:27" x14ac:dyDescent="0.25">
      <c r="A177" s="33">
        <v>1016496127</v>
      </c>
      <c r="B177" s="33">
        <v>10</v>
      </c>
      <c r="C177" s="34" t="s">
        <v>250</v>
      </c>
      <c r="D177" s="34" t="s">
        <v>245</v>
      </c>
      <c r="E177" s="34" t="s">
        <v>155</v>
      </c>
      <c r="F177" s="35">
        <v>46152</v>
      </c>
      <c r="G177" s="34" t="s">
        <v>45</v>
      </c>
      <c r="H177" s="36" t="str">
        <f>VLOOKUP(E177,'HC for display name '!$B:$D,2,0)</f>
        <v>Omnia Wageeh-ElAzab</v>
      </c>
      <c r="I177" s="36" t="str">
        <f>VLOOKUP(E177,'HC for display name '!$B:$D,3,0)</f>
        <v>Merna Ashraf-Ashrafy</v>
      </c>
      <c r="J177" s="36" t="str">
        <f t="shared" si="2"/>
        <v>P</v>
      </c>
      <c r="O177" s="17"/>
      <c r="P177" s="17"/>
      <c r="Q177" s="17"/>
      <c r="R177" s="18"/>
      <c r="S177" s="17"/>
      <c r="T177" s="19"/>
      <c r="U177" s="19"/>
      <c r="V177" s="17"/>
      <c r="W177" s="17"/>
      <c r="X177" s="17"/>
      <c r="Y177" s="17"/>
      <c r="Z177" s="17"/>
      <c r="AA177" s="17"/>
    </row>
    <row r="178" spans="1:27" x14ac:dyDescent="0.25">
      <c r="A178" s="33">
        <v>1021456984</v>
      </c>
      <c r="B178" s="33">
        <v>10</v>
      </c>
      <c r="C178" s="34" t="s">
        <v>250</v>
      </c>
      <c r="D178" s="34" t="s">
        <v>245</v>
      </c>
      <c r="E178" s="34" t="s">
        <v>58</v>
      </c>
      <c r="F178" s="35">
        <v>46152</v>
      </c>
      <c r="G178" s="34" t="s">
        <v>45</v>
      </c>
      <c r="H178" s="36" t="str">
        <f>VLOOKUP(E178,'HC for display name '!$B:$D,2,0)</f>
        <v>Mohamed Ali-AbdElGelil</v>
      </c>
      <c r="I178" s="36" t="str">
        <f>VLOOKUP(E178,'HC for display name '!$B:$D,3,0)</f>
        <v>Omar Emad-Mahmoud</v>
      </c>
      <c r="J178" s="36" t="str">
        <f t="shared" si="2"/>
        <v>P</v>
      </c>
      <c r="O178" s="20"/>
      <c r="P178" s="20"/>
      <c r="Q178" s="20"/>
      <c r="R178" s="21"/>
      <c r="S178" s="20"/>
      <c r="T178" s="19"/>
      <c r="U178" s="19"/>
      <c r="V178" s="20"/>
      <c r="W178" s="20"/>
      <c r="X178" s="20"/>
      <c r="Y178" s="20"/>
      <c r="Z178" s="20"/>
      <c r="AA178" s="20"/>
    </row>
    <row r="179" spans="1:27" x14ac:dyDescent="0.25">
      <c r="A179" s="33">
        <v>1024307793</v>
      </c>
      <c r="B179" s="33">
        <v>10</v>
      </c>
      <c r="C179" s="34" t="s">
        <v>258</v>
      </c>
      <c r="D179" s="34" t="s">
        <v>245</v>
      </c>
      <c r="E179" s="34" t="s">
        <v>256</v>
      </c>
      <c r="F179" s="35">
        <v>46152</v>
      </c>
      <c r="G179" s="34" t="s">
        <v>45</v>
      </c>
      <c r="H179" s="36" t="str">
        <f>VLOOKUP(E179,'HC for display name '!$B:$D,2,0)</f>
        <v>Esraa Saad-Mahfod</v>
      </c>
      <c r="I179" s="36" t="str">
        <f>VLOOKUP(E179,'HC for display name '!$B:$D,3,0)</f>
        <v>Hend Yousry-AbdElRassoul</v>
      </c>
      <c r="J179" s="36" t="str">
        <f t="shared" si="2"/>
        <v>P</v>
      </c>
      <c r="O179" s="17"/>
      <c r="P179" s="17"/>
      <c r="Q179" s="17"/>
      <c r="R179" s="18"/>
      <c r="S179" s="17"/>
      <c r="T179" s="19"/>
      <c r="U179" s="19"/>
      <c r="V179" s="17"/>
      <c r="W179" s="17"/>
      <c r="X179" s="17"/>
      <c r="Y179" s="17"/>
      <c r="Z179" s="17"/>
      <c r="AA179" s="17"/>
    </row>
    <row r="180" spans="1:27" x14ac:dyDescent="0.25">
      <c r="A180" s="33">
        <v>1028202031</v>
      </c>
      <c r="B180" s="33">
        <v>8</v>
      </c>
      <c r="C180" s="34" t="s">
        <v>250</v>
      </c>
      <c r="D180" s="34" t="s">
        <v>245</v>
      </c>
      <c r="E180" s="34" t="s">
        <v>111</v>
      </c>
      <c r="F180" s="35">
        <v>46152</v>
      </c>
      <c r="G180" s="34" t="s">
        <v>45</v>
      </c>
      <c r="H180" s="36" t="str">
        <f>VLOOKUP(E180,'HC for display name '!$B:$D,2,0)</f>
        <v>Mohada Mohamed-Hamdy</v>
      </c>
      <c r="I180" s="36" t="str">
        <f>VLOOKUP(E180,'HC for display name '!$B:$D,3,0)</f>
        <v>Merna Ashraf-Ashrafy</v>
      </c>
      <c r="J180" s="36" t="str">
        <f t="shared" si="2"/>
        <v>N</v>
      </c>
      <c r="O180" s="20"/>
      <c r="P180" s="20"/>
      <c r="Q180" s="20"/>
      <c r="R180" s="21"/>
      <c r="S180" s="20"/>
      <c r="T180" s="19"/>
      <c r="U180" s="19"/>
      <c r="V180" s="20"/>
      <c r="W180" s="20"/>
      <c r="X180" s="20"/>
      <c r="Y180" s="20"/>
      <c r="Z180" s="20"/>
      <c r="AA180" s="20"/>
    </row>
    <row r="181" spans="1:27" x14ac:dyDescent="0.25">
      <c r="A181" s="33">
        <v>1032398029</v>
      </c>
      <c r="B181" s="33">
        <v>10</v>
      </c>
      <c r="C181" s="34" t="s">
        <v>244</v>
      </c>
      <c r="D181" s="34" t="s">
        <v>245</v>
      </c>
      <c r="E181" s="34" t="s">
        <v>137</v>
      </c>
      <c r="F181" s="35">
        <v>46152</v>
      </c>
      <c r="G181" s="34" t="s">
        <v>45</v>
      </c>
      <c r="H181" s="36" t="str">
        <f>VLOOKUP(E181,'HC for display name '!$B:$D,2,0)</f>
        <v>Yasmine Waleed-Mohamed</v>
      </c>
      <c r="I181" s="36" t="str">
        <f>VLOOKUP(E181,'HC for display name '!$B:$D,3,0)</f>
        <v>Merna Ashraf-Ashrafy</v>
      </c>
      <c r="J181" s="36" t="str">
        <f t="shared" si="2"/>
        <v>P</v>
      </c>
      <c r="O181" s="17"/>
      <c r="P181" s="17"/>
      <c r="Q181" s="17"/>
      <c r="R181" s="18"/>
      <c r="S181" s="17"/>
      <c r="T181" s="19"/>
      <c r="U181" s="19"/>
      <c r="V181" s="17"/>
      <c r="W181" s="17"/>
      <c r="X181" s="17"/>
      <c r="Y181" s="17"/>
      <c r="Z181" s="17"/>
      <c r="AA181" s="17"/>
    </row>
    <row r="182" spans="1:27" x14ac:dyDescent="0.25">
      <c r="A182" s="33">
        <v>1032463484</v>
      </c>
      <c r="B182" s="33">
        <v>0</v>
      </c>
      <c r="C182" s="34" t="s">
        <v>248</v>
      </c>
      <c r="D182" s="34" t="s">
        <v>244</v>
      </c>
      <c r="E182" s="34" t="s">
        <v>259</v>
      </c>
      <c r="F182" s="35">
        <v>46152</v>
      </c>
      <c r="G182" s="34" t="s">
        <v>45</v>
      </c>
      <c r="H182" s="36" t="str">
        <f>VLOOKUP(E182,'HC for display name '!$B:$D,2,0)</f>
        <v>Ahmed Fathy-Fathy</v>
      </c>
      <c r="I182" s="36" t="str">
        <f>VLOOKUP(E182,'HC for display name '!$B:$D,3,0)</f>
        <v>Omar Emad-Mahmoud</v>
      </c>
      <c r="J182" s="36" t="str">
        <f t="shared" si="2"/>
        <v>D</v>
      </c>
      <c r="O182" s="20"/>
      <c r="P182" s="20"/>
      <c r="Q182" s="20"/>
      <c r="R182" s="21"/>
      <c r="S182" s="20"/>
      <c r="T182" s="19"/>
      <c r="U182" s="19"/>
      <c r="V182" s="20"/>
      <c r="W182" s="20"/>
      <c r="X182" s="20"/>
      <c r="Y182" s="20"/>
      <c r="Z182" s="20"/>
      <c r="AA182" s="20"/>
    </row>
    <row r="183" spans="1:27" x14ac:dyDescent="0.25">
      <c r="A183" s="33">
        <v>1033591028</v>
      </c>
      <c r="B183" s="33">
        <v>1</v>
      </c>
      <c r="C183" s="34" t="s">
        <v>250</v>
      </c>
      <c r="D183" s="34" t="s">
        <v>245</v>
      </c>
      <c r="E183" s="34" t="s">
        <v>192</v>
      </c>
      <c r="F183" s="35">
        <v>46152</v>
      </c>
      <c r="G183" s="34" t="s">
        <v>45</v>
      </c>
      <c r="H183" s="36" t="str">
        <f>VLOOKUP(E183,'HC for display name '!$B:$D,2,0)</f>
        <v>Ibrahim Ahmed-Ghonimy</v>
      </c>
      <c r="I183" s="36" t="str">
        <f>VLOOKUP(E183,'HC for display name '!$B:$D,3,0)</f>
        <v>AbdElRahman Adel-ElKelany</v>
      </c>
      <c r="J183" s="36" t="str">
        <f t="shared" si="2"/>
        <v>D</v>
      </c>
      <c r="O183" s="17"/>
      <c r="P183" s="17"/>
      <c r="Q183" s="17"/>
      <c r="R183" s="18"/>
      <c r="S183" s="17"/>
      <c r="T183" s="19"/>
      <c r="U183" s="19"/>
      <c r="V183" s="17"/>
      <c r="W183" s="17"/>
      <c r="X183" s="17"/>
      <c r="Y183" s="17"/>
      <c r="Z183" s="17"/>
      <c r="AA183" s="17"/>
    </row>
    <row r="184" spans="1:27" x14ac:dyDescent="0.25">
      <c r="A184" s="33">
        <v>1035553544</v>
      </c>
      <c r="B184" s="33">
        <v>2</v>
      </c>
      <c r="C184" s="34" t="s">
        <v>250</v>
      </c>
      <c r="D184" s="34" t="s">
        <v>248</v>
      </c>
      <c r="E184" s="34" t="s">
        <v>122</v>
      </c>
      <c r="F184" s="35">
        <v>46152</v>
      </c>
      <c r="G184" s="34" t="s">
        <v>45</v>
      </c>
      <c r="H184" s="36" t="str">
        <f>VLOOKUP(E184,'HC for display name '!$B:$D,2,0)</f>
        <v>Nouran AbdAllah-Saeed</v>
      </c>
      <c r="I184" s="36" t="str">
        <f>VLOOKUP(E184,'HC for display name '!$B:$D,3,0)</f>
        <v>Merna Ashraf-Ashrafy</v>
      </c>
      <c r="J184" s="36" t="str">
        <f t="shared" si="2"/>
        <v>D</v>
      </c>
      <c r="O184" s="20"/>
      <c r="P184" s="20"/>
      <c r="Q184" s="20"/>
      <c r="R184" s="21"/>
      <c r="S184" s="20"/>
      <c r="T184" s="19"/>
      <c r="U184" s="19"/>
      <c r="V184" s="20"/>
      <c r="W184" s="20"/>
      <c r="X184" s="20"/>
      <c r="Y184" s="20"/>
      <c r="Z184" s="20"/>
      <c r="AA184" s="20"/>
    </row>
    <row r="185" spans="1:27" x14ac:dyDescent="0.25">
      <c r="A185" s="33">
        <v>1063201006</v>
      </c>
      <c r="B185" s="33">
        <v>10</v>
      </c>
      <c r="C185" s="34" t="s">
        <v>248</v>
      </c>
      <c r="D185" s="34" t="s">
        <v>250</v>
      </c>
      <c r="E185" s="34" t="s">
        <v>259</v>
      </c>
      <c r="F185" s="35">
        <v>46152</v>
      </c>
      <c r="G185" s="34" t="s">
        <v>45</v>
      </c>
      <c r="H185" s="36" t="str">
        <f>VLOOKUP(E185,'HC for display name '!$B:$D,2,0)</f>
        <v>Ahmed Fathy-Fathy</v>
      </c>
      <c r="I185" s="36" t="str">
        <f>VLOOKUP(E185,'HC for display name '!$B:$D,3,0)</f>
        <v>Omar Emad-Mahmoud</v>
      </c>
      <c r="J185" s="36" t="str">
        <f t="shared" si="2"/>
        <v>P</v>
      </c>
      <c r="O185" s="17"/>
      <c r="P185" s="17"/>
      <c r="Q185" s="17"/>
      <c r="R185" s="18"/>
      <c r="S185" s="17"/>
      <c r="T185" s="19"/>
      <c r="U185" s="19"/>
      <c r="V185" s="17"/>
      <c r="W185" s="17"/>
      <c r="X185" s="17"/>
      <c r="Y185" s="17"/>
      <c r="Z185" s="17"/>
      <c r="AA185" s="17"/>
    </row>
    <row r="186" spans="1:27" x14ac:dyDescent="0.25">
      <c r="A186" s="33">
        <v>1065337299</v>
      </c>
      <c r="B186" s="33">
        <v>5</v>
      </c>
      <c r="C186" s="34" t="s">
        <v>244</v>
      </c>
      <c r="D186" s="34" t="s">
        <v>245</v>
      </c>
      <c r="E186" s="34" t="s">
        <v>137</v>
      </c>
      <c r="F186" s="35">
        <v>46152</v>
      </c>
      <c r="G186" s="34" t="s">
        <v>45</v>
      </c>
      <c r="H186" s="36" t="str">
        <f>VLOOKUP(E186,'HC for display name '!$B:$D,2,0)</f>
        <v>Yasmine Waleed-Mohamed</v>
      </c>
      <c r="I186" s="36" t="str">
        <f>VLOOKUP(E186,'HC for display name '!$B:$D,3,0)</f>
        <v>Merna Ashraf-Ashrafy</v>
      </c>
      <c r="J186" s="36" t="str">
        <f t="shared" si="2"/>
        <v>D</v>
      </c>
      <c r="O186" s="20"/>
      <c r="P186" s="20"/>
      <c r="Q186" s="20"/>
      <c r="R186" s="21"/>
      <c r="S186" s="20"/>
      <c r="T186" s="19"/>
      <c r="U186" s="19"/>
      <c r="V186" s="20"/>
      <c r="W186" s="20"/>
      <c r="X186" s="20"/>
      <c r="Y186" s="20"/>
      <c r="Z186" s="20"/>
      <c r="AA186" s="20"/>
    </row>
    <row r="187" spans="1:27" x14ac:dyDescent="0.25">
      <c r="A187" s="33">
        <v>1066144146</v>
      </c>
      <c r="B187" s="33">
        <v>10</v>
      </c>
      <c r="C187" s="34" t="s">
        <v>250</v>
      </c>
      <c r="D187" s="34" t="s">
        <v>245</v>
      </c>
      <c r="E187" s="34" t="s">
        <v>111</v>
      </c>
      <c r="F187" s="35">
        <v>46152</v>
      </c>
      <c r="G187" s="34" t="s">
        <v>45</v>
      </c>
      <c r="H187" s="36" t="str">
        <f>VLOOKUP(E187,'HC for display name '!$B:$D,2,0)</f>
        <v>Mohada Mohamed-Hamdy</v>
      </c>
      <c r="I187" s="36" t="str">
        <f>VLOOKUP(E187,'HC for display name '!$B:$D,3,0)</f>
        <v>Merna Ashraf-Ashrafy</v>
      </c>
      <c r="J187" s="36" t="str">
        <f t="shared" si="2"/>
        <v>P</v>
      </c>
      <c r="O187" s="17"/>
      <c r="P187" s="17"/>
      <c r="Q187" s="17"/>
      <c r="R187" s="18"/>
      <c r="S187" s="17"/>
      <c r="T187" s="19"/>
      <c r="U187" s="19"/>
      <c r="V187" s="17"/>
      <c r="W187" s="17"/>
      <c r="X187" s="17"/>
      <c r="Y187" s="17"/>
      <c r="Z187" s="17"/>
      <c r="AA187" s="17"/>
    </row>
    <row r="188" spans="1:27" x14ac:dyDescent="0.25">
      <c r="A188" s="33">
        <v>1080489068</v>
      </c>
      <c r="B188" s="33">
        <v>0</v>
      </c>
      <c r="C188" s="34" t="s">
        <v>248</v>
      </c>
      <c r="D188" s="34" t="s">
        <v>244</v>
      </c>
      <c r="E188" s="34" t="s">
        <v>158</v>
      </c>
      <c r="F188" s="35">
        <v>46152</v>
      </c>
      <c r="G188" s="34" t="s">
        <v>45</v>
      </c>
      <c r="H188" s="36" t="str">
        <f>VLOOKUP(E188,'HC for display name '!$B:$D,2,0)</f>
        <v>Tarek Ayman-Ahmed</v>
      </c>
      <c r="I188" s="36" t="str">
        <f>VLOOKUP(E188,'HC for display name '!$B:$D,3,0)</f>
        <v>AbdElRahman Adel-ElKelany</v>
      </c>
      <c r="J188" s="36" t="str">
        <f t="shared" si="2"/>
        <v>D</v>
      </c>
      <c r="O188" s="20"/>
      <c r="P188" s="20"/>
      <c r="Q188" s="20"/>
      <c r="R188" s="21"/>
      <c r="S188" s="20"/>
      <c r="T188" s="19"/>
      <c r="U188" s="19"/>
      <c r="V188" s="20"/>
      <c r="W188" s="20"/>
      <c r="X188" s="20"/>
      <c r="Y188" s="20"/>
      <c r="Z188" s="20"/>
      <c r="AA188" s="20"/>
    </row>
    <row r="189" spans="1:27" x14ac:dyDescent="0.25">
      <c r="A189" s="33">
        <v>1094742149</v>
      </c>
      <c r="B189" s="33">
        <v>8</v>
      </c>
      <c r="C189" s="34" t="s">
        <v>244</v>
      </c>
      <c r="D189" s="34" t="s">
        <v>245</v>
      </c>
      <c r="E189" s="34" t="s">
        <v>249</v>
      </c>
      <c r="F189" s="35">
        <v>46152</v>
      </c>
      <c r="G189" s="34" t="s">
        <v>45</v>
      </c>
      <c r="H189" s="36" t="str">
        <f>VLOOKUP(E189,'HC for display name '!$B:$D,2,0)</f>
        <v>Omar Mamdouh-AbdAllah</v>
      </c>
      <c r="I189" s="36" t="str">
        <f>VLOOKUP(E189,'HC for display name '!$B:$D,3,0)</f>
        <v>Hend Yousry-AbdElRassoul</v>
      </c>
      <c r="J189" s="36" t="str">
        <f t="shared" si="2"/>
        <v>N</v>
      </c>
      <c r="O189" s="17"/>
      <c r="P189" s="17"/>
      <c r="Q189" s="17"/>
      <c r="R189" s="18"/>
      <c r="S189" s="17"/>
      <c r="T189" s="19"/>
      <c r="U189" s="19"/>
      <c r="V189" s="17"/>
      <c r="W189" s="17"/>
      <c r="X189" s="17"/>
      <c r="Y189" s="17"/>
      <c r="Z189" s="17"/>
      <c r="AA189" s="17"/>
    </row>
    <row r="190" spans="1:27" x14ac:dyDescent="0.25">
      <c r="A190" s="33">
        <v>1096712464</v>
      </c>
      <c r="B190" s="33">
        <v>10</v>
      </c>
      <c r="C190" s="34" t="s">
        <v>250</v>
      </c>
      <c r="D190" s="34" t="s">
        <v>245</v>
      </c>
      <c r="E190" s="34" t="s">
        <v>145</v>
      </c>
      <c r="F190" s="35">
        <v>46152</v>
      </c>
      <c r="G190" s="34" t="s">
        <v>45</v>
      </c>
      <c r="H190" s="36" t="str">
        <f>VLOOKUP(E190,'HC for display name '!$B:$D,2,0)</f>
        <v>Aya Ezzat-Mahmoud</v>
      </c>
      <c r="I190" s="36" t="str">
        <f>VLOOKUP(E190,'HC for display name '!$B:$D,3,0)</f>
        <v>Merna Ashraf-Ashrafy</v>
      </c>
      <c r="J190" s="36" t="str">
        <f t="shared" si="2"/>
        <v>P</v>
      </c>
      <c r="O190" s="20"/>
      <c r="P190" s="20"/>
      <c r="Q190" s="20"/>
      <c r="R190" s="21"/>
      <c r="S190" s="20"/>
      <c r="T190" s="19"/>
      <c r="U190" s="19"/>
      <c r="V190" s="20"/>
      <c r="W190" s="20"/>
      <c r="X190" s="20"/>
      <c r="Y190" s="20"/>
      <c r="Z190" s="20"/>
      <c r="AA190" s="20"/>
    </row>
    <row r="191" spans="1:27" x14ac:dyDescent="0.25">
      <c r="A191" s="33">
        <v>1096883066</v>
      </c>
      <c r="B191" s="33">
        <v>0</v>
      </c>
      <c r="C191" s="34" t="s">
        <v>248</v>
      </c>
      <c r="D191" s="34" t="s">
        <v>245</v>
      </c>
      <c r="E191" s="34" t="s">
        <v>209</v>
      </c>
      <c r="F191" s="35">
        <v>46152</v>
      </c>
      <c r="G191" s="34" t="s">
        <v>45</v>
      </c>
      <c r="H191" s="36" t="str">
        <f>VLOOKUP(E191,'HC for display name '!$B:$D,2,0)</f>
        <v>Aya Mohamed-Hassan</v>
      </c>
      <c r="I191" s="36" t="str">
        <f>VLOOKUP(E191,'HC for display name '!$B:$D,3,0)</f>
        <v>Merna Ashraf-Ashrafy</v>
      </c>
      <c r="J191" s="36" t="str">
        <f t="shared" si="2"/>
        <v>D</v>
      </c>
      <c r="O191" s="17"/>
      <c r="P191" s="17"/>
      <c r="Q191" s="17"/>
      <c r="R191" s="18"/>
      <c r="S191" s="17"/>
      <c r="T191" s="19"/>
      <c r="U191" s="19"/>
      <c r="V191" s="17"/>
      <c r="W191" s="17"/>
      <c r="X191" s="17"/>
      <c r="Y191" s="17"/>
      <c r="Z191" s="17"/>
      <c r="AA191" s="17"/>
    </row>
    <row r="192" spans="1:27" x14ac:dyDescent="0.25">
      <c r="A192" s="33">
        <v>1097979783</v>
      </c>
      <c r="B192" s="33">
        <v>10</v>
      </c>
      <c r="C192" s="34" t="s">
        <v>258</v>
      </c>
      <c r="D192" s="34" t="s">
        <v>245</v>
      </c>
      <c r="E192" s="34" t="s">
        <v>137</v>
      </c>
      <c r="F192" s="35">
        <v>46152</v>
      </c>
      <c r="G192" s="34" t="s">
        <v>45</v>
      </c>
      <c r="H192" s="36" t="str">
        <f>VLOOKUP(E192,'HC for display name '!$B:$D,2,0)</f>
        <v>Yasmine Waleed-Mohamed</v>
      </c>
      <c r="I192" s="36" t="str">
        <f>VLOOKUP(E192,'HC for display name '!$B:$D,3,0)</f>
        <v>Merna Ashraf-Ashrafy</v>
      </c>
      <c r="J192" s="36" t="str">
        <f t="shared" si="2"/>
        <v>P</v>
      </c>
      <c r="O192" s="20"/>
      <c r="P192" s="20"/>
      <c r="Q192" s="20"/>
      <c r="R192" s="21"/>
      <c r="S192" s="20"/>
      <c r="T192" s="19"/>
      <c r="U192" s="19"/>
      <c r="V192" s="20"/>
      <c r="W192" s="20"/>
      <c r="X192" s="20"/>
      <c r="Y192" s="20"/>
      <c r="Z192" s="20"/>
      <c r="AA192" s="20"/>
    </row>
    <row r="193" spans="1:28" x14ac:dyDescent="0.25">
      <c r="A193" s="33">
        <v>1099594136</v>
      </c>
      <c r="B193" s="33">
        <v>10</v>
      </c>
      <c r="C193" s="34" t="s">
        <v>250</v>
      </c>
      <c r="D193" s="34" t="s">
        <v>245</v>
      </c>
      <c r="E193" s="34" t="s">
        <v>256</v>
      </c>
      <c r="F193" s="35">
        <v>46152</v>
      </c>
      <c r="G193" s="34" t="s">
        <v>45</v>
      </c>
      <c r="H193" s="36" t="str">
        <f>VLOOKUP(E193,'HC for display name '!$B:$D,2,0)</f>
        <v>Esraa Saad-Mahfod</v>
      </c>
      <c r="I193" s="36" t="str">
        <f>VLOOKUP(E193,'HC for display name '!$B:$D,3,0)</f>
        <v>Hend Yousry-AbdElRassoul</v>
      </c>
      <c r="J193" s="36" t="str">
        <f t="shared" si="2"/>
        <v>P</v>
      </c>
    </row>
    <row r="194" spans="1:28" x14ac:dyDescent="0.25">
      <c r="A194" s="33">
        <v>1099923455</v>
      </c>
      <c r="B194" s="33">
        <v>9</v>
      </c>
      <c r="C194" s="34" t="s">
        <v>244</v>
      </c>
      <c r="D194" s="34" t="s">
        <v>245</v>
      </c>
      <c r="E194" s="34" t="s">
        <v>256</v>
      </c>
      <c r="F194" s="35">
        <v>46152</v>
      </c>
      <c r="G194" s="34" t="s">
        <v>45</v>
      </c>
      <c r="H194" s="36" t="str">
        <f>VLOOKUP(E194,'HC for display name '!$B:$D,2,0)</f>
        <v>Esraa Saad-Mahfod</v>
      </c>
      <c r="I194" s="36" t="str">
        <f>VLOOKUP(E194,'HC for display name '!$B:$D,3,0)</f>
        <v>Hend Yousry-AbdElRassoul</v>
      </c>
      <c r="J194" s="36" t="str">
        <f t="shared" si="2"/>
        <v>P</v>
      </c>
      <c r="N194" s="17"/>
      <c r="O194" s="17"/>
      <c r="P194" s="17"/>
      <c r="Q194" s="17"/>
      <c r="R194" s="18"/>
      <c r="T194" s="19"/>
      <c r="U194" s="19"/>
      <c r="Y194" s="17"/>
      <c r="Z194" s="17"/>
      <c r="AA194" s="17"/>
      <c r="AB194" s="17"/>
    </row>
    <row r="195" spans="1:28" x14ac:dyDescent="0.25">
      <c r="A195" s="33">
        <v>1001273833</v>
      </c>
      <c r="B195" s="33">
        <v>10</v>
      </c>
      <c r="C195" s="34" t="s">
        <v>250</v>
      </c>
      <c r="D195" s="34" t="s">
        <v>245</v>
      </c>
      <c r="E195" s="34" t="s">
        <v>111</v>
      </c>
      <c r="F195" s="35">
        <v>46153</v>
      </c>
      <c r="G195" s="34" t="s">
        <v>45</v>
      </c>
      <c r="H195" s="36" t="str">
        <f>VLOOKUP(E195,'HC for display name '!$B:$D,2,0)</f>
        <v>Mohada Mohamed-Hamdy</v>
      </c>
      <c r="I195" s="36" t="str">
        <f>VLOOKUP(E195,'HC for display name '!$B:$D,3,0)</f>
        <v>Merna Ashraf-Ashrafy</v>
      </c>
      <c r="J195" s="36" t="str">
        <f t="shared" ref="J195:J221" si="3">VLOOKUP(B195,$T$3:$U$13,2,0)</f>
        <v>P</v>
      </c>
      <c r="N195" s="20"/>
      <c r="O195" s="20"/>
      <c r="P195" s="20"/>
      <c r="Q195" s="20"/>
      <c r="R195" s="21"/>
      <c r="T195" s="19"/>
      <c r="U195" s="19"/>
      <c r="Y195" s="20"/>
      <c r="Z195" s="20"/>
      <c r="AA195" s="20"/>
      <c r="AB195" s="20"/>
    </row>
    <row r="196" spans="1:28" x14ac:dyDescent="0.25">
      <c r="A196" s="33">
        <v>1002283588</v>
      </c>
      <c r="B196" s="33">
        <v>10</v>
      </c>
      <c r="C196" s="34" t="s">
        <v>244</v>
      </c>
      <c r="D196" s="34" t="s">
        <v>245</v>
      </c>
      <c r="E196" s="34" t="s">
        <v>263</v>
      </c>
      <c r="F196" s="35">
        <v>46153</v>
      </c>
      <c r="G196" s="34" t="s">
        <v>45</v>
      </c>
      <c r="H196" s="36" t="str">
        <f>VLOOKUP(E196,'HC for display name '!$B:$D,2,0)</f>
        <v>Yara Hussein-Mofleh</v>
      </c>
      <c r="I196" s="36" t="str">
        <f>VLOOKUP(E196,'HC for display name '!$B:$D,3,0)</f>
        <v>Hend Yousry-AbdElRassoul</v>
      </c>
      <c r="J196" s="36" t="str">
        <f t="shared" si="3"/>
        <v>P</v>
      </c>
      <c r="N196" s="17"/>
      <c r="O196" s="17"/>
      <c r="P196" s="17"/>
      <c r="Q196" s="17"/>
      <c r="R196" s="18"/>
      <c r="T196" s="19"/>
      <c r="U196" s="19"/>
      <c r="Y196" s="17"/>
      <c r="Z196" s="17"/>
      <c r="AA196" s="17"/>
      <c r="AB196" s="17"/>
    </row>
    <row r="197" spans="1:28" x14ac:dyDescent="0.25">
      <c r="A197" s="33">
        <v>1005526999</v>
      </c>
      <c r="B197" s="33">
        <v>7</v>
      </c>
      <c r="C197" s="34" t="s">
        <v>250</v>
      </c>
      <c r="D197" s="34" t="s">
        <v>245</v>
      </c>
      <c r="E197" s="34" t="s">
        <v>111</v>
      </c>
      <c r="F197" s="35">
        <v>46153</v>
      </c>
      <c r="G197" s="34" t="s">
        <v>45</v>
      </c>
      <c r="H197" s="36" t="str">
        <f>VLOOKUP(E197,'HC for display name '!$B:$D,2,0)</f>
        <v>Mohada Mohamed-Hamdy</v>
      </c>
      <c r="I197" s="36" t="str">
        <f>VLOOKUP(E197,'HC for display name '!$B:$D,3,0)</f>
        <v>Merna Ashraf-Ashrafy</v>
      </c>
      <c r="J197" s="36" t="str">
        <f t="shared" si="3"/>
        <v>N</v>
      </c>
      <c r="N197" s="20"/>
      <c r="O197" s="20"/>
      <c r="P197" s="20"/>
      <c r="Q197" s="20"/>
      <c r="R197" s="21"/>
      <c r="T197" s="19"/>
      <c r="U197" s="19"/>
      <c r="Y197" s="20"/>
      <c r="Z197" s="20"/>
      <c r="AA197" s="20"/>
      <c r="AB197" s="20"/>
    </row>
    <row r="198" spans="1:28" x14ac:dyDescent="0.25">
      <c r="A198" s="33">
        <v>1006474198</v>
      </c>
      <c r="B198" s="33">
        <v>8</v>
      </c>
      <c r="C198" s="34" t="s">
        <v>250</v>
      </c>
      <c r="D198" s="34" t="s">
        <v>248</v>
      </c>
      <c r="E198" s="34" t="s">
        <v>137</v>
      </c>
      <c r="F198" s="35">
        <v>46153</v>
      </c>
      <c r="G198" s="34" t="s">
        <v>45</v>
      </c>
      <c r="H198" s="36" t="str">
        <f>VLOOKUP(E198,'HC for display name '!$B:$D,2,0)</f>
        <v>Yasmine Waleed-Mohamed</v>
      </c>
      <c r="I198" s="36" t="str">
        <f>VLOOKUP(E198,'HC for display name '!$B:$D,3,0)</f>
        <v>Merna Ashraf-Ashrafy</v>
      </c>
      <c r="J198" s="36" t="str">
        <f t="shared" si="3"/>
        <v>N</v>
      </c>
      <c r="N198" s="17"/>
      <c r="O198" s="17"/>
      <c r="P198" s="17"/>
      <c r="Q198" s="17"/>
      <c r="R198" s="18"/>
      <c r="T198" s="19"/>
      <c r="U198" s="19"/>
      <c r="Y198" s="17"/>
      <c r="Z198" s="17"/>
      <c r="AA198" s="17"/>
      <c r="AB198" s="17"/>
    </row>
    <row r="199" spans="1:28" x14ac:dyDescent="0.25">
      <c r="A199" s="33">
        <v>1011187910</v>
      </c>
      <c r="B199" s="33">
        <v>10</v>
      </c>
      <c r="C199" s="34" t="s">
        <v>244</v>
      </c>
      <c r="D199" s="34" t="s">
        <v>245</v>
      </c>
      <c r="E199" s="34" t="s">
        <v>169</v>
      </c>
      <c r="F199" s="35">
        <v>46153</v>
      </c>
      <c r="G199" s="34" t="s">
        <v>45</v>
      </c>
      <c r="H199" s="36" t="str">
        <f>VLOOKUP(E199,'HC for display name '!$B:$D,2,0)</f>
        <v>AbdElRhman Hesham-AbdElFadeel</v>
      </c>
      <c r="I199" s="36" t="str">
        <f>VLOOKUP(E199,'HC for display name '!$B:$D,3,0)</f>
        <v>AbdElRahman Adel-ElKelany</v>
      </c>
      <c r="J199" s="36" t="str">
        <f t="shared" si="3"/>
        <v>P</v>
      </c>
      <c r="N199" s="20"/>
      <c r="O199" s="20"/>
      <c r="P199" s="20"/>
      <c r="Q199" s="20"/>
      <c r="R199" s="21"/>
      <c r="T199" s="19"/>
      <c r="U199" s="19"/>
      <c r="Y199" s="20"/>
      <c r="Z199" s="20"/>
      <c r="AA199" s="20"/>
      <c r="AB199" s="20"/>
    </row>
    <row r="200" spans="1:28" x14ac:dyDescent="0.25">
      <c r="A200" s="33">
        <v>1012594282</v>
      </c>
      <c r="B200" s="33">
        <v>5</v>
      </c>
      <c r="C200" s="34" t="s">
        <v>248</v>
      </c>
      <c r="D200" s="34" t="s">
        <v>248</v>
      </c>
      <c r="E200" s="34" t="s">
        <v>137</v>
      </c>
      <c r="F200" s="35">
        <v>46153</v>
      </c>
      <c r="G200" s="34" t="s">
        <v>45</v>
      </c>
      <c r="H200" s="36" t="str">
        <f>VLOOKUP(E200,'HC for display name '!$B:$D,2,0)</f>
        <v>Yasmine Waleed-Mohamed</v>
      </c>
      <c r="I200" s="36" t="str">
        <f>VLOOKUP(E200,'HC for display name '!$B:$D,3,0)</f>
        <v>Merna Ashraf-Ashrafy</v>
      </c>
      <c r="J200" s="36" t="str">
        <f t="shared" si="3"/>
        <v>D</v>
      </c>
      <c r="N200" s="17"/>
      <c r="O200" s="17"/>
      <c r="P200" s="17"/>
      <c r="Q200" s="17"/>
      <c r="R200" s="18"/>
      <c r="T200" s="19"/>
      <c r="U200" s="19"/>
      <c r="Y200" s="17"/>
      <c r="Z200" s="17"/>
      <c r="AA200" s="17"/>
      <c r="AB200" s="17"/>
    </row>
    <row r="201" spans="1:28" x14ac:dyDescent="0.25">
      <c r="A201" s="33">
        <v>1013057279</v>
      </c>
      <c r="B201" s="33">
        <v>8</v>
      </c>
      <c r="C201" s="34" t="s">
        <v>248</v>
      </c>
      <c r="D201" s="34" t="s">
        <v>250</v>
      </c>
      <c r="E201" s="34" t="s">
        <v>259</v>
      </c>
      <c r="F201" s="35">
        <v>46153</v>
      </c>
      <c r="G201" s="34" t="s">
        <v>45</v>
      </c>
      <c r="H201" s="36" t="str">
        <f>VLOOKUP(E201,'HC for display name '!$B:$D,2,0)</f>
        <v>Ahmed Fathy-Fathy</v>
      </c>
      <c r="I201" s="36" t="str">
        <f>VLOOKUP(E201,'HC for display name '!$B:$D,3,0)</f>
        <v>Omar Emad-Mahmoud</v>
      </c>
      <c r="J201" s="36" t="str">
        <f t="shared" si="3"/>
        <v>N</v>
      </c>
      <c r="N201" s="20"/>
      <c r="O201" s="20"/>
      <c r="P201" s="20"/>
      <c r="Q201" s="20"/>
      <c r="R201" s="21"/>
      <c r="T201" s="19"/>
      <c r="U201" s="19"/>
      <c r="Y201" s="20"/>
      <c r="Z201" s="20"/>
      <c r="AA201" s="20"/>
      <c r="AB201" s="20"/>
    </row>
    <row r="202" spans="1:28" x14ac:dyDescent="0.25">
      <c r="A202" s="33">
        <v>1013260517</v>
      </c>
      <c r="B202" s="33">
        <v>1</v>
      </c>
      <c r="C202" s="34" t="s">
        <v>244</v>
      </c>
      <c r="D202" s="34" t="s">
        <v>245</v>
      </c>
      <c r="E202" s="34" t="s">
        <v>259</v>
      </c>
      <c r="F202" s="35">
        <v>46153</v>
      </c>
      <c r="G202" s="34" t="s">
        <v>45</v>
      </c>
      <c r="H202" s="36" t="str">
        <f>VLOOKUP(E202,'HC for display name '!$B:$D,2,0)</f>
        <v>Ahmed Fathy-Fathy</v>
      </c>
      <c r="I202" s="36" t="str">
        <f>VLOOKUP(E202,'HC for display name '!$B:$D,3,0)</f>
        <v>Omar Emad-Mahmoud</v>
      </c>
      <c r="J202" s="36" t="str">
        <f t="shared" si="3"/>
        <v>D</v>
      </c>
      <c r="N202" s="17"/>
      <c r="O202" s="17"/>
      <c r="P202" s="17"/>
      <c r="Q202" s="17"/>
      <c r="R202" s="18"/>
      <c r="T202" s="19"/>
      <c r="U202" s="19"/>
      <c r="Y202" s="17"/>
      <c r="Z202" s="17"/>
      <c r="AA202" s="17"/>
      <c r="AB202" s="17"/>
    </row>
    <row r="203" spans="1:28" x14ac:dyDescent="0.25">
      <c r="A203" s="33">
        <v>1017188877</v>
      </c>
      <c r="B203" s="33">
        <v>10</v>
      </c>
      <c r="C203" s="34" t="s">
        <v>244</v>
      </c>
      <c r="D203" s="34" t="s">
        <v>245</v>
      </c>
      <c r="E203" s="34" t="s">
        <v>249</v>
      </c>
      <c r="F203" s="35">
        <v>46153</v>
      </c>
      <c r="G203" s="34" t="s">
        <v>45</v>
      </c>
      <c r="H203" s="36" t="str">
        <f>VLOOKUP(E203,'HC for display name '!$B:$D,2,0)</f>
        <v>Omar Mamdouh-AbdAllah</v>
      </c>
      <c r="I203" s="36" t="str">
        <f>VLOOKUP(E203,'HC for display name '!$B:$D,3,0)</f>
        <v>Hend Yousry-AbdElRassoul</v>
      </c>
      <c r="J203" s="36" t="str">
        <f t="shared" si="3"/>
        <v>P</v>
      </c>
      <c r="N203" s="20"/>
      <c r="O203" s="20"/>
      <c r="P203" s="20"/>
      <c r="Q203" s="20"/>
      <c r="R203" s="21"/>
      <c r="T203" s="19"/>
      <c r="U203" s="19"/>
      <c r="Y203" s="20"/>
      <c r="Z203" s="20"/>
      <c r="AA203" s="20"/>
      <c r="AB203" s="20"/>
    </row>
    <row r="204" spans="1:28" x14ac:dyDescent="0.25">
      <c r="A204" s="33">
        <v>1026030501</v>
      </c>
      <c r="B204" s="33">
        <v>10</v>
      </c>
      <c r="C204" s="34" t="s">
        <v>244</v>
      </c>
      <c r="D204" s="34" t="s">
        <v>245</v>
      </c>
      <c r="E204" s="34" t="s">
        <v>249</v>
      </c>
      <c r="F204" s="35">
        <v>46153</v>
      </c>
      <c r="G204" s="34" t="s">
        <v>45</v>
      </c>
      <c r="H204" s="36" t="str">
        <f>VLOOKUP(E204,'HC for display name '!$B:$D,2,0)</f>
        <v>Omar Mamdouh-AbdAllah</v>
      </c>
      <c r="I204" s="36" t="str">
        <f>VLOOKUP(E204,'HC for display name '!$B:$D,3,0)</f>
        <v>Hend Yousry-AbdElRassoul</v>
      </c>
      <c r="J204" s="36" t="str">
        <f t="shared" si="3"/>
        <v>P</v>
      </c>
      <c r="N204" s="17"/>
      <c r="O204" s="17"/>
      <c r="P204" s="17"/>
      <c r="Q204" s="17"/>
      <c r="R204" s="18"/>
      <c r="T204" s="19"/>
      <c r="U204" s="19"/>
      <c r="Y204" s="17"/>
      <c r="Z204" s="17"/>
      <c r="AA204" s="17"/>
      <c r="AB204" s="17"/>
    </row>
    <row r="205" spans="1:28" x14ac:dyDescent="0.25">
      <c r="A205" s="33">
        <v>1026610189</v>
      </c>
      <c r="B205" s="33">
        <v>10</v>
      </c>
      <c r="C205" s="34" t="s">
        <v>250</v>
      </c>
      <c r="D205" s="34" t="s">
        <v>258</v>
      </c>
      <c r="E205" s="34" t="s">
        <v>263</v>
      </c>
      <c r="F205" s="35">
        <v>46153</v>
      </c>
      <c r="G205" s="34" t="s">
        <v>45</v>
      </c>
      <c r="H205" s="36" t="str">
        <f>VLOOKUP(E205,'HC for display name '!$B:$D,2,0)</f>
        <v>Yara Hussein-Mofleh</v>
      </c>
      <c r="I205" s="36" t="str">
        <f>VLOOKUP(E205,'HC for display name '!$B:$D,3,0)</f>
        <v>Hend Yousry-AbdElRassoul</v>
      </c>
      <c r="J205" s="36" t="str">
        <f t="shared" si="3"/>
        <v>P</v>
      </c>
      <c r="N205" s="20"/>
      <c r="O205" s="20"/>
      <c r="P205" s="20"/>
      <c r="Q205" s="20"/>
      <c r="R205" s="21"/>
      <c r="T205" s="19"/>
      <c r="U205" s="19"/>
      <c r="Y205" s="20"/>
      <c r="Z205" s="20"/>
      <c r="AA205" s="20"/>
      <c r="AB205" s="20"/>
    </row>
    <row r="206" spans="1:28" x14ac:dyDescent="0.25">
      <c r="A206" s="33">
        <v>1031343433</v>
      </c>
      <c r="B206" s="33">
        <v>10</v>
      </c>
      <c r="C206" s="34" t="s">
        <v>244</v>
      </c>
      <c r="D206" s="34" t="s">
        <v>245</v>
      </c>
      <c r="E206" s="34" t="s">
        <v>90</v>
      </c>
      <c r="F206" s="35">
        <v>46153</v>
      </c>
      <c r="G206" s="34" t="s">
        <v>45</v>
      </c>
      <c r="H206" s="36" t="str">
        <f>VLOOKUP(E206,'HC for display name '!$B:$D,2,0)</f>
        <v>Hatem Ibrahim-Ahmed</v>
      </c>
      <c r="I206" s="36" t="str">
        <f>VLOOKUP(E206,'HC for display name '!$B:$D,3,0)</f>
        <v>Omar Emad-Mahmoud</v>
      </c>
      <c r="J206" s="36" t="str">
        <f t="shared" si="3"/>
        <v>P</v>
      </c>
      <c r="N206" s="17"/>
      <c r="O206" s="17"/>
      <c r="P206" s="17"/>
      <c r="Q206" s="17"/>
      <c r="R206" s="18"/>
      <c r="T206" s="19"/>
      <c r="U206" s="19"/>
      <c r="Y206" s="17"/>
      <c r="Z206" s="17"/>
      <c r="AA206" s="17"/>
      <c r="AB206" s="17"/>
    </row>
    <row r="207" spans="1:28" x14ac:dyDescent="0.25">
      <c r="A207" s="33">
        <v>1032765542</v>
      </c>
      <c r="B207" s="33">
        <v>10</v>
      </c>
      <c r="C207" s="34" t="s">
        <v>244</v>
      </c>
      <c r="D207" s="34" t="s">
        <v>245</v>
      </c>
      <c r="E207" s="34" t="s">
        <v>155</v>
      </c>
      <c r="F207" s="35">
        <v>46153</v>
      </c>
      <c r="G207" s="34" t="s">
        <v>45</v>
      </c>
      <c r="H207" s="36" t="str">
        <f>VLOOKUP(E207,'HC for display name '!$B:$D,2,0)</f>
        <v>Omnia Wageeh-ElAzab</v>
      </c>
      <c r="I207" s="36" t="str">
        <f>VLOOKUP(E207,'HC for display name '!$B:$D,3,0)</f>
        <v>Merna Ashraf-Ashrafy</v>
      </c>
      <c r="J207" s="36" t="str">
        <f t="shared" si="3"/>
        <v>P</v>
      </c>
      <c r="N207" s="20"/>
      <c r="O207" s="20"/>
      <c r="P207" s="20"/>
      <c r="Q207" s="20"/>
      <c r="R207" s="21"/>
      <c r="T207" s="19"/>
      <c r="U207" s="19"/>
      <c r="Y207" s="20"/>
      <c r="Z207" s="20"/>
      <c r="AA207" s="20"/>
      <c r="AB207" s="20"/>
    </row>
    <row r="208" spans="1:28" x14ac:dyDescent="0.25">
      <c r="A208" s="33">
        <v>1036682366</v>
      </c>
      <c r="B208" s="33">
        <v>10</v>
      </c>
      <c r="C208" s="34" t="s">
        <v>244</v>
      </c>
      <c r="D208" s="34" t="s">
        <v>245</v>
      </c>
      <c r="E208" s="34" t="s">
        <v>260</v>
      </c>
      <c r="F208" s="35">
        <v>46153</v>
      </c>
      <c r="G208" s="34" t="s">
        <v>45</v>
      </c>
      <c r="H208" s="36" t="str">
        <f>VLOOKUP(E208,'HC for display name '!$B:$D,2,0)</f>
        <v>Mohamed Khaled-Khattab</v>
      </c>
      <c r="I208" s="36" t="str">
        <f>VLOOKUP(E208,'HC for display name '!$B:$D,3,0)</f>
        <v>Hend Yousry-AbdElRassoul</v>
      </c>
      <c r="J208" s="36" t="str">
        <f t="shared" si="3"/>
        <v>P</v>
      </c>
      <c r="N208" s="17"/>
      <c r="O208" s="17"/>
      <c r="P208" s="17"/>
      <c r="Q208" s="17"/>
      <c r="R208" s="18"/>
      <c r="T208" s="19"/>
      <c r="U208" s="19"/>
      <c r="Y208" s="17"/>
      <c r="Z208" s="17"/>
      <c r="AA208" s="17"/>
      <c r="AB208" s="17"/>
    </row>
    <row r="209" spans="1:28" x14ac:dyDescent="0.25">
      <c r="A209" s="33">
        <v>1044440598</v>
      </c>
      <c r="B209" s="33">
        <v>0</v>
      </c>
      <c r="C209" s="34" t="s">
        <v>248</v>
      </c>
      <c r="D209" s="34" t="s">
        <v>244</v>
      </c>
      <c r="E209" s="34" t="s">
        <v>249</v>
      </c>
      <c r="F209" s="35">
        <v>46153</v>
      </c>
      <c r="G209" s="34" t="s">
        <v>45</v>
      </c>
      <c r="H209" s="36" t="str">
        <f>VLOOKUP(E209,'HC for display name '!$B:$D,2,0)</f>
        <v>Omar Mamdouh-AbdAllah</v>
      </c>
      <c r="I209" s="36" t="str">
        <f>VLOOKUP(E209,'HC for display name '!$B:$D,3,0)</f>
        <v>Hend Yousry-AbdElRassoul</v>
      </c>
      <c r="J209" s="36" t="str">
        <f t="shared" si="3"/>
        <v>D</v>
      </c>
      <c r="N209" s="20"/>
      <c r="O209" s="20"/>
      <c r="P209" s="20"/>
      <c r="Q209" s="20"/>
      <c r="R209" s="21"/>
      <c r="T209" s="19"/>
      <c r="U209" s="19"/>
      <c r="Y209" s="20"/>
      <c r="Z209" s="20"/>
      <c r="AA209" s="20"/>
      <c r="AB209" s="20"/>
    </row>
    <row r="210" spans="1:28" x14ac:dyDescent="0.25">
      <c r="A210" s="33">
        <v>1055599899</v>
      </c>
      <c r="B210" s="33">
        <v>9</v>
      </c>
      <c r="C210" s="34" t="s">
        <v>250</v>
      </c>
      <c r="D210" s="34" t="s">
        <v>245</v>
      </c>
      <c r="E210" s="34" t="s">
        <v>169</v>
      </c>
      <c r="F210" s="35">
        <v>46153</v>
      </c>
      <c r="G210" s="34" t="s">
        <v>45</v>
      </c>
      <c r="H210" s="36" t="str">
        <f>VLOOKUP(E210,'HC for display name '!$B:$D,2,0)</f>
        <v>AbdElRhman Hesham-AbdElFadeel</v>
      </c>
      <c r="I210" s="36" t="str">
        <f>VLOOKUP(E210,'HC for display name '!$B:$D,3,0)</f>
        <v>AbdElRahman Adel-ElKelany</v>
      </c>
      <c r="J210" s="36" t="str">
        <f t="shared" si="3"/>
        <v>P</v>
      </c>
      <c r="N210" s="17"/>
      <c r="O210" s="17"/>
      <c r="P210" s="17"/>
      <c r="Q210" s="17"/>
      <c r="R210" s="18"/>
      <c r="T210" s="19"/>
      <c r="U210" s="19"/>
      <c r="Y210" s="17"/>
      <c r="Z210" s="17"/>
      <c r="AA210" s="17"/>
      <c r="AB210" s="17"/>
    </row>
    <row r="211" spans="1:28" x14ac:dyDescent="0.25">
      <c r="A211" s="33">
        <v>1060431060</v>
      </c>
      <c r="B211" s="33">
        <v>9</v>
      </c>
      <c r="C211" s="34" t="s">
        <v>244</v>
      </c>
      <c r="D211" s="34" t="s">
        <v>245</v>
      </c>
      <c r="E211" s="34" t="s">
        <v>256</v>
      </c>
      <c r="F211" s="35">
        <v>46153</v>
      </c>
      <c r="G211" s="34" t="s">
        <v>45</v>
      </c>
      <c r="H211" s="36" t="str">
        <f>VLOOKUP(E211,'HC for display name '!$B:$D,2,0)</f>
        <v>Esraa Saad-Mahfod</v>
      </c>
      <c r="I211" s="36" t="str">
        <f>VLOOKUP(E211,'HC for display name '!$B:$D,3,0)</f>
        <v>Hend Yousry-AbdElRassoul</v>
      </c>
      <c r="J211" s="36" t="str">
        <f t="shared" si="3"/>
        <v>P</v>
      </c>
      <c r="N211" s="20"/>
      <c r="O211" s="20"/>
      <c r="P211" s="20"/>
      <c r="Q211" s="20"/>
      <c r="R211" s="21"/>
      <c r="T211" s="19"/>
      <c r="U211" s="19"/>
      <c r="Y211" s="20"/>
      <c r="Z211" s="20"/>
      <c r="AA211" s="20"/>
      <c r="AB211" s="20"/>
    </row>
    <row r="212" spans="1:28" x14ac:dyDescent="0.25">
      <c r="A212" s="33">
        <v>1063167783</v>
      </c>
      <c r="B212" s="33">
        <v>10</v>
      </c>
      <c r="C212" s="34" t="s">
        <v>244</v>
      </c>
      <c r="D212" s="34" t="s">
        <v>245</v>
      </c>
      <c r="E212" s="34" t="s">
        <v>254</v>
      </c>
      <c r="F212" s="35">
        <v>46153</v>
      </c>
      <c r="G212" s="34" t="s">
        <v>45</v>
      </c>
      <c r="H212" s="36" t="str">
        <f>VLOOKUP(E212,'HC for display name '!$B:$D,2,0)</f>
        <v>Mohamed Ahmed-Mansour</v>
      </c>
      <c r="I212" s="36" t="str">
        <f>VLOOKUP(E212,'HC for display name '!$B:$D,3,0)</f>
        <v>Hend Yousry-AbdElRassoul</v>
      </c>
      <c r="J212" s="36" t="str">
        <f t="shared" si="3"/>
        <v>P</v>
      </c>
      <c r="N212" s="17"/>
      <c r="O212" s="17"/>
      <c r="P212" s="17"/>
      <c r="Q212" s="17"/>
      <c r="R212" s="18"/>
      <c r="T212" s="19"/>
      <c r="U212" s="19"/>
      <c r="Y212" s="17"/>
      <c r="Z212" s="17"/>
      <c r="AA212" s="17"/>
      <c r="AB212" s="17"/>
    </row>
    <row r="213" spans="1:28" x14ac:dyDescent="0.25">
      <c r="A213" s="33">
        <v>1064621186</v>
      </c>
      <c r="B213" s="33">
        <v>10</v>
      </c>
      <c r="C213" s="34" t="s">
        <v>250</v>
      </c>
      <c r="D213" s="34" t="s">
        <v>245</v>
      </c>
      <c r="E213" s="34" t="s">
        <v>254</v>
      </c>
      <c r="F213" s="35">
        <v>46153</v>
      </c>
      <c r="G213" s="34" t="s">
        <v>247</v>
      </c>
      <c r="H213" s="36" t="str">
        <f>VLOOKUP(E213,'HC for display name '!$B:$D,2,0)</f>
        <v>Mohamed Ahmed-Mansour</v>
      </c>
      <c r="I213" s="36" t="str">
        <f>VLOOKUP(E213,'HC for display name '!$B:$D,3,0)</f>
        <v>Hend Yousry-AbdElRassoul</v>
      </c>
      <c r="J213" s="36" t="str">
        <f t="shared" si="3"/>
        <v>P</v>
      </c>
      <c r="N213" s="20"/>
      <c r="O213" s="20"/>
      <c r="P213" s="20"/>
      <c r="Q213" s="20"/>
      <c r="R213" s="21"/>
      <c r="T213" s="19"/>
      <c r="U213" s="19"/>
      <c r="Y213" s="20"/>
      <c r="Z213" s="20"/>
      <c r="AA213" s="20"/>
      <c r="AB213" s="20"/>
    </row>
    <row r="214" spans="1:28" x14ac:dyDescent="0.25">
      <c r="A214" s="33">
        <v>1068370983</v>
      </c>
      <c r="B214" s="33">
        <v>10</v>
      </c>
      <c r="C214" s="34" t="s">
        <v>244</v>
      </c>
      <c r="D214" s="34" t="s">
        <v>245</v>
      </c>
      <c r="E214" s="34" t="s">
        <v>145</v>
      </c>
      <c r="F214" s="35">
        <v>46153</v>
      </c>
      <c r="G214" s="34" t="s">
        <v>45</v>
      </c>
      <c r="H214" s="36" t="str">
        <f>VLOOKUP(E214,'HC for display name '!$B:$D,2,0)</f>
        <v>Aya Ezzat-Mahmoud</v>
      </c>
      <c r="I214" s="36" t="str">
        <f>VLOOKUP(E214,'HC for display name '!$B:$D,3,0)</f>
        <v>Merna Ashraf-Ashrafy</v>
      </c>
      <c r="J214" s="36" t="str">
        <f t="shared" si="3"/>
        <v>P</v>
      </c>
      <c r="N214" s="17"/>
      <c r="O214" s="17"/>
      <c r="P214" s="17"/>
      <c r="Q214" s="17"/>
      <c r="R214" s="18"/>
      <c r="T214" s="19"/>
      <c r="U214" s="19"/>
      <c r="Y214" s="17"/>
      <c r="Z214" s="17"/>
      <c r="AA214" s="17"/>
      <c r="AB214" s="17"/>
    </row>
    <row r="215" spans="1:28" x14ac:dyDescent="0.25">
      <c r="A215" s="33">
        <v>1068371315</v>
      </c>
      <c r="B215" s="33">
        <v>10</v>
      </c>
      <c r="C215" s="34" t="s">
        <v>244</v>
      </c>
      <c r="D215" s="34" t="s">
        <v>245</v>
      </c>
      <c r="E215" s="34" t="s">
        <v>254</v>
      </c>
      <c r="F215" s="35">
        <v>46153</v>
      </c>
      <c r="G215" s="34" t="s">
        <v>247</v>
      </c>
      <c r="H215" s="36" t="str">
        <f>VLOOKUP(E215,'HC for display name '!$B:$D,2,0)</f>
        <v>Mohamed Ahmed-Mansour</v>
      </c>
      <c r="I215" s="36" t="str">
        <f>VLOOKUP(E215,'HC for display name '!$B:$D,3,0)</f>
        <v>Hend Yousry-AbdElRassoul</v>
      </c>
      <c r="J215" s="36" t="str">
        <f t="shared" si="3"/>
        <v>P</v>
      </c>
      <c r="N215" s="20"/>
      <c r="O215" s="20"/>
      <c r="P215" s="20"/>
      <c r="Q215" s="20"/>
      <c r="R215" s="21"/>
      <c r="T215" s="19"/>
      <c r="U215" s="19"/>
      <c r="Y215" s="20"/>
      <c r="Z215" s="20"/>
      <c r="AA215" s="20"/>
      <c r="AB215" s="20"/>
    </row>
    <row r="216" spans="1:28" x14ac:dyDescent="0.25">
      <c r="A216" s="33">
        <v>1093237237</v>
      </c>
      <c r="B216" s="33">
        <v>10</v>
      </c>
      <c r="C216" s="34" t="s">
        <v>244</v>
      </c>
      <c r="D216" s="34" t="s">
        <v>245</v>
      </c>
      <c r="E216" s="34" t="s">
        <v>254</v>
      </c>
      <c r="F216" s="35">
        <v>46153</v>
      </c>
      <c r="G216" s="34" t="s">
        <v>45</v>
      </c>
      <c r="H216" s="36" t="str">
        <f>VLOOKUP(E216,'HC for display name '!$B:$D,2,0)</f>
        <v>Mohamed Ahmed-Mansour</v>
      </c>
      <c r="I216" s="36" t="str">
        <f>VLOOKUP(E216,'HC for display name '!$B:$D,3,0)</f>
        <v>Hend Yousry-AbdElRassoul</v>
      </c>
      <c r="J216" s="36" t="str">
        <f t="shared" si="3"/>
        <v>P</v>
      </c>
      <c r="N216" s="17"/>
      <c r="O216" s="17"/>
      <c r="P216" s="17"/>
      <c r="Q216" s="17"/>
      <c r="R216" s="18"/>
      <c r="T216" s="19"/>
      <c r="U216" s="19"/>
      <c r="Y216" s="17"/>
      <c r="Z216" s="17"/>
      <c r="AA216" s="17"/>
      <c r="AB216" s="17"/>
    </row>
    <row r="217" spans="1:28" x14ac:dyDescent="0.25">
      <c r="A217" s="33">
        <v>1094631111</v>
      </c>
      <c r="B217" s="33">
        <v>10</v>
      </c>
      <c r="C217" s="34" t="s">
        <v>258</v>
      </c>
      <c r="D217" s="34" t="s">
        <v>245</v>
      </c>
      <c r="E217" s="34" t="s">
        <v>185</v>
      </c>
      <c r="F217" s="35">
        <v>46153</v>
      </c>
      <c r="G217" s="34" t="s">
        <v>45</v>
      </c>
      <c r="H217" s="36" t="str">
        <f>VLOOKUP(E217,'HC for display name '!$B:$D,2,0)</f>
        <v>Mohamed Gamil-Salah</v>
      </c>
      <c r="I217" s="36" t="str">
        <f>VLOOKUP(E217,'HC for display name '!$B:$D,3,0)</f>
        <v>Omar Emad-Mahmoud</v>
      </c>
      <c r="J217" s="36" t="str">
        <f t="shared" si="3"/>
        <v>P</v>
      </c>
    </row>
    <row r="218" spans="1:28" x14ac:dyDescent="0.25">
      <c r="A218" s="33">
        <v>1097966517</v>
      </c>
      <c r="B218" s="33">
        <v>10</v>
      </c>
      <c r="C218" s="34" t="s">
        <v>244</v>
      </c>
      <c r="D218" s="34" t="s">
        <v>245</v>
      </c>
      <c r="E218" s="34" t="s">
        <v>122</v>
      </c>
      <c r="F218" s="35">
        <v>46153</v>
      </c>
      <c r="G218" s="34" t="s">
        <v>45</v>
      </c>
      <c r="H218" s="36" t="str">
        <f>VLOOKUP(E218,'HC for display name '!$B:$D,2,0)</f>
        <v>Nouran AbdAllah-Saeed</v>
      </c>
      <c r="I218" s="36" t="str">
        <f>VLOOKUP(E218,'HC for display name '!$B:$D,3,0)</f>
        <v>Merna Ashraf-Ashrafy</v>
      </c>
      <c r="J218" s="36" t="str">
        <f t="shared" si="3"/>
        <v>P</v>
      </c>
      <c r="N218" s="17"/>
      <c r="O218" s="17"/>
      <c r="P218" s="17"/>
      <c r="Q218" s="17"/>
      <c r="R218" s="18"/>
      <c r="S218" s="17"/>
      <c r="T218" s="19"/>
      <c r="U218" s="19"/>
      <c r="V218" s="17"/>
      <c r="W218" s="17"/>
      <c r="X218" s="17"/>
      <c r="Y218" s="17"/>
      <c r="Z218" s="17"/>
      <c r="AA218" s="17"/>
      <c r="AB218" s="17"/>
    </row>
    <row r="219" spans="1:28" x14ac:dyDescent="0.25">
      <c r="A219" s="33">
        <v>1119838888</v>
      </c>
      <c r="B219" s="33">
        <v>9</v>
      </c>
      <c r="C219" s="34" t="s">
        <v>244</v>
      </c>
      <c r="D219" s="34" t="s">
        <v>245</v>
      </c>
      <c r="E219" s="34" t="s">
        <v>262</v>
      </c>
      <c r="F219" s="35">
        <v>46153</v>
      </c>
      <c r="G219" s="34" t="s">
        <v>45</v>
      </c>
      <c r="H219" s="36" t="str">
        <f>VLOOKUP(E219,'HC for display name '!$B:$D,2,0)</f>
        <v>Mohamed AbdElazim-Farag</v>
      </c>
      <c r="I219" s="36" t="str">
        <f>VLOOKUP(E219,'HC for display name '!$B:$D,3,0)</f>
        <v>Hend Yousry-AbdElRassoul</v>
      </c>
      <c r="J219" s="36" t="str">
        <f t="shared" si="3"/>
        <v>P</v>
      </c>
      <c r="N219" s="20"/>
      <c r="O219" s="20"/>
      <c r="P219" s="20"/>
      <c r="Q219" s="20"/>
      <c r="R219" s="21"/>
      <c r="S219" s="20"/>
      <c r="T219" s="19"/>
      <c r="U219" s="19"/>
      <c r="V219" s="20"/>
      <c r="W219" s="20"/>
      <c r="X219" s="20"/>
      <c r="Y219" s="20"/>
      <c r="Z219" s="20"/>
      <c r="AA219" s="20"/>
      <c r="AB219" s="20"/>
    </row>
    <row r="220" spans="1:28" x14ac:dyDescent="0.25">
      <c r="A220" s="33">
        <v>1145317379</v>
      </c>
      <c r="B220" s="33">
        <v>10</v>
      </c>
      <c r="C220" s="34" t="s">
        <v>250</v>
      </c>
      <c r="D220" s="34" t="s">
        <v>245</v>
      </c>
      <c r="E220" s="34" t="s">
        <v>262</v>
      </c>
      <c r="F220" s="35">
        <v>46153</v>
      </c>
      <c r="G220" s="34" t="s">
        <v>45</v>
      </c>
      <c r="H220" s="36" t="str">
        <f>VLOOKUP(E220,'HC for display name '!$B:$D,2,0)</f>
        <v>Mohamed AbdElazim-Farag</v>
      </c>
      <c r="I220" s="36" t="str">
        <f>VLOOKUP(E220,'HC for display name '!$B:$D,3,0)</f>
        <v>Hend Yousry-AbdElRassoul</v>
      </c>
      <c r="J220" s="36" t="str">
        <f t="shared" si="3"/>
        <v>P</v>
      </c>
      <c r="N220" s="17"/>
      <c r="O220" s="17"/>
      <c r="P220" s="17"/>
      <c r="Q220" s="17"/>
      <c r="R220" s="18"/>
      <c r="S220" s="17"/>
      <c r="T220" s="19"/>
      <c r="U220" s="19"/>
      <c r="V220" s="17"/>
      <c r="W220" s="17"/>
      <c r="X220" s="17"/>
      <c r="Y220" s="17"/>
      <c r="Z220" s="17"/>
      <c r="AA220" s="17"/>
      <c r="AB220" s="17"/>
    </row>
    <row r="221" spans="1:28" x14ac:dyDescent="0.25">
      <c r="A221" s="33">
        <v>1224869096</v>
      </c>
      <c r="B221" s="33">
        <v>10</v>
      </c>
      <c r="C221" s="34" t="s">
        <v>244</v>
      </c>
      <c r="D221" s="34" t="s">
        <v>245</v>
      </c>
      <c r="E221" s="34" t="s">
        <v>111</v>
      </c>
      <c r="F221" s="35">
        <v>46153</v>
      </c>
      <c r="G221" s="34" t="s">
        <v>45</v>
      </c>
      <c r="H221" s="36" t="str">
        <f>VLOOKUP(E221,'HC for display name '!$B:$D,2,0)</f>
        <v>Mohada Mohamed-Hamdy</v>
      </c>
      <c r="I221" s="36" t="str">
        <f>VLOOKUP(E221,'HC for display name '!$B:$D,3,0)</f>
        <v>Merna Ashraf-Ashrafy</v>
      </c>
      <c r="J221" s="36" t="str">
        <f t="shared" si="3"/>
        <v>P</v>
      </c>
      <c r="N221" s="20"/>
      <c r="O221" s="20"/>
      <c r="P221" s="20"/>
      <c r="Q221" s="20"/>
      <c r="R221" s="21"/>
      <c r="S221" s="20"/>
      <c r="T221" s="19"/>
      <c r="U221" s="19"/>
      <c r="V221" s="20"/>
      <c r="W221" s="20"/>
      <c r="X221" s="20"/>
      <c r="Y221" s="20"/>
      <c r="Z221" s="20"/>
      <c r="AA221" s="20"/>
      <c r="AB221" s="20"/>
    </row>
    <row r="222" spans="1:28" x14ac:dyDescent="0.25">
      <c r="A222" s="33">
        <v>1002750256</v>
      </c>
      <c r="B222" s="33">
        <v>10</v>
      </c>
      <c r="C222" s="34" t="s">
        <v>244</v>
      </c>
      <c r="D222" s="34" t="s">
        <v>245</v>
      </c>
      <c r="E222" s="34" t="s">
        <v>152</v>
      </c>
      <c r="F222" s="35">
        <v>46154</v>
      </c>
      <c r="G222" s="34" t="s">
        <v>45</v>
      </c>
      <c r="H222" s="36" t="str">
        <f>VLOOKUP(E222,'HC for display name '!$B:$D,2,0)</f>
        <v>Bassant Salah-Hassan</v>
      </c>
      <c r="I222" s="36" t="str">
        <f>VLOOKUP(E222,'HC for display name '!$B:$D,3,0)</f>
        <v>Merna Ashraf-Ashrafy</v>
      </c>
      <c r="J222" s="36" t="str">
        <f t="shared" ref="J222:J285" si="4">VLOOKUP(B222,$T$3:$U$13,2,0)</f>
        <v>P</v>
      </c>
      <c r="N222" s="17"/>
      <c r="O222" s="17"/>
      <c r="P222" s="17"/>
      <c r="Q222" s="17"/>
      <c r="R222" s="18"/>
      <c r="S222" s="17"/>
      <c r="T222" s="19"/>
      <c r="U222" s="19"/>
      <c r="V222" s="17"/>
      <c r="W222" s="17"/>
      <c r="X222" s="17"/>
      <c r="Y222" s="17"/>
      <c r="Z222" s="17"/>
      <c r="AA222" s="17"/>
      <c r="AB222" s="17"/>
    </row>
    <row r="223" spans="1:28" x14ac:dyDescent="0.25">
      <c r="A223" s="33">
        <v>1004146313</v>
      </c>
      <c r="B223" s="33">
        <v>0</v>
      </c>
      <c r="C223" s="34" t="s">
        <v>248</v>
      </c>
      <c r="D223" s="34" t="s">
        <v>258</v>
      </c>
      <c r="E223" s="34" t="s">
        <v>137</v>
      </c>
      <c r="F223" s="35">
        <v>46154</v>
      </c>
      <c r="G223" s="34" t="s">
        <v>45</v>
      </c>
      <c r="H223" s="36" t="str">
        <f>VLOOKUP(E223,'HC for display name '!$B:$D,2,0)</f>
        <v>Yasmine Waleed-Mohamed</v>
      </c>
      <c r="I223" s="36" t="str">
        <f>VLOOKUP(E223,'HC for display name '!$B:$D,3,0)</f>
        <v>Merna Ashraf-Ashrafy</v>
      </c>
      <c r="J223" s="36" t="str">
        <f t="shared" si="4"/>
        <v>D</v>
      </c>
      <c r="N223" s="20"/>
      <c r="O223" s="20"/>
      <c r="P223" s="20"/>
      <c r="Q223" s="20"/>
      <c r="R223" s="21"/>
      <c r="S223" s="20"/>
      <c r="T223" s="19"/>
      <c r="U223" s="19"/>
      <c r="V223" s="20"/>
      <c r="W223" s="20"/>
      <c r="X223" s="20"/>
      <c r="Y223" s="20"/>
      <c r="Z223" s="20"/>
      <c r="AA223" s="20"/>
      <c r="AB223" s="20"/>
    </row>
    <row r="224" spans="1:28" x14ac:dyDescent="0.25">
      <c r="A224" s="33">
        <v>1005464420</v>
      </c>
      <c r="B224" s="33">
        <v>10</v>
      </c>
      <c r="C224" s="34" t="s">
        <v>244</v>
      </c>
      <c r="D224" s="34" t="s">
        <v>245</v>
      </c>
      <c r="E224" s="34" t="s">
        <v>251</v>
      </c>
      <c r="F224" s="35">
        <v>46154</v>
      </c>
      <c r="G224" s="34" t="s">
        <v>45</v>
      </c>
      <c r="H224" s="36" t="str">
        <f>VLOOKUP(E224,'HC for display name '!$B:$D,2,0)</f>
        <v>Ahmed Maged-Wahib</v>
      </c>
      <c r="I224" s="36" t="str">
        <f>VLOOKUP(E224,'HC for display name '!$B:$D,3,0)</f>
        <v>Hend Yousry-AbdElRassoul</v>
      </c>
      <c r="J224" s="36" t="str">
        <f t="shared" si="4"/>
        <v>P</v>
      </c>
      <c r="N224" s="17"/>
      <c r="O224" s="17"/>
      <c r="P224" s="17"/>
      <c r="Q224" s="17"/>
      <c r="R224" s="18"/>
      <c r="S224" s="17"/>
      <c r="T224" s="19"/>
      <c r="U224" s="19"/>
      <c r="V224" s="17"/>
      <c r="W224" s="17"/>
      <c r="X224" s="17"/>
      <c r="Y224" s="17"/>
      <c r="Z224" s="17"/>
      <c r="AA224" s="17"/>
      <c r="AB224" s="17"/>
    </row>
    <row r="225" spans="1:28" x14ac:dyDescent="0.25">
      <c r="A225" s="33">
        <v>1006494170</v>
      </c>
      <c r="B225" s="33">
        <v>10</v>
      </c>
      <c r="C225" s="34" t="s">
        <v>244</v>
      </c>
      <c r="D225" s="34" t="s">
        <v>245</v>
      </c>
      <c r="E225" s="34" t="s">
        <v>246</v>
      </c>
      <c r="F225" s="35">
        <v>46154</v>
      </c>
      <c r="G225" s="34" t="s">
        <v>45</v>
      </c>
      <c r="H225" s="36" t="str">
        <f>VLOOKUP(E225,'HC for display name '!$B:$D,2,0)</f>
        <v>Peter Amgad-Shehata</v>
      </c>
      <c r="I225" s="36" t="str">
        <f>VLOOKUP(E225,'HC for display name '!$B:$D,3,0)</f>
        <v>Hend Yousry-AbdElRassoul</v>
      </c>
      <c r="J225" s="36" t="str">
        <f t="shared" si="4"/>
        <v>P</v>
      </c>
      <c r="N225" s="20"/>
      <c r="O225" s="20"/>
      <c r="P225" s="20"/>
      <c r="Q225" s="20"/>
      <c r="R225" s="21"/>
      <c r="S225" s="20"/>
      <c r="T225" s="19"/>
      <c r="U225" s="19"/>
      <c r="V225" s="20"/>
      <c r="W225" s="20"/>
      <c r="X225" s="20"/>
      <c r="Y225" s="20"/>
      <c r="Z225" s="20"/>
      <c r="AA225" s="20"/>
      <c r="AB225" s="20"/>
    </row>
    <row r="226" spans="1:28" x14ac:dyDescent="0.25">
      <c r="A226" s="33">
        <v>1007770274</v>
      </c>
      <c r="B226" s="33">
        <v>9</v>
      </c>
      <c r="C226" s="34" t="s">
        <v>244</v>
      </c>
      <c r="D226" s="34" t="s">
        <v>245</v>
      </c>
      <c r="E226" s="34" t="s">
        <v>155</v>
      </c>
      <c r="F226" s="35">
        <v>46154</v>
      </c>
      <c r="G226" s="34" t="s">
        <v>45</v>
      </c>
      <c r="H226" s="36" t="str">
        <f>VLOOKUP(E226,'HC for display name '!$B:$D,2,0)</f>
        <v>Omnia Wageeh-ElAzab</v>
      </c>
      <c r="I226" s="36" t="str">
        <f>VLOOKUP(E226,'HC for display name '!$B:$D,3,0)</f>
        <v>Merna Ashraf-Ashrafy</v>
      </c>
      <c r="J226" s="36" t="str">
        <f t="shared" si="4"/>
        <v>P</v>
      </c>
      <c r="N226" s="17"/>
      <c r="O226" s="17"/>
      <c r="P226" s="17"/>
      <c r="Q226" s="17"/>
      <c r="R226" s="18"/>
      <c r="S226" s="17"/>
      <c r="T226" s="19"/>
      <c r="U226" s="19"/>
      <c r="V226" s="17"/>
      <c r="W226" s="17"/>
      <c r="X226" s="17"/>
      <c r="Y226" s="17"/>
      <c r="Z226" s="17"/>
      <c r="AA226" s="17"/>
      <c r="AB226" s="17"/>
    </row>
    <row r="227" spans="1:28" x14ac:dyDescent="0.25">
      <c r="A227" s="33">
        <v>1007816600</v>
      </c>
      <c r="B227" s="33">
        <v>9</v>
      </c>
      <c r="C227" s="34" t="s">
        <v>244</v>
      </c>
      <c r="D227" s="34" t="s">
        <v>245</v>
      </c>
      <c r="E227" s="34" t="s">
        <v>75</v>
      </c>
      <c r="F227" s="35">
        <v>46154</v>
      </c>
      <c r="G227" s="34" t="s">
        <v>45</v>
      </c>
      <c r="H227" s="36" t="str">
        <f>VLOOKUP(E227,'HC for display name '!$B:$D,2,0)</f>
        <v>Ahmed Sameh-Rizk</v>
      </c>
      <c r="I227" s="36" t="str">
        <f>VLOOKUP(E227,'HC for display name '!$B:$D,3,0)</f>
        <v>Omar Emad-Mahmoud</v>
      </c>
      <c r="J227" s="36" t="str">
        <f t="shared" si="4"/>
        <v>P</v>
      </c>
      <c r="N227" s="20"/>
      <c r="O227" s="20"/>
      <c r="P227" s="20"/>
      <c r="Q227" s="20"/>
      <c r="R227" s="21"/>
      <c r="S227" s="20"/>
      <c r="T227" s="19"/>
      <c r="U227" s="19"/>
      <c r="V227" s="20"/>
      <c r="W227" s="20"/>
      <c r="X227" s="20"/>
      <c r="Y227" s="20"/>
      <c r="Z227" s="20"/>
      <c r="AA227" s="20"/>
      <c r="AB227" s="20"/>
    </row>
    <row r="228" spans="1:28" x14ac:dyDescent="0.25">
      <c r="A228" s="33">
        <v>1012082059</v>
      </c>
      <c r="B228" s="33">
        <v>0</v>
      </c>
      <c r="C228" s="34" t="s">
        <v>250</v>
      </c>
      <c r="D228" s="34" t="s">
        <v>248</v>
      </c>
      <c r="E228" s="34" t="s">
        <v>263</v>
      </c>
      <c r="F228" s="35">
        <v>46154</v>
      </c>
      <c r="G228" s="34" t="s">
        <v>45</v>
      </c>
      <c r="H228" s="36" t="str">
        <f>VLOOKUP(E228,'HC for display name '!$B:$D,2,0)</f>
        <v>Yara Hussein-Mofleh</v>
      </c>
      <c r="I228" s="36" t="str">
        <f>VLOOKUP(E228,'HC for display name '!$B:$D,3,0)</f>
        <v>Hend Yousry-AbdElRassoul</v>
      </c>
      <c r="J228" s="36" t="str">
        <f t="shared" si="4"/>
        <v>D</v>
      </c>
      <c r="N228" s="17"/>
      <c r="O228" s="17"/>
      <c r="P228" s="17"/>
      <c r="Q228" s="17"/>
      <c r="R228" s="18"/>
      <c r="S228" s="17"/>
      <c r="T228" s="19"/>
      <c r="U228" s="19"/>
      <c r="V228" s="17"/>
      <c r="W228" s="17"/>
      <c r="X228" s="17"/>
      <c r="Y228" s="17"/>
      <c r="Z228" s="17"/>
      <c r="AA228" s="17"/>
      <c r="AB228" s="17"/>
    </row>
    <row r="229" spans="1:28" x14ac:dyDescent="0.25">
      <c r="A229" s="33">
        <v>1013933472</v>
      </c>
      <c r="B229" s="33">
        <v>10</v>
      </c>
      <c r="C229" s="34" t="s">
        <v>250</v>
      </c>
      <c r="D229" s="34" t="s">
        <v>245</v>
      </c>
      <c r="E229" s="34" t="s">
        <v>101</v>
      </c>
      <c r="F229" s="35">
        <v>46154</v>
      </c>
      <c r="G229" s="34" t="s">
        <v>45</v>
      </c>
      <c r="H229" s="36" t="str">
        <f>VLOOKUP(E229,'HC for display name '!$B:$D,2,0)</f>
        <v>Salma Taha-Ahmed</v>
      </c>
      <c r="I229" s="36" t="str">
        <f>VLOOKUP(E229,'HC for display name '!$B:$D,3,0)</f>
        <v>Merna Ashraf-Ashrafy</v>
      </c>
      <c r="J229" s="36" t="str">
        <f t="shared" si="4"/>
        <v>P</v>
      </c>
      <c r="N229" s="20"/>
      <c r="O229" s="20"/>
      <c r="P229" s="20"/>
      <c r="Q229" s="20"/>
      <c r="R229" s="21"/>
      <c r="S229" s="20"/>
      <c r="T229" s="19"/>
      <c r="U229" s="19"/>
      <c r="V229" s="20"/>
      <c r="W229" s="20"/>
      <c r="X229" s="20"/>
      <c r="Y229" s="20"/>
      <c r="Z229" s="20"/>
      <c r="AA229" s="20"/>
      <c r="AB229" s="20"/>
    </row>
    <row r="230" spans="1:28" x14ac:dyDescent="0.25">
      <c r="A230" s="33">
        <v>1021033509</v>
      </c>
      <c r="B230" s="33">
        <v>10</v>
      </c>
      <c r="C230" s="34" t="s">
        <v>244</v>
      </c>
      <c r="D230" s="34" t="s">
        <v>245</v>
      </c>
      <c r="E230" s="34" t="s">
        <v>262</v>
      </c>
      <c r="F230" s="35">
        <v>46154</v>
      </c>
      <c r="G230" s="34" t="s">
        <v>45</v>
      </c>
      <c r="H230" s="36" t="str">
        <f>VLOOKUP(E230,'HC for display name '!$B:$D,2,0)</f>
        <v>Mohamed AbdElazim-Farag</v>
      </c>
      <c r="I230" s="36" t="str">
        <f>VLOOKUP(E230,'HC for display name '!$B:$D,3,0)</f>
        <v>Hend Yousry-AbdElRassoul</v>
      </c>
      <c r="J230" s="36" t="str">
        <f t="shared" si="4"/>
        <v>P</v>
      </c>
      <c r="N230" s="17"/>
      <c r="O230" s="17"/>
      <c r="P230" s="17"/>
      <c r="Q230" s="17"/>
      <c r="R230" s="18"/>
      <c r="S230" s="17"/>
      <c r="T230" s="19"/>
      <c r="U230" s="19"/>
      <c r="V230" s="17"/>
      <c r="W230" s="17"/>
      <c r="X230" s="17"/>
      <c r="Y230" s="17"/>
      <c r="Z230" s="17"/>
      <c r="AA230" s="17"/>
      <c r="AB230" s="17"/>
    </row>
    <row r="231" spans="1:28" x14ac:dyDescent="0.25">
      <c r="A231" s="33">
        <v>1021751111</v>
      </c>
      <c r="B231" s="33">
        <v>9</v>
      </c>
      <c r="C231" s="34" t="s">
        <v>250</v>
      </c>
      <c r="D231" s="34" t="s">
        <v>245</v>
      </c>
      <c r="E231" s="34" t="s">
        <v>145</v>
      </c>
      <c r="F231" s="35">
        <v>46154</v>
      </c>
      <c r="G231" s="34" t="s">
        <v>45</v>
      </c>
      <c r="H231" s="36" t="str">
        <f>VLOOKUP(E231,'HC for display name '!$B:$D,2,0)</f>
        <v>Aya Ezzat-Mahmoud</v>
      </c>
      <c r="I231" s="36" t="str">
        <f>VLOOKUP(E231,'HC for display name '!$B:$D,3,0)</f>
        <v>Merna Ashraf-Ashrafy</v>
      </c>
      <c r="J231" s="36" t="str">
        <f t="shared" si="4"/>
        <v>P</v>
      </c>
      <c r="N231" s="20"/>
      <c r="O231" s="20"/>
      <c r="P231" s="20"/>
      <c r="Q231" s="20"/>
      <c r="R231" s="21"/>
      <c r="S231" s="20"/>
      <c r="T231" s="19"/>
      <c r="U231" s="19"/>
      <c r="V231" s="20"/>
      <c r="W231" s="20"/>
      <c r="X231" s="20"/>
      <c r="Y231" s="20"/>
      <c r="Z231" s="20"/>
      <c r="AA231" s="20"/>
      <c r="AB231" s="20"/>
    </row>
    <row r="232" spans="1:28" x14ac:dyDescent="0.25">
      <c r="A232" s="33">
        <v>1024134615</v>
      </c>
      <c r="B232" s="33">
        <v>10</v>
      </c>
      <c r="C232" s="34" t="s">
        <v>244</v>
      </c>
      <c r="D232" s="34" t="s">
        <v>245</v>
      </c>
      <c r="E232" s="34" t="s">
        <v>246</v>
      </c>
      <c r="F232" s="35">
        <v>46154</v>
      </c>
      <c r="G232" s="34" t="s">
        <v>45</v>
      </c>
      <c r="H232" s="36" t="str">
        <f>VLOOKUP(E232,'HC for display name '!$B:$D,2,0)</f>
        <v>Peter Amgad-Shehata</v>
      </c>
      <c r="I232" s="36" t="str">
        <f>VLOOKUP(E232,'HC for display name '!$B:$D,3,0)</f>
        <v>Hend Yousry-AbdElRassoul</v>
      </c>
      <c r="J232" s="36" t="str">
        <f t="shared" si="4"/>
        <v>P</v>
      </c>
      <c r="N232" s="17"/>
      <c r="O232" s="17"/>
      <c r="P232" s="17"/>
      <c r="Q232" s="17"/>
      <c r="R232" s="18"/>
      <c r="S232" s="17"/>
      <c r="T232" s="19"/>
      <c r="U232" s="19"/>
      <c r="V232" s="17"/>
      <c r="W232" s="17"/>
      <c r="X232" s="17"/>
      <c r="Y232" s="17"/>
      <c r="Z232" s="17"/>
      <c r="AA232" s="17"/>
      <c r="AB232" s="17"/>
    </row>
    <row r="233" spans="1:28" x14ac:dyDescent="0.25">
      <c r="A233" s="33">
        <v>1027219887</v>
      </c>
      <c r="B233" s="33">
        <v>10</v>
      </c>
      <c r="C233" s="34" t="s">
        <v>250</v>
      </c>
      <c r="D233" s="34" t="s">
        <v>245</v>
      </c>
      <c r="E233" s="34" t="s">
        <v>158</v>
      </c>
      <c r="F233" s="35">
        <v>46154</v>
      </c>
      <c r="G233" s="34" t="s">
        <v>45</v>
      </c>
      <c r="H233" s="36" t="str">
        <f>VLOOKUP(E233,'HC for display name '!$B:$D,2,0)</f>
        <v>Tarek Ayman-Ahmed</v>
      </c>
      <c r="I233" s="36" t="str">
        <f>VLOOKUP(E233,'HC for display name '!$B:$D,3,0)</f>
        <v>AbdElRahman Adel-ElKelany</v>
      </c>
      <c r="J233" s="36" t="str">
        <f t="shared" si="4"/>
        <v>P</v>
      </c>
      <c r="N233" s="20"/>
      <c r="O233" s="20"/>
      <c r="P233" s="20"/>
      <c r="Q233" s="20"/>
      <c r="R233" s="21"/>
      <c r="S233" s="20"/>
      <c r="T233" s="19"/>
      <c r="U233" s="19"/>
      <c r="V233" s="20"/>
      <c r="W233" s="20"/>
      <c r="X233" s="20"/>
      <c r="Y233" s="20"/>
      <c r="Z233" s="20"/>
      <c r="AA233" s="20"/>
      <c r="AB233" s="20"/>
    </row>
    <row r="234" spans="1:28" x14ac:dyDescent="0.25">
      <c r="A234" s="33">
        <v>1028783630</v>
      </c>
      <c r="B234" s="33">
        <v>9</v>
      </c>
      <c r="C234" s="34" t="s">
        <v>250</v>
      </c>
      <c r="D234" s="34" t="s">
        <v>245</v>
      </c>
      <c r="E234" s="34" t="s">
        <v>253</v>
      </c>
      <c r="F234" s="35">
        <v>46154</v>
      </c>
      <c r="G234" s="34" t="s">
        <v>45</v>
      </c>
      <c r="H234" s="36" t="str">
        <f>VLOOKUP(E234,'HC for display name '!$B:$D,2,0)</f>
        <v>Mohamed AbdElMohsen-Mahdy</v>
      </c>
      <c r="I234" s="36" t="str">
        <f>VLOOKUP(E234,'HC for display name '!$B:$D,3,0)</f>
        <v>AbdElRahman Adel-ElKelany</v>
      </c>
      <c r="J234" s="36" t="str">
        <f t="shared" si="4"/>
        <v>P</v>
      </c>
      <c r="N234" s="17"/>
      <c r="O234" s="17"/>
      <c r="P234" s="17"/>
      <c r="Q234" s="17"/>
      <c r="R234" s="18"/>
      <c r="S234" s="17"/>
      <c r="T234" s="19"/>
      <c r="U234" s="19"/>
      <c r="V234" s="17"/>
      <c r="W234" s="17"/>
      <c r="X234" s="17"/>
      <c r="Y234" s="17"/>
      <c r="Z234" s="17"/>
      <c r="AA234" s="17"/>
      <c r="AB234" s="17"/>
    </row>
    <row r="235" spans="1:28" x14ac:dyDescent="0.25">
      <c r="A235" s="33">
        <v>1030001009</v>
      </c>
      <c r="B235" s="33">
        <v>9</v>
      </c>
      <c r="C235" s="34" t="s">
        <v>250</v>
      </c>
      <c r="D235" s="34" t="s">
        <v>245</v>
      </c>
      <c r="E235" s="34" t="s">
        <v>101</v>
      </c>
      <c r="F235" s="35">
        <v>46154</v>
      </c>
      <c r="G235" s="34" t="s">
        <v>45</v>
      </c>
      <c r="H235" s="36" t="str">
        <f>VLOOKUP(E235,'HC for display name '!$B:$D,2,0)</f>
        <v>Salma Taha-Ahmed</v>
      </c>
      <c r="I235" s="36" t="str">
        <f>VLOOKUP(E235,'HC for display name '!$B:$D,3,0)</f>
        <v>Merna Ashraf-Ashrafy</v>
      </c>
      <c r="J235" s="36" t="str">
        <f t="shared" si="4"/>
        <v>P</v>
      </c>
      <c r="N235" s="20"/>
      <c r="O235" s="20"/>
      <c r="P235" s="20"/>
      <c r="Q235" s="20"/>
      <c r="R235" s="21"/>
      <c r="S235" s="20"/>
      <c r="T235" s="19"/>
      <c r="U235" s="19"/>
      <c r="V235" s="20"/>
      <c r="W235" s="20"/>
      <c r="X235" s="20"/>
      <c r="Y235" s="20"/>
      <c r="Z235" s="20"/>
      <c r="AA235" s="20"/>
      <c r="AB235" s="20"/>
    </row>
    <row r="236" spans="1:28" x14ac:dyDescent="0.25">
      <c r="A236" s="33">
        <v>1032625548</v>
      </c>
      <c r="B236" s="33">
        <v>9</v>
      </c>
      <c r="C236" s="34" t="s">
        <v>244</v>
      </c>
      <c r="D236" s="34" t="s">
        <v>250</v>
      </c>
      <c r="E236" s="34" t="s">
        <v>101</v>
      </c>
      <c r="F236" s="35">
        <v>46154</v>
      </c>
      <c r="G236" s="34" t="s">
        <v>45</v>
      </c>
      <c r="H236" s="36" t="str">
        <f>VLOOKUP(E236,'HC for display name '!$B:$D,2,0)</f>
        <v>Salma Taha-Ahmed</v>
      </c>
      <c r="I236" s="36" t="str">
        <f>VLOOKUP(E236,'HC for display name '!$B:$D,3,0)</f>
        <v>Merna Ashraf-Ashrafy</v>
      </c>
      <c r="J236" s="36" t="str">
        <f t="shared" si="4"/>
        <v>P</v>
      </c>
      <c r="N236" s="17"/>
      <c r="O236" s="17"/>
      <c r="P236" s="17"/>
      <c r="Q236" s="17"/>
      <c r="R236" s="18"/>
      <c r="S236" s="17"/>
      <c r="T236" s="19"/>
      <c r="U236" s="19"/>
      <c r="V236" s="17"/>
      <c r="W236" s="17"/>
      <c r="X236" s="17"/>
      <c r="Y236" s="17"/>
      <c r="Z236" s="17"/>
      <c r="AA236" s="17"/>
      <c r="AB236" s="17"/>
    </row>
    <row r="237" spans="1:28" x14ac:dyDescent="0.25">
      <c r="A237" s="33">
        <v>1036222722</v>
      </c>
      <c r="B237" s="33">
        <v>10</v>
      </c>
      <c r="C237" s="34" t="s">
        <v>244</v>
      </c>
      <c r="D237" s="34" t="s">
        <v>245</v>
      </c>
      <c r="E237" s="34" t="s">
        <v>155</v>
      </c>
      <c r="F237" s="35">
        <v>46154</v>
      </c>
      <c r="G237" s="34" t="s">
        <v>45</v>
      </c>
      <c r="H237" s="36" t="str">
        <f>VLOOKUP(E237,'HC for display name '!$B:$D,2,0)</f>
        <v>Omnia Wageeh-ElAzab</v>
      </c>
      <c r="I237" s="36" t="str">
        <f>VLOOKUP(E237,'HC for display name '!$B:$D,3,0)</f>
        <v>Merna Ashraf-Ashrafy</v>
      </c>
      <c r="J237" s="36" t="str">
        <f t="shared" si="4"/>
        <v>P</v>
      </c>
      <c r="N237" s="20"/>
      <c r="O237" s="20"/>
      <c r="P237" s="20"/>
      <c r="Q237" s="20"/>
      <c r="R237" s="21"/>
      <c r="S237" s="20"/>
      <c r="T237" s="19"/>
      <c r="U237" s="19"/>
      <c r="V237" s="20"/>
      <c r="W237" s="20"/>
      <c r="X237" s="20"/>
      <c r="Y237" s="20"/>
      <c r="Z237" s="20"/>
      <c r="AA237" s="20"/>
      <c r="AB237" s="20"/>
    </row>
    <row r="238" spans="1:28" x14ac:dyDescent="0.25">
      <c r="A238" s="33">
        <v>1065277718</v>
      </c>
      <c r="B238" s="33">
        <v>10</v>
      </c>
      <c r="C238" s="34" t="s">
        <v>248</v>
      </c>
      <c r="D238" s="34" t="s">
        <v>245</v>
      </c>
      <c r="E238" s="34" t="s">
        <v>145</v>
      </c>
      <c r="F238" s="35">
        <v>46154</v>
      </c>
      <c r="G238" s="34" t="s">
        <v>45</v>
      </c>
      <c r="H238" s="36" t="str">
        <f>VLOOKUP(E238,'HC for display name '!$B:$D,2,0)</f>
        <v>Aya Ezzat-Mahmoud</v>
      </c>
      <c r="I238" s="36" t="str">
        <f>VLOOKUP(E238,'HC for display name '!$B:$D,3,0)</f>
        <v>Merna Ashraf-Ashrafy</v>
      </c>
      <c r="J238" s="36" t="str">
        <f t="shared" si="4"/>
        <v>P</v>
      </c>
      <c r="N238" s="17"/>
      <c r="O238" s="17"/>
      <c r="P238" s="17"/>
      <c r="Q238" s="17"/>
      <c r="R238" s="18"/>
      <c r="S238" s="17"/>
      <c r="T238" s="19"/>
      <c r="U238" s="19"/>
      <c r="V238" s="17"/>
      <c r="W238" s="17"/>
      <c r="X238" s="17"/>
      <c r="Y238" s="17"/>
      <c r="Z238" s="17"/>
      <c r="AA238" s="17"/>
      <c r="AB238" s="17"/>
    </row>
    <row r="239" spans="1:28" x14ac:dyDescent="0.25">
      <c r="A239" s="33">
        <v>1066633691</v>
      </c>
      <c r="B239" s="33">
        <v>10</v>
      </c>
      <c r="C239" s="34" t="s">
        <v>244</v>
      </c>
      <c r="D239" s="34" t="s">
        <v>245</v>
      </c>
      <c r="E239" s="34" t="s">
        <v>192</v>
      </c>
      <c r="F239" s="35">
        <v>46154</v>
      </c>
      <c r="G239" s="34" t="s">
        <v>45</v>
      </c>
      <c r="H239" s="36" t="str">
        <f>VLOOKUP(E239,'HC for display name '!$B:$D,2,0)</f>
        <v>Ibrahim Ahmed-Ghonimy</v>
      </c>
      <c r="I239" s="36" t="str">
        <f>VLOOKUP(E239,'HC for display name '!$B:$D,3,0)</f>
        <v>AbdElRahman Adel-ElKelany</v>
      </c>
      <c r="J239" s="36" t="str">
        <f t="shared" si="4"/>
        <v>P</v>
      </c>
      <c r="N239" s="20"/>
      <c r="O239" s="20"/>
      <c r="P239" s="20"/>
      <c r="Q239" s="20"/>
      <c r="R239" s="21"/>
      <c r="S239" s="20"/>
      <c r="T239" s="19"/>
      <c r="U239" s="19"/>
      <c r="V239" s="20"/>
      <c r="W239" s="20"/>
      <c r="X239" s="20"/>
      <c r="Y239" s="20"/>
      <c r="Z239" s="20"/>
      <c r="AA239" s="20"/>
      <c r="AB239" s="20"/>
    </row>
    <row r="240" spans="1:28" x14ac:dyDescent="0.25">
      <c r="A240" s="33">
        <v>1069334850</v>
      </c>
      <c r="B240" s="33">
        <v>9</v>
      </c>
      <c r="C240" s="34" t="s">
        <v>244</v>
      </c>
      <c r="D240" s="34" t="s">
        <v>245</v>
      </c>
      <c r="E240" s="34" t="s">
        <v>195</v>
      </c>
      <c r="F240" s="35">
        <v>46154</v>
      </c>
      <c r="G240" s="34" t="s">
        <v>45</v>
      </c>
      <c r="H240" s="36" t="str">
        <f>VLOOKUP(E240,'HC for display name '!$B:$D,2,0)</f>
        <v>Sherif Madbouly-Sayed</v>
      </c>
      <c r="I240" s="36" t="str">
        <f>VLOOKUP(E240,'HC for display name '!$B:$D,3,0)</f>
        <v>Omar Emad-Mahmoud</v>
      </c>
      <c r="J240" s="36" t="str">
        <f t="shared" si="4"/>
        <v>P</v>
      </c>
      <c r="N240" s="17"/>
      <c r="O240" s="17"/>
      <c r="P240" s="17"/>
      <c r="Q240" s="17"/>
      <c r="R240" s="18"/>
      <c r="S240" s="17"/>
      <c r="T240" s="19"/>
      <c r="U240" s="19"/>
      <c r="V240" s="17"/>
      <c r="W240" s="17"/>
      <c r="X240" s="17"/>
      <c r="Y240" s="17"/>
      <c r="Z240" s="17"/>
      <c r="AA240" s="17"/>
      <c r="AB240" s="17"/>
    </row>
    <row r="241" spans="1:28" x14ac:dyDescent="0.25">
      <c r="A241" s="33">
        <v>1069976962</v>
      </c>
      <c r="B241" s="33">
        <v>10</v>
      </c>
      <c r="C241" s="34" t="s">
        <v>244</v>
      </c>
      <c r="D241" s="34" t="s">
        <v>245</v>
      </c>
      <c r="E241" s="34" t="s">
        <v>195</v>
      </c>
      <c r="F241" s="35">
        <v>46154</v>
      </c>
      <c r="G241" s="34" t="s">
        <v>45</v>
      </c>
      <c r="H241" s="36" t="str">
        <f>VLOOKUP(E241,'HC for display name '!$B:$D,2,0)</f>
        <v>Sherif Madbouly-Sayed</v>
      </c>
      <c r="I241" s="36" t="str">
        <f>VLOOKUP(E241,'HC for display name '!$B:$D,3,0)</f>
        <v>Omar Emad-Mahmoud</v>
      </c>
      <c r="J241" s="36" t="str">
        <f t="shared" si="4"/>
        <v>P</v>
      </c>
      <c r="N241" s="20"/>
      <c r="O241" s="20"/>
      <c r="P241" s="20"/>
      <c r="Q241" s="20"/>
      <c r="R241" s="21"/>
      <c r="S241" s="20"/>
      <c r="T241" s="19"/>
      <c r="U241" s="19"/>
      <c r="V241" s="20"/>
      <c r="W241" s="20"/>
      <c r="X241" s="20"/>
      <c r="Y241" s="20"/>
      <c r="Z241" s="20"/>
      <c r="AA241" s="20"/>
      <c r="AB241" s="20"/>
    </row>
    <row r="242" spans="1:28" x14ac:dyDescent="0.25">
      <c r="A242" s="33">
        <v>1090048247</v>
      </c>
      <c r="B242" s="33">
        <v>10</v>
      </c>
      <c r="C242" s="34" t="s">
        <v>248</v>
      </c>
      <c r="D242" s="34" t="s">
        <v>245</v>
      </c>
      <c r="E242" s="34" t="s">
        <v>87</v>
      </c>
      <c r="F242" s="35">
        <v>46154</v>
      </c>
      <c r="G242" s="34" t="s">
        <v>45</v>
      </c>
      <c r="H242" s="36" t="str">
        <f>VLOOKUP(E242,'HC for display name '!$B:$D,2,0)</f>
        <v>Ahmed Magdy-Ewis</v>
      </c>
      <c r="I242" s="36" t="str">
        <f>VLOOKUP(E242,'HC for display name '!$B:$D,3,0)</f>
        <v>Omar Emad-Mahmoud</v>
      </c>
      <c r="J242" s="36" t="str">
        <f t="shared" si="4"/>
        <v>P</v>
      </c>
      <c r="N242" s="17"/>
      <c r="O242" s="17"/>
      <c r="P242" s="17"/>
      <c r="Q242" s="17"/>
      <c r="R242" s="18"/>
      <c r="S242" s="17"/>
      <c r="T242" s="19"/>
      <c r="U242" s="19"/>
      <c r="V242" s="17"/>
      <c r="W242" s="17"/>
      <c r="X242" s="17"/>
      <c r="Y242" s="17"/>
      <c r="Z242" s="17"/>
      <c r="AA242" s="17"/>
      <c r="AB242" s="17"/>
    </row>
    <row r="243" spans="1:28" x14ac:dyDescent="0.25">
      <c r="A243" s="33">
        <v>1090784847</v>
      </c>
      <c r="B243" s="33">
        <v>9</v>
      </c>
      <c r="C243" s="34" t="s">
        <v>244</v>
      </c>
      <c r="D243" s="34" t="s">
        <v>245</v>
      </c>
      <c r="E243" s="34" t="s">
        <v>192</v>
      </c>
      <c r="F243" s="35">
        <v>46154</v>
      </c>
      <c r="G243" s="34" t="s">
        <v>45</v>
      </c>
      <c r="H243" s="36" t="str">
        <f>VLOOKUP(E243,'HC for display name '!$B:$D,2,0)</f>
        <v>Ibrahim Ahmed-Ghonimy</v>
      </c>
      <c r="I243" s="36" t="str">
        <f>VLOOKUP(E243,'HC for display name '!$B:$D,3,0)</f>
        <v>AbdElRahman Adel-ElKelany</v>
      </c>
      <c r="J243" s="36" t="str">
        <f t="shared" si="4"/>
        <v>P</v>
      </c>
      <c r="N243" s="20"/>
      <c r="O243" s="20"/>
      <c r="P243" s="20"/>
      <c r="Q243" s="20"/>
      <c r="R243" s="21"/>
      <c r="S243" s="20"/>
      <c r="T243" s="19"/>
      <c r="U243" s="19"/>
      <c r="V243" s="20"/>
      <c r="W243" s="20"/>
      <c r="X243" s="20"/>
      <c r="Y243" s="20"/>
      <c r="Z243" s="20"/>
      <c r="AA243" s="20"/>
      <c r="AB243" s="20"/>
    </row>
    <row r="244" spans="1:28" x14ac:dyDescent="0.25">
      <c r="A244" s="33">
        <v>1092343195</v>
      </c>
      <c r="B244" s="33">
        <v>10</v>
      </c>
      <c r="C244" s="34" t="s">
        <v>244</v>
      </c>
      <c r="D244" s="34" t="s">
        <v>244</v>
      </c>
      <c r="E244" s="34" t="s">
        <v>101</v>
      </c>
      <c r="F244" s="35">
        <v>46154</v>
      </c>
      <c r="G244" s="34" t="s">
        <v>45</v>
      </c>
      <c r="H244" s="36" t="str">
        <f>VLOOKUP(E244,'HC for display name '!$B:$D,2,0)</f>
        <v>Salma Taha-Ahmed</v>
      </c>
      <c r="I244" s="36" t="str">
        <f>VLOOKUP(E244,'HC for display name '!$B:$D,3,0)</f>
        <v>Merna Ashraf-Ashrafy</v>
      </c>
      <c r="J244" s="36" t="str">
        <f t="shared" si="4"/>
        <v>P</v>
      </c>
    </row>
    <row r="245" spans="1:28" x14ac:dyDescent="0.25">
      <c r="A245" s="33">
        <v>1099157562</v>
      </c>
      <c r="B245" s="33">
        <v>10</v>
      </c>
      <c r="C245" s="34" t="s">
        <v>244</v>
      </c>
      <c r="D245" s="34" t="s">
        <v>245</v>
      </c>
      <c r="E245" s="34" t="s">
        <v>145</v>
      </c>
      <c r="F245" s="35">
        <v>46154</v>
      </c>
      <c r="G245" s="34" t="s">
        <v>45</v>
      </c>
      <c r="H245" s="36" t="str">
        <f>VLOOKUP(E245,'HC for display name '!$B:$D,2,0)</f>
        <v>Aya Ezzat-Mahmoud</v>
      </c>
      <c r="I245" s="36" t="str">
        <f>VLOOKUP(E245,'HC for display name '!$B:$D,3,0)</f>
        <v>Merna Ashraf-Ashrafy</v>
      </c>
      <c r="J245" s="36" t="str">
        <f t="shared" si="4"/>
        <v>P</v>
      </c>
      <c r="N245" s="17"/>
      <c r="O245" s="17"/>
      <c r="P245" s="17"/>
      <c r="Q245" s="17"/>
      <c r="R245" s="18"/>
      <c r="S245" s="17"/>
      <c r="T245" s="19"/>
      <c r="U245" s="19"/>
      <c r="V245" s="17"/>
      <c r="W245" s="17"/>
      <c r="X245" s="17"/>
      <c r="Y245" s="17"/>
      <c r="Z245" s="17"/>
      <c r="AA245" s="17"/>
      <c r="AB245" s="17"/>
    </row>
    <row r="246" spans="1:28" x14ac:dyDescent="0.25">
      <c r="A246" s="33">
        <v>1099563422</v>
      </c>
      <c r="B246" s="33">
        <v>10</v>
      </c>
      <c r="C246" s="34" t="s">
        <v>244</v>
      </c>
      <c r="D246" s="34" t="s">
        <v>245</v>
      </c>
      <c r="E246" s="34" t="s">
        <v>192</v>
      </c>
      <c r="F246" s="35">
        <v>46154</v>
      </c>
      <c r="G246" s="34" t="s">
        <v>45</v>
      </c>
      <c r="H246" s="36" t="str">
        <f>VLOOKUP(E246,'HC for display name '!$B:$D,2,0)</f>
        <v>Ibrahim Ahmed-Ghonimy</v>
      </c>
      <c r="I246" s="36" t="str">
        <f>VLOOKUP(E246,'HC for display name '!$B:$D,3,0)</f>
        <v>AbdElRahman Adel-ElKelany</v>
      </c>
      <c r="J246" s="36" t="str">
        <f t="shared" si="4"/>
        <v>P</v>
      </c>
      <c r="N246" s="20"/>
      <c r="O246" s="20"/>
      <c r="P246" s="20"/>
      <c r="Q246" s="20"/>
      <c r="R246" s="21"/>
      <c r="S246" s="20"/>
      <c r="T246" s="19"/>
      <c r="U246" s="19"/>
      <c r="V246" s="20"/>
      <c r="W246" s="20"/>
      <c r="X246" s="20"/>
      <c r="Y246" s="20"/>
      <c r="Z246" s="20"/>
      <c r="AA246" s="20"/>
      <c r="AB246" s="20"/>
    </row>
    <row r="247" spans="1:28" x14ac:dyDescent="0.25">
      <c r="A247" s="33">
        <v>1002077069</v>
      </c>
      <c r="B247" s="33">
        <v>10</v>
      </c>
      <c r="C247" s="34" t="s">
        <v>250</v>
      </c>
      <c r="D247" s="34" t="s">
        <v>245</v>
      </c>
      <c r="E247" s="34" t="s">
        <v>145</v>
      </c>
      <c r="F247" s="35">
        <v>46155</v>
      </c>
      <c r="G247" s="34" t="s">
        <v>45</v>
      </c>
      <c r="H247" s="36" t="str">
        <f>VLOOKUP(E247,'HC for display name '!$B:$D,2,0)</f>
        <v>Aya Ezzat-Mahmoud</v>
      </c>
      <c r="I247" s="36" t="str">
        <f>VLOOKUP(E247,'HC for display name '!$B:$D,3,0)</f>
        <v>Merna Ashraf-Ashrafy</v>
      </c>
      <c r="J247" s="36" t="str">
        <f t="shared" si="4"/>
        <v>P</v>
      </c>
      <c r="N247" s="17"/>
      <c r="O247" s="17"/>
      <c r="P247" s="17"/>
      <c r="Q247" s="17"/>
      <c r="R247" s="18"/>
      <c r="S247" s="17"/>
      <c r="T247" s="19"/>
      <c r="U247" s="19"/>
      <c r="V247" s="17"/>
      <c r="W247" s="17"/>
      <c r="X247" s="17"/>
      <c r="Y247" s="17"/>
      <c r="Z247" s="17"/>
      <c r="AA247" s="17"/>
      <c r="AB247" s="17"/>
    </row>
    <row r="248" spans="1:28" x14ac:dyDescent="0.25">
      <c r="A248" s="33">
        <v>1003366117</v>
      </c>
      <c r="B248" s="33">
        <v>10</v>
      </c>
      <c r="C248" s="34" t="s">
        <v>250</v>
      </c>
      <c r="D248" s="34" t="s">
        <v>245</v>
      </c>
      <c r="E248" s="34" t="s">
        <v>122</v>
      </c>
      <c r="F248" s="35">
        <v>46155</v>
      </c>
      <c r="G248" s="34" t="s">
        <v>45</v>
      </c>
      <c r="H248" s="36" t="str">
        <f>VLOOKUP(E248,'HC for display name '!$B:$D,2,0)</f>
        <v>Nouran AbdAllah-Saeed</v>
      </c>
      <c r="I248" s="36" t="str">
        <f>VLOOKUP(E248,'HC for display name '!$B:$D,3,0)</f>
        <v>Merna Ashraf-Ashrafy</v>
      </c>
      <c r="J248" s="36" t="str">
        <f t="shared" si="4"/>
        <v>P</v>
      </c>
      <c r="N248" s="20"/>
      <c r="O248" s="20"/>
      <c r="P248" s="20"/>
      <c r="Q248" s="20"/>
      <c r="R248" s="21"/>
      <c r="S248" s="20"/>
      <c r="T248" s="19"/>
      <c r="U248" s="19"/>
      <c r="V248" s="20"/>
      <c r="W248" s="20"/>
      <c r="X248" s="20"/>
      <c r="Y248" s="20"/>
      <c r="Z248" s="20"/>
      <c r="AA248" s="20"/>
      <c r="AB248" s="20"/>
    </row>
    <row r="249" spans="1:28" x14ac:dyDescent="0.25">
      <c r="A249" s="33">
        <v>1004836344</v>
      </c>
      <c r="B249" s="33">
        <v>9</v>
      </c>
      <c r="C249" s="34" t="s">
        <v>244</v>
      </c>
      <c r="D249" s="34" t="s">
        <v>244</v>
      </c>
      <c r="E249" s="34" t="s">
        <v>101</v>
      </c>
      <c r="F249" s="35">
        <v>46155</v>
      </c>
      <c r="G249" s="34" t="s">
        <v>45</v>
      </c>
      <c r="H249" s="36" t="str">
        <f>VLOOKUP(E249,'HC for display name '!$B:$D,2,0)</f>
        <v>Salma Taha-Ahmed</v>
      </c>
      <c r="I249" s="36" t="str">
        <f>VLOOKUP(E249,'HC for display name '!$B:$D,3,0)</f>
        <v>Merna Ashraf-Ashrafy</v>
      </c>
      <c r="J249" s="36" t="str">
        <f t="shared" si="4"/>
        <v>P</v>
      </c>
      <c r="N249" s="17"/>
      <c r="O249" s="17"/>
      <c r="P249" s="17"/>
      <c r="Q249" s="17"/>
      <c r="R249" s="18"/>
      <c r="S249" s="17"/>
      <c r="T249" s="19"/>
      <c r="U249" s="19"/>
      <c r="V249" s="17"/>
      <c r="W249" s="17"/>
      <c r="X249" s="17"/>
      <c r="Y249" s="17"/>
      <c r="Z249" s="17"/>
      <c r="AA249" s="17"/>
      <c r="AB249" s="17"/>
    </row>
    <row r="250" spans="1:28" x14ac:dyDescent="0.25">
      <c r="A250" s="33">
        <v>1005314040</v>
      </c>
      <c r="B250" s="33">
        <v>0</v>
      </c>
      <c r="C250" s="34" t="s">
        <v>250</v>
      </c>
      <c r="D250" s="34" t="s">
        <v>244</v>
      </c>
      <c r="E250" s="34" t="s">
        <v>251</v>
      </c>
      <c r="F250" s="35">
        <v>46155</v>
      </c>
      <c r="G250" s="34" t="s">
        <v>45</v>
      </c>
      <c r="H250" s="36" t="str">
        <f>VLOOKUP(E250,'HC for display name '!$B:$D,2,0)</f>
        <v>Ahmed Maged-Wahib</v>
      </c>
      <c r="I250" s="36" t="str">
        <f>VLOOKUP(E250,'HC for display name '!$B:$D,3,0)</f>
        <v>Hend Yousry-AbdElRassoul</v>
      </c>
      <c r="J250" s="36" t="str">
        <f t="shared" si="4"/>
        <v>D</v>
      </c>
      <c r="N250" s="20"/>
      <c r="O250" s="20"/>
      <c r="P250" s="20"/>
      <c r="Q250" s="20"/>
      <c r="R250" s="21"/>
      <c r="S250" s="20"/>
      <c r="T250" s="19"/>
      <c r="U250" s="19"/>
      <c r="V250" s="20"/>
      <c r="W250" s="20"/>
      <c r="X250" s="20"/>
      <c r="Y250" s="20"/>
      <c r="Z250" s="20"/>
      <c r="AA250" s="20"/>
      <c r="AB250" s="20"/>
    </row>
    <row r="251" spans="1:28" x14ac:dyDescent="0.25">
      <c r="A251" s="33">
        <v>1005572002</v>
      </c>
      <c r="B251" s="33">
        <v>7</v>
      </c>
      <c r="C251" s="34" t="s">
        <v>244</v>
      </c>
      <c r="D251" s="34" t="s">
        <v>245</v>
      </c>
      <c r="E251" s="34" t="s">
        <v>137</v>
      </c>
      <c r="F251" s="35">
        <v>46155</v>
      </c>
      <c r="G251" s="34" t="s">
        <v>45</v>
      </c>
      <c r="H251" s="36" t="str">
        <f>VLOOKUP(E251,'HC for display name '!$B:$D,2,0)</f>
        <v>Yasmine Waleed-Mohamed</v>
      </c>
      <c r="I251" s="36" t="str">
        <f>VLOOKUP(E251,'HC for display name '!$B:$D,3,0)</f>
        <v>Merna Ashraf-Ashrafy</v>
      </c>
      <c r="J251" s="36" t="str">
        <f t="shared" si="4"/>
        <v>N</v>
      </c>
      <c r="N251" s="17"/>
      <c r="O251" s="17"/>
      <c r="P251" s="17"/>
      <c r="Q251" s="17"/>
      <c r="R251" s="18"/>
      <c r="S251" s="17"/>
      <c r="T251" s="19"/>
      <c r="U251" s="19"/>
      <c r="V251" s="17"/>
      <c r="W251" s="17"/>
      <c r="X251" s="17"/>
      <c r="Y251" s="17"/>
      <c r="Z251" s="17"/>
      <c r="AA251" s="17"/>
      <c r="AB251" s="17"/>
    </row>
    <row r="252" spans="1:28" x14ac:dyDescent="0.25">
      <c r="A252" s="33">
        <v>1008477539</v>
      </c>
      <c r="B252" s="33">
        <v>0</v>
      </c>
      <c r="C252" s="34" t="s">
        <v>248</v>
      </c>
      <c r="D252" s="34" t="s">
        <v>244</v>
      </c>
      <c r="E252" s="34" t="s">
        <v>264</v>
      </c>
      <c r="F252" s="35">
        <v>46155</v>
      </c>
      <c r="G252" s="34" t="s">
        <v>45</v>
      </c>
      <c r="H252" s="36" t="str">
        <f>VLOOKUP(E252,'HC for display name '!$B:$D,2,0)</f>
        <v>Ziad Hassan-Donkol</v>
      </c>
      <c r="I252" s="36" t="str">
        <f>VLOOKUP(E252,'HC for display name '!$B:$D,3,0)</f>
        <v>AbdElRahman Adel-ElKelany</v>
      </c>
      <c r="J252" s="36" t="str">
        <f t="shared" si="4"/>
        <v>D</v>
      </c>
      <c r="N252" s="20"/>
      <c r="O252" s="20"/>
      <c r="P252" s="20"/>
      <c r="Q252" s="20"/>
      <c r="R252" s="21"/>
      <c r="S252" s="20"/>
      <c r="T252" s="19"/>
      <c r="U252" s="19"/>
      <c r="V252" s="20"/>
      <c r="W252" s="20"/>
      <c r="X252" s="20"/>
      <c r="Y252" s="20"/>
      <c r="Z252" s="20"/>
      <c r="AA252" s="20"/>
      <c r="AB252" s="20"/>
    </row>
    <row r="253" spans="1:28" x14ac:dyDescent="0.25">
      <c r="A253" s="33">
        <v>1011272820</v>
      </c>
      <c r="B253" s="33">
        <v>8</v>
      </c>
      <c r="C253" s="34" t="s">
        <v>244</v>
      </c>
      <c r="D253" s="34" t="s">
        <v>245</v>
      </c>
      <c r="E253" s="34" t="s">
        <v>246</v>
      </c>
      <c r="F253" s="35">
        <v>46155</v>
      </c>
      <c r="G253" s="34" t="s">
        <v>45</v>
      </c>
      <c r="H253" s="36" t="str">
        <f>VLOOKUP(E253,'HC for display name '!$B:$D,2,0)</f>
        <v>Peter Amgad-Shehata</v>
      </c>
      <c r="I253" s="36" t="str">
        <f>VLOOKUP(E253,'HC for display name '!$B:$D,3,0)</f>
        <v>Hend Yousry-AbdElRassoul</v>
      </c>
      <c r="J253" s="36" t="str">
        <f t="shared" si="4"/>
        <v>N</v>
      </c>
      <c r="N253" s="17"/>
      <c r="O253" s="17"/>
      <c r="P253" s="17"/>
      <c r="Q253" s="17"/>
      <c r="R253" s="18"/>
      <c r="S253" s="17"/>
      <c r="T253" s="19"/>
      <c r="U253" s="19"/>
      <c r="V253" s="17"/>
      <c r="W253" s="17"/>
      <c r="X253" s="17"/>
      <c r="Y253" s="17"/>
      <c r="Z253" s="17"/>
      <c r="AA253" s="17"/>
      <c r="AB253" s="17"/>
    </row>
    <row r="254" spans="1:28" x14ac:dyDescent="0.25">
      <c r="A254" s="33">
        <v>1013088919</v>
      </c>
      <c r="B254" s="33">
        <v>10</v>
      </c>
      <c r="C254" s="34" t="s">
        <v>244</v>
      </c>
      <c r="D254" s="34" t="s">
        <v>245</v>
      </c>
      <c r="E254" s="34" t="s">
        <v>249</v>
      </c>
      <c r="F254" s="35">
        <v>46155</v>
      </c>
      <c r="G254" s="34" t="s">
        <v>45</v>
      </c>
      <c r="H254" s="36" t="str">
        <f>VLOOKUP(E254,'HC for display name '!$B:$D,2,0)</f>
        <v>Omar Mamdouh-AbdAllah</v>
      </c>
      <c r="I254" s="36" t="str">
        <f>VLOOKUP(E254,'HC for display name '!$B:$D,3,0)</f>
        <v>Hend Yousry-AbdElRassoul</v>
      </c>
      <c r="J254" s="36" t="str">
        <f t="shared" si="4"/>
        <v>P</v>
      </c>
      <c r="N254" s="20"/>
      <c r="O254" s="20"/>
      <c r="P254" s="20"/>
      <c r="Q254" s="20"/>
      <c r="R254" s="21"/>
      <c r="S254" s="20"/>
      <c r="T254" s="19"/>
      <c r="U254" s="19"/>
      <c r="V254" s="20"/>
      <c r="W254" s="20"/>
      <c r="X254" s="20"/>
      <c r="Y254" s="20"/>
      <c r="Z254" s="20"/>
      <c r="AA254" s="20"/>
      <c r="AB254" s="20"/>
    </row>
    <row r="255" spans="1:28" x14ac:dyDescent="0.25">
      <c r="A255" s="33">
        <v>1014830604</v>
      </c>
      <c r="B255" s="33">
        <v>10</v>
      </c>
      <c r="C255" s="34" t="s">
        <v>250</v>
      </c>
      <c r="D255" s="34" t="s">
        <v>245</v>
      </c>
      <c r="E255" s="34" t="s">
        <v>169</v>
      </c>
      <c r="F255" s="35">
        <v>46155</v>
      </c>
      <c r="G255" s="34" t="s">
        <v>45</v>
      </c>
      <c r="H255" s="36" t="str">
        <f>VLOOKUP(E255,'HC for display name '!$B:$D,2,0)</f>
        <v>AbdElRhman Hesham-AbdElFadeel</v>
      </c>
      <c r="I255" s="36" t="str">
        <f>VLOOKUP(E255,'HC for display name '!$B:$D,3,0)</f>
        <v>AbdElRahman Adel-ElKelany</v>
      </c>
      <c r="J255" s="36" t="str">
        <f t="shared" si="4"/>
        <v>P</v>
      </c>
      <c r="N255" s="17"/>
      <c r="O255" s="17"/>
      <c r="P255" s="17"/>
      <c r="Q255" s="17"/>
      <c r="R255" s="18"/>
      <c r="S255" s="17"/>
      <c r="T255" s="19"/>
      <c r="U255" s="19"/>
      <c r="V255" s="17"/>
      <c r="W255" s="17"/>
      <c r="X255" s="17"/>
      <c r="Y255" s="17"/>
      <c r="Z255" s="17"/>
      <c r="AA255" s="17"/>
      <c r="AB255" s="17"/>
    </row>
    <row r="256" spans="1:28" x14ac:dyDescent="0.25">
      <c r="A256" s="33">
        <v>1028268508</v>
      </c>
      <c r="B256" s="33">
        <v>8</v>
      </c>
      <c r="C256" s="34" t="s">
        <v>244</v>
      </c>
      <c r="D256" s="34" t="s">
        <v>245</v>
      </c>
      <c r="E256" s="34" t="s">
        <v>93</v>
      </c>
      <c r="F256" s="35">
        <v>46155</v>
      </c>
      <c r="G256" s="34" t="s">
        <v>45</v>
      </c>
      <c r="H256" s="36" t="str">
        <f>VLOOKUP(E256,'HC for display name '!$B:$D,2,0)</f>
        <v>Islam Gamal-Zakaria</v>
      </c>
      <c r="I256" s="36" t="str">
        <f>VLOOKUP(E256,'HC for display name '!$B:$D,3,0)</f>
        <v>Omar Emad-Mahmoud</v>
      </c>
      <c r="J256" s="36" t="str">
        <f t="shared" si="4"/>
        <v>N</v>
      </c>
      <c r="N256" s="20"/>
      <c r="O256" s="20"/>
      <c r="P256" s="20"/>
      <c r="Q256" s="20"/>
      <c r="R256" s="21"/>
      <c r="S256" s="20"/>
      <c r="T256" s="19"/>
      <c r="U256" s="19"/>
      <c r="V256" s="20"/>
      <c r="W256" s="20"/>
      <c r="X256" s="20"/>
      <c r="Y256" s="20"/>
      <c r="Z256" s="20"/>
      <c r="AA256" s="20"/>
      <c r="AB256" s="20"/>
    </row>
    <row r="257" spans="1:28" x14ac:dyDescent="0.25">
      <c r="A257" s="33">
        <v>1044526644</v>
      </c>
      <c r="B257" s="33">
        <v>0</v>
      </c>
      <c r="C257" s="34" t="s">
        <v>250</v>
      </c>
      <c r="D257" s="34" t="s">
        <v>245</v>
      </c>
      <c r="E257" s="34" t="s">
        <v>79</v>
      </c>
      <c r="F257" s="35">
        <v>46155</v>
      </c>
      <c r="G257" s="34" t="s">
        <v>45</v>
      </c>
      <c r="H257" s="36" t="str">
        <f>VLOOKUP(E257,'HC for display name '!$B:$D,2,0)</f>
        <v>Youssef Hamdy-Mohamed</v>
      </c>
      <c r="I257" s="36" t="str">
        <f>VLOOKUP(E257,'HC for display name '!$B:$D,3,0)</f>
        <v>Omar Emad-Mahmoud</v>
      </c>
      <c r="J257" s="36" t="str">
        <f t="shared" si="4"/>
        <v>D</v>
      </c>
      <c r="N257" s="17"/>
      <c r="O257" s="17"/>
      <c r="P257" s="17"/>
      <c r="Q257" s="17"/>
      <c r="R257" s="18"/>
      <c r="S257" s="17"/>
      <c r="T257" s="19"/>
      <c r="U257" s="19"/>
      <c r="V257" s="17"/>
      <c r="W257" s="17"/>
      <c r="X257" s="17"/>
      <c r="Y257" s="17"/>
      <c r="Z257" s="17"/>
      <c r="AA257" s="17"/>
      <c r="AB257" s="17"/>
    </row>
    <row r="258" spans="1:28" x14ac:dyDescent="0.25">
      <c r="A258" s="33">
        <v>1050154074</v>
      </c>
      <c r="B258" s="33">
        <v>0</v>
      </c>
      <c r="C258" s="34" t="s">
        <v>244</v>
      </c>
      <c r="D258" s="34" t="s">
        <v>245</v>
      </c>
      <c r="E258" s="34" t="s">
        <v>256</v>
      </c>
      <c r="F258" s="35">
        <v>46155</v>
      </c>
      <c r="G258" s="34" t="s">
        <v>45</v>
      </c>
      <c r="H258" s="36" t="str">
        <f>VLOOKUP(E258,'HC for display name '!$B:$D,2,0)</f>
        <v>Esraa Saad-Mahfod</v>
      </c>
      <c r="I258" s="36" t="str">
        <f>VLOOKUP(E258,'HC for display name '!$B:$D,3,0)</f>
        <v>Hend Yousry-AbdElRassoul</v>
      </c>
      <c r="J258" s="36" t="str">
        <f t="shared" si="4"/>
        <v>D</v>
      </c>
      <c r="N258" s="20"/>
      <c r="O258" s="20"/>
      <c r="P258" s="20"/>
      <c r="Q258" s="20"/>
      <c r="R258" s="21"/>
      <c r="S258" s="20"/>
      <c r="T258" s="19"/>
      <c r="U258" s="19"/>
      <c r="V258" s="20"/>
      <c r="W258" s="20"/>
      <c r="X258" s="20"/>
      <c r="Y258" s="20"/>
      <c r="Z258" s="20"/>
      <c r="AA258" s="20"/>
      <c r="AB258" s="20"/>
    </row>
    <row r="259" spans="1:28" x14ac:dyDescent="0.25">
      <c r="A259" s="33">
        <v>1060060793</v>
      </c>
      <c r="B259" s="33">
        <v>10</v>
      </c>
      <c r="C259" s="34" t="s">
        <v>250</v>
      </c>
      <c r="D259" s="34" t="s">
        <v>245</v>
      </c>
      <c r="E259" s="34" t="s">
        <v>264</v>
      </c>
      <c r="F259" s="35">
        <v>46155</v>
      </c>
      <c r="G259" s="34" t="s">
        <v>45</v>
      </c>
      <c r="H259" s="36" t="str">
        <f>VLOOKUP(E259,'HC for display name '!$B:$D,2,0)</f>
        <v>Ziad Hassan-Donkol</v>
      </c>
      <c r="I259" s="36" t="str">
        <f>VLOOKUP(E259,'HC for display name '!$B:$D,3,0)</f>
        <v>AbdElRahman Adel-ElKelany</v>
      </c>
      <c r="J259" s="36" t="str">
        <f t="shared" si="4"/>
        <v>P</v>
      </c>
      <c r="N259" s="17"/>
      <c r="O259" s="17"/>
      <c r="P259" s="17"/>
      <c r="Q259" s="17"/>
      <c r="R259" s="18"/>
      <c r="S259" s="17"/>
      <c r="T259" s="19"/>
      <c r="U259" s="19"/>
      <c r="V259" s="17"/>
      <c r="W259" s="17"/>
      <c r="X259" s="17"/>
      <c r="Y259" s="17"/>
      <c r="Z259" s="17"/>
      <c r="AA259" s="17"/>
      <c r="AB259" s="17"/>
    </row>
    <row r="260" spans="1:28" x14ac:dyDescent="0.25">
      <c r="A260" s="33">
        <v>1060122234</v>
      </c>
      <c r="B260" s="33">
        <v>10</v>
      </c>
      <c r="C260" s="34" t="s">
        <v>244</v>
      </c>
      <c r="D260" s="34" t="s">
        <v>245</v>
      </c>
      <c r="E260" s="34" t="s">
        <v>259</v>
      </c>
      <c r="F260" s="35">
        <v>46155</v>
      </c>
      <c r="G260" s="34" t="s">
        <v>45</v>
      </c>
      <c r="H260" s="36" t="str">
        <f>VLOOKUP(E260,'HC for display name '!$B:$D,2,0)</f>
        <v>Ahmed Fathy-Fathy</v>
      </c>
      <c r="I260" s="36" t="str">
        <f>VLOOKUP(E260,'HC for display name '!$B:$D,3,0)</f>
        <v>Omar Emad-Mahmoud</v>
      </c>
      <c r="J260" s="36" t="str">
        <f t="shared" si="4"/>
        <v>P</v>
      </c>
      <c r="N260" s="20"/>
      <c r="O260" s="20"/>
      <c r="P260" s="20"/>
      <c r="Q260" s="20"/>
      <c r="R260" s="21"/>
      <c r="S260" s="20"/>
      <c r="T260" s="19"/>
      <c r="U260" s="19"/>
      <c r="V260" s="20"/>
      <c r="W260" s="20"/>
      <c r="X260" s="20"/>
      <c r="Y260" s="20"/>
      <c r="Z260" s="20"/>
      <c r="AA260" s="20"/>
      <c r="AB260" s="20"/>
    </row>
    <row r="261" spans="1:28" x14ac:dyDescent="0.25">
      <c r="A261" s="33">
        <v>1060149029</v>
      </c>
      <c r="B261" s="33">
        <v>10</v>
      </c>
      <c r="C261" s="34" t="s">
        <v>250</v>
      </c>
      <c r="D261" s="34" t="s">
        <v>245</v>
      </c>
      <c r="E261" s="34" t="s">
        <v>261</v>
      </c>
      <c r="F261" s="35">
        <v>46155</v>
      </c>
      <c r="G261" s="34" t="s">
        <v>45</v>
      </c>
      <c r="H261" s="36" t="str">
        <f>VLOOKUP(E261,'HC for display name '!$B:$D,2,0)</f>
        <v>Mohamed AbdElaziz-AbdElRahman</v>
      </c>
      <c r="I261" s="36" t="str">
        <f>VLOOKUP(E261,'HC for display name '!$B:$D,3,0)</f>
        <v>Omar Emad-Mahmoud</v>
      </c>
      <c r="J261" s="36" t="str">
        <f t="shared" si="4"/>
        <v>P</v>
      </c>
      <c r="N261" s="17"/>
      <c r="O261" s="17"/>
      <c r="P261" s="17"/>
      <c r="Q261" s="17"/>
      <c r="R261" s="18"/>
      <c r="S261" s="17"/>
      <c r="T261" s="19"/>
      <c r="U261" s="19"/>
      <c r="V261" s="17"/>
      <c r="W261" s="17"/>
      <c r="X261" s="17"/>
      <c r="Y261" s="17"/>
      <c r="Z261" s="17"/>
      <c r="AA261" s="17"/>
      <c r="AB261" s="17"/>
    </row>
    <row r="262" spans="1:28" x14ac:dyDescent="0.25">
      <c r="A262" s="33">
        <v>1060734865</v>
      </c>
      <c r="B262" s="33">
        <v>10</v>
      </c>
      <c r="C262" s="34" t="s">
        <v>244</v>
      </c>
      <c r="D262" s="34" t="s">
        <v>245</v>
      </c>
      <c r="E262" s="34" t="s">
        <v>145</v>
      </c>
      <c r="F262" s="35">
        <v>46155</v>
      </c>
      <c r="G262" s="34" t="s">
        <v>45</v>
      </c>
      <c r="H262" s="36" t="str">
        <f>VLOOKUP(E262,'HC for display name '!$B:$D,2,0)</f>
        <v>Aya Ezzat-Mahmoud</v>
      </c>
      <c r="I262" s="36" t="str">
        <f>VLOOKUP(E262,'HC for display name '!$B:$D,3,0)</f>
        <v>Merna Ashraf-Ashrafy</v>
      </c>
      <c r="J262" s="36" t="str">
        <f t="shared" si="4"/>
        <v>P</v>
      </c>
      <c r="N262" s="20"/>
      <c r="O262" s="20"/>
      <c r="P262" s="20"/>
      <c r="Q262" s="20"/>
      <c r="R262" s="21"/>
      <c r="S262" s="20"/>
      <c r="T262" s="19"/>
      <c r="U262" s="19"/>
      <c r="V262" s="20"/>
      <c r="W262" s="20"/>
      <c r="X262" s="20"/>
      <c r="Y262" s="20"/>
      <c r="Z262" s="20"/>
      <c r="AA262" s="20"/>
      <c r="AB262" s="20"/>
    </row>
    <row r="263" spans="1:28" x14ac:dyDescent="0.25">
      <c r="A263" s="33">
        <v>1064342518</v>
      </c>
      <c r="B263" s="33">
        <v>8</v>
      </c>
      <c r="C263" s="34" t="s">
        <v>248</v>
      </c>
      <c r="D263" s="34" t="s">
        <v>245</v>
      </c>
      <c r="E263" s="34" t="s">
        <v>93</v>
      </c>
      <c r="F263" s="35">
        <v>46155</v>
      </c>
      <c r="G263" s="34" t="s">
        <v>45</v>
      </c>
      <c r="H263" s="36" t="str">
        <f>VLOOKUP(E263,'HC for display name '!$B:$D,2,0)</f>
        <v>Islam Gamal-Zakaria</v>
      </c>
      <c r="I263" s="36" t="str">
        <f>VLOOKUP(E263,'HC for display name '!$B:$D,3,0)</f>
        <v>Omar Emad-Mahmoud</v>
      </c>
      <c r="J263" s="36" t="str">
        <f t="shared" si="4"/>
        <v>N</v>
      </c>
      <c r="N263" s="17"/>
      <c r="O263" s="17"/>
      <c r="P263" s="17"/>
      <c r="Q263" s="17"/>
      <c r="R263" s="18"/>
      <c r="S263" s="17"/>
      <c r="T263" s="19"/>
      <c r="U263" s="19"/>
      <c r="V263" s="17"/>
      <c r="W263" s="17"/>
      <c r="X263" s="17"/>
      <c r="Y263" s="17"/>
      <c r="Z263" s="17"/>
      <c r="AA263" s="17"/>
      <c r="AB263" s="17"/>
    </row>
    <row r="264" spans="1:28" x14ac:dyDescent="0.25">
      <c r="A264" s="33">
        <v>1064842737</v>
      </c>
      <c r="B264" s="33">
        <v>9</v>
      </c>
      <c r="C264" s="34" t="s">
        <v>244</v>
      </c>
      <c r="D264" s="34" t="s">
        <v>245</v>
      </c>
      <c r="E264" s="34" t="s">
        <v>265</v>
      </c>
      <c r="F264" s="35">
        <v>46155</v>
      </c>
      <c r="G264" s="34" t="s">
        <v>45</v>
      </c>
      <c r="H264" s="36" t="str">
        <f>VLOOKUP(E264,'HC for display name '!$B:$D,2,0)</f>
        <v>Safaa Safwat-Zekry</v>
      </c>
      <c r="I264" s="36" t="str">
        <f>VLOOKUP(E264,'HC for display name '!$B:$D,3,0)</f>
        <v>Merna Ashraf-Ashrafy</v>
      </c>
      <c r="J264" s="36" t="str">
        <f t="shared" si="4"/>
        <v>P</v>
      </c>
      <c r="N264" s="20"/>
      <c r="O264" s="20"/>
      <c r="P264" s="20"/>
      <c r="Q264" s="20"/>
      <c r="R264" s="21"/>
      <c r="S264" s="20"/>
      <c r="T264" s="19"/>
      <c r="U264" s="19"/>
      <c r="V264" s="20"/>
      <c r="W264" s="20"/>
      <c r="X264" s="20"/>
      <c r="Y264" s="20"/>
      <c r="Z264" s="20"/>
      <c r="AA264" s="20"/>
      <c r="AB264" s="20"/>
    </row>
    <row r="265" spans="1:28" x14ac:dyDescent="0.25">
      <c r="A265" s="33">
        <v>1066779679</v>
      </c>
      <c r="B265" s="33">
        <v>8</v>
      </c>
      <c r="C265" s="34" t="s">
        <v>244</v>
      </c>
      <c r="D265" s="34" t="s">
        <v>245</v>
      </c>
      <c r="E265" s="34" t="s">
        <v>79</v>
      </c>
      <c r="F265" s="35">
        <v>46155</v>
      </c>
      <c r="G265" s="34" t="s">
        <v>45</v>
      </c>
      <c r="H265" s="36" t="str">
        <f>VLOOKUP(E265,'HC for display name '!$B:$D,2,0)</f>
        <v>Youssef Hamdy-Mohamed</v>
      </c>
      <c r="I265" s="36" t="str">
        <f>VLOOKUP(E265,'HC for display name '!$B:$D,3,0)</f>
        <v>Omar Emad-Mahmoud</v>
      </c>
      <c r="J265" s="36" t="str">
        <f t="shared" si="4"/>
        <v>N</v>
      </c>
      <c r="N265" s="17"/>
      <c r="O265" s="17"/>
      <c r="P265" s="17"/>
      <c r="Q265" s="17"/>
      <c r="R265" s="18"/>
      <c r="S265" s="17"/>
      <c r="T265" s="19"/>
      <c r="U265" s="19"/>
      <c r="V265" s="17"/>
      <c r="W265" s="17"/>
      <c r="X265" s="17"/>
      <c r="Y265" s="17"/>
      <c r="Z265" s="17"/>
      <c r="AA265" s="17"/>
      <c r="AB265" s="17"/>
    </row>
    <row r="266" spans="1:28" x14ac:dyDescent="0.25">
      <c r="A266" s="33">
        <v>1090005919</v>
      </c>
      <c r="B266" s="33">
        <v>10</v>
      </c>
      <c r="C266" s="34" t="s">
        <v>250</v>
      </c>
      <c r="D266" s="34" t="s">
        <v>245</v>
      </c>
      <c r="E266" s="34" t="s">
        <v>169</v>
      </c>
      <c r="F266" s="35">
        <v>46155</v>
      </c>
      <c r="G266" s="34" t="s">
        <v>45</v>
      </c>
      <c r="H266" s="36" t="str">
        <f>VLOOKUP(E266,'HC for display name '!$B:$D,2,0)</f>
        <v>AbdElRhman Hesham-AbdElFadeel</v>
      </c>
      <c r="I266" s="36" t="str">
        <f>VLOOKUP(E266,'HC for display name '!$B:$D,3,0)</f>
        <v>AbdElRahman Adel-ElKelany</v>
      </c>
      <c r="J266" s="36" t="str">
        <f t="shared" si="4"/>
        <v>P</v>
      </c>
    </row>
    <row r="267" spans="1:28" x14ac:dyDescent="0.25">
      <c r="A267" s="33">
        <v>1092457495</v>
      </c>
      <c r="B267" s="33">
        <v>10</v>
      </c>
      <c r="C267" s="34" t="s">
        <v>250</v>
      </c>
      <c r="D267" s="34" t="s">
        <v>245</v>
      </c>
      <c r="E267" s="34" t="s">
        <v>259</v>
      </c>
      <c r="F267" s="35">
        <v>46155</v>
      </c>
      <c r="G267" s="34" t="s">
        <v>45</v>
      </c>
      <c r="H267" s="36" t="str">
        <f>VLOOKUP(E267,'HC for display name '!$B:$D,2,0)</f>
        <v>Ahmed Fathy-Fathy</v>
      </c>
      <c r="I267" s="36" t="str">
        <f>VLOOKUP(E267,'HC for display name '!$B:$D,3,0)</f>
        <v>Omar Emad-Mahmoud</v>
      </c>
      <c r="J267" s="36" t="str">
        <f t="shared" si="4"/>
        <v>P</v>
      </c>
      <c r="O267" s="17"/>
      <c r="P267" s="17"/>
      <c r="Q267" s="17"/>
      <c r="R267" s="18"/>
      <c r="S267" s="17"/>
      <c r="T267" s="19"/>
      <c r="U267" s="19"/>
      <c r="V267" s="17"/>
      <c r="W267" s="17"/>
      <c r="X267" s="17"/>
      <c r="Y267" s="17"/>
      <c r="Z267" s="17"/>
      <c r="AA267" s="17"/>
      <c r="AB267" s="17"/>
    </row>
    <row r="268" spans="1:28" x14ac:dyDescent="0.25">
      <c r="A268" s="33">
        <v>1094933201</v>
      </c>
      <c r="B268" s="33">
        <v>10</v>
      </c>
      <c r="C268" s="34" t="s">
        <v>244</v>
      </c>
      <c r="D268" s="34" t="s">
        <v>245</v>
      </c>
      <c r="E268" s="34" t="s">
        <v>152</v>
      </c>
      <c r="F268" s="35">
        <v>46155</v>
      </c>
      <c r="G268" s="34" t="s">
        <v>45</v>
      </c>
      <c r="H268" s="36" t="str">
        <f>VLOOKUP(E268,'HC for display name '!$B:$D,2,0)</f>
        <v>Bassant Salah-Hassan</v>
      </c>
      <c r="I268" s="36" t="str">
        <f>VLOOKUP(E268,'HC for display name '!$B:$D,3,0)</f>
        <v>Merna Ashraf-Ashrafy</v>
      </c>
      <c r="J268" s="36" t="str">
        <f t="shared" si="4"/>
        <v>P</v>
      </c>
      <c r="O268" s="20"/>
      <c r="P268" s="20"/>
      <c r="Q268" s="20"/>
      <c r="R268" s="21"/>
      <c r="S268" s="20"/>
      <c r="T268" s="19"/>
      <c r="U268" s="19"/>
      <c r="V268" s="20"/>
      <c r="W268" s="20"/>
      <c r="X268" s="20"/>
      <c r="Y268" s="20"/>
      <c r="Z268" s="20"/>
      <c r="AA268" s="20"/>
      <c r="AB268" s="20"/>
    </row>
    <row r="269" spans="1:28" x14ac:dyDescent="0.25">
      <c r="A269" s="33">
        <v>1097711160</v>
      </c>
      <c r="B269" s="33">
        <v>10</v>
      </c>
      <c r="C269" s="34" t="s">
        <v>244</v>
      </c>
      <c r="D269" s="34" t="s">
        <v>245</v>
      </c>
      <c r="E269" s="34" t="s">
        <v>263</v>
      </c>
      <c r="F269" s="35">
        <v>46155</v>
      </c>
      <c r="G269" s="34" t="s">
        <v>45</v>
      </c>
      <c r="H269" s="36" t="str">
        <f>VLOOKUP(E269,'HC for display name '!$B:$D,2,0)</f>
        <v>Yara Hussein-Mofleh</v>
      </c>
      <c r="I269" s="36" t="str">
        <f>VLOOKUP(E269,'HC for display name '!$B:$D,3,0)</f>
        <v>Hend Yousry-AbdElRassoul</v>
      </c>
      <c r="J269" s="36" t="str">
        <f t="shared" si="4"/>
        <v>P</v>
      </c>
      <c r="O269" s="17"/>
      <c r="P269" s="17"/>
      <c r="Q269" s="17"/>
      <c r="R269" s="18"/>
      <c r="S269" s="17"/>
      <c r="T269" s="19"/>
      <c r="U269" s="19"/>
      <c r="V269" s="17"/>
      <c r="W269" s="17"/>
      <c r="X269" s="17"/>
      <c r="Y269" s="17"/>
      <c r="Z269" s="17"/>
      <c r="AA269" s="17"/>
      <c r="AB269" s="17"/>
    </row>
    <row r="270" spans="1:28" x14ac:dyDescent="0.25">
      <c r="A270" s="33">
        <v>1005051801</v>
      </c>
      <c r="B270" s="33">
        <v>10</v>
      </c>
      <c r="C270" s="34" t="s">
        <v>250</v>
      </c>
      <c r="D270" s="34" t="s">
        <v>248</v>
      </c>
      <c r="E270" s="34" t="s">
        <v>101</v>
      </c>
      <c r="F270" s="35">
        <v>46156</v>
      </c>
      <c r="G270" s="34" t="s">
        <v>45</v>
      </c>
      <c r="H270" s="36" t="str">
        <f>VLOOKUP(E270,'HC for display name '!$B:$D,2,0)</f>
        <v>Salma Taha-Ahmed</v>
      </c>
      <c r="I270" s="36" t="str">
        <f>VLOOKUP(E270,'HC for display name '!$B:$D,3,0)</f>
        <v>Merna Ashraf-Ashrafy</v>
      </c>
      <c r="J270" s="36" t="str">
        <f t="shared" si="4"/>
        <v>P</v>
      </c>
      <c r="O270" s="20"/>
      <c r="P270" s="20"/>
      <c r="Q270" s="20"/>
      <c r="R270" s="21"/>
      <c r="S270" s="20"/>
      <c r="T270" s="19"/>
      <c r="U270" s="19"/>
      <c r="V270" s="20"/>
      <c r="W270" s="20"/>
      <c r="X270" s="20"/>
      <c r="Y270" s="20"/>
      <c r="Z270" s="20"/>
      <c r="AA270" s="20"/>
      <c r="AB270" s="20"/>
    </row>
    <row r="271" spans="1:28" x14ac:dyDescent="0.25">
      <c r="A271" s="33">
        <v>1005764081</v>
      </c>
      <c r="B271" s="33">
        <v>8</v>
      </c>
      <c r="C271" s="34" t="s">
        <v>244</v>
      </c>
      <c r="D271" s="34" t="s">
        <v>245</v>
      </c>
      <c r="E271" s="34" t="s">
        <v>279</v>
      </c>
      <c r="F271" s="35">
        <v>46156</v>
      </c>
      <c r="G271" s="34" t="s">
        <v>45</v>
      </c>
      <c r="H271" s="36" t="str">
        <f>VLOOKUP(E271,'HC for display name '!$B:$D,2,0)</f>
        <v>Mayar Ibrahim-Noah</v>
      </c>
      <c r="I271" s="36" t="str">
        <f>VLOOKUP(E271,'HC for display name '!$B:$D,3,0)</f>
        <v>Hend Yousry-AbdElRassoul</v>
      </c>
      <c r="J271" s="36" t="str">
        <f t="shared" si="4"/>
        <v>N</v>
      </c>
      <c r="O271" s="17"/>
      <c r="P271" s="17"/>
      <c r="Q271" s="17"/>
      <c r="R271" s="18"/>
      <c r="S271" s="17"/>
      <c r="T271" s="19"/>
      <c r="U271" s="19"/>
      <c r="V271" s="17"/>
      <c r="W271" s="17"/>
      <c r="X271" s="17"/>
      <c r="Y271" s="17"/>
      <c r="Z271" s="17"/>
      <c r="AA271" s="17"/>
      <c r="AB271" s="17"/>
    </row>
    <row r="272" spans="1:28" x14ac:dyDescent="0.25">
      <c r="A272" s="33">
        <v>1006959736</v>
      </c>
      <c r="B272" s="33">
        <v>10</v>
      </c>
      <c r="C272" s="34" t="s">
        <v>244</v>
      </c>
      <c r="D272" s="34" t="s">
        <v>245</v>
      </c>
      <c r="E272" s="34" t="s">
        <v>111</v>
      </c>
      <c r="F272" s="35">
        <v>46156</v>
      </c>
      <c r="G272" s="34" t="s">
        <v>45</v>
      </c>
      <c r="H272" s="36" t="str">
        <f>VLOOKUP(E272,'HC for display name '!$B:$D,2,0)</f>
        <v>Mohada Mohamed-Hamdy</v>
      </c>
      <c r="I272" s="36" t="str">
        <f>VLOOKUP(E272,'HC for display name '!$B:$D,3,0)</f>
        <v>Merna Ashraf-Ashrafy</v>
      </c>
      <c r="J272" s="36" t="str">
        <f t="shared" si="4"/>
        <v>P</v>
      </c>
      <c r="O272" s="20"/>
      <c r="P272" s="20"/>
      <c r="Q272" s="20"/>
      <c r="R272" s="21"/>
      <c r="S272" s="20"/>
      <c r="T272" s="19"/>
      <c r="U272" s="19"/>
      <c r="V272" s="20"/>
      <c r="W272" s="20"/>
      <c r="X272" s="20"/>
      <c r="Y272" s="20"/>
      <c r="Z272" s="20"/>
      <c r="AA272" s="20"/>
      <c r="AB272" s="20"/>
    </row>
    <row r="273" spans="1:28" x14ac:dyDescent="0.25">
      <c r="A273" s="33">
        <v>1007766639</v>
      </c>
      <c r="B273" s="33">
        <v>10</v>
      </c>
      <c r="C273" s="34" t="s">
        <v>250</v>
      </c>
      <c r="D273" s="34" t="s">
        <v>245</v>
      </c>
      <c r="E273" s="34" t="s">
        <v>265</v>
      </c>
      <c r="F273" s="35">
        <v>46156</v>
      </c>
      <c r="G273" s="34" t="s">
        <v>45</v>
      </c>
      <c r="H273" s="36" t="str">
        <f>VLOOKUP(E273,'HC for display name '!$B:$D,2,0)</f>
        <v>Safaa Safwat-Zekry</v>
      </c>
      <c r="I273" s="36" t="str">
        <f>VLOOKUP(E273,'HC for display name '!$B:$D,3,0)</f>
        <v>Merna Ashraf-Ashrafy</v>
      </c>
      <c r="J273" s="36" t="str">
        <f t="shared" si="4"/>
        <v>P</v>
      </c>
      <c r="O273" s="17"/>
      <c r="P273" s="17"/>
      <c r="Q273" s="17"/>
      <c r="R273" s="18"/>
      <c r="S273" s="17"/>
      <c r="T273" s="19"/>
      <c r="U273" s="19"/>
      <c r="V273" s="17"/>
      <c r="W273" s="17"/>
      <c r="X273" s="17"/>
      <c r="Y273" s="17"/>
      <c r="Z273" s="17"/>
      <c r="AA273" s="17"/>
      <c r="AB273" s="17"/>
    </row>
    <row r="274" spans="1:28" x14ac:dyDescent="0.25">
      <c r="A274" s="33">
        <v>1008404523</v>
      </c>
      <c r="B274" s="33">
        <v>8</v>
      </c>
      <c r="C274" s="34" t="s">
        <v>250</v>
      </c>
      <c r="D274" s="34" t="s">
        <v>250</v>
      </c>
      <c r="E274" s="34" t="s">
        <v>280</v>
      </c>
      <c r="F274" s="35">
        <v>46156</v>
      </c>
      <c r="G274" s="34" t="s">
        <v>45</v>
      </c>
      <c r="H274" s="36" t="str">
        <f>VLOOKUP(E274,'HC for display name '!$B:$D,2,0)</f>
        <v>Kawthar Nasreldin-Mohyeldin</v>
      </c>
      <c r="I274" s="36" t="str">
        <f>VLOOKUP(E274,'HC for display name '!$B:$D,3,0)</f>
        <v>Hend Yousry-AbdElRassoul</v>
      </c>
      <c r="J274" s="36" t="str">
        <f t="shared" si="4"/>
        <v>N</v>
      </c>
      <c r="O274" s="20"/>
      <c r="P274" s="20"/>
      <c r="Q274" s="20"/>
      <c r="R274" s="21"/>
      <c r="S274" s="20"/>
      <c r="T274" s="19"/>
      <c r="U274" s="19"/>
      <c r="V274" s="20"/>
      <c r="W274" s="20"/>
      <c r="X274" s="20"/>
      <c r="Y274" s="20"/>
      <c r="Z274" s="20"/>
      <c r="AA274" s="20"/>
      <c r="AB274" s="20"/>
    </row>
    <row r="275" spans="1:28" x14ac:dyDescent="0.25">
      <c r="A275" s="33">
        <v>1012532243</v>
      </c>
      <c r="B275" s="33">
        <v>9</v>
      </c>
      <c r="C275" s="34" t="s">
        <v>248</v>
      </c>
      <c r="D275" s="34" t="s">
        <v>250</v>
      </c>
      <c r="E275" s="34" t="s">
        <v>101</v>
      </c>
      <c r="F275" s="35">
        <v>46156</v>
      </c>
      <c r="G275" s="34" t="s">
        <v>45</v>
      </c>
      <c r="H275" s="36" t="str">
        <f>VLOOKUP(E275,'HC for display name '!$B:$D,2,0)</f>
        <v>Salma Taha-Ahmed</v>
      </c>
      <c r="I275" s="36" t="str">
        <f>VLOOKUP(E275,'HC for display name '!$B:$D,3,0)</f>
        <v>Merna Ashraf-Ashrafy</v>
      </c>
      <c r="J275" s="36" t="str">
        <f t="shared" si="4"/>
        <v>P</v>
      </c>
      <c r="O275" s="17"/>
      <c r="P275" s="17"/>
      <c r="Q275" s="17"/>
      <c r="R275" s="18"/>
      <c r="S275" s="17"/>
      <c r="T275" s="19"/>
      <c r="U275" s="19"/>
      <c r="V275" s="17"/>
      <c r="W275" s="17"/>
      <c r="X275" s="17"/>
      <c r="Y275" s="17"/>
      <c r="Z275" s="17"/>
      <c r="AA275" s="17"/>
      <c r="AB275" s="17"/>
    </row>
    <row r="276" spans="1:28" x14ac:dyDescent="0.25">
      <c r="A276" s="33">
        <v>1014577908</v>
      </c>
      <c r="B276" s="33">
        <v>10</v>
      </c>
      <c r="C276" s="34" t="s">
        <v>244</v>
      </c>
      <c r="D276" s="34" t="s">
        <v>245</v>
      </c>
      <c r="E276" s="34" t="s">
        <v>249</v>
      </c>
      <c r="F276" s="35">
        <v>46156</v>
      </c>
      <c r="G276" s="34" t="s">
        <v>45</v>
      </c>
      <c r="H276" s="36" t="str">
        <f>VLOOKUP(E276,'HC for display name '!$B:$D,2,0)</f>
        <v>Omar Mamdouh-AbdAllah</v>
      </c>
      <c r="I276" s="36" t="str">
        <f>VLOOKUP(E276,'HC for display name '!$B:$D,3,0)</f>
        <v>Hend Yousry-AbdElRassoul</v>
      </c>
      <c r="J276" s="36" t="str">
        <f t="shared" si="4"/>
        <v>P</v>
      </c>
      <c r="N276" s="17"/>
      <c r="O276" s="17"/>
      <c r="P276" s="17"/>
      <c r="Q276" s="17"/>
      <c r="R276" s="18"/>
      <c r="S276" s="17"/>
      <c r="T276" s="19"/>
      <c r="U276" s="19"/>
      <c r="V276" s="17"/>
      <c r="W276" s="17"/>
      <c r="X276" s="17"/>
      <c r="Y276" s="17"/>
      <c r="Z276" s="17"/>
      <c r="AA276" s="17"/>
      <c r="AB276" s="17"/>
    </row>
    <row r="277" spans="1:28" x14ac:dyDescent="0.25">
      <c r="A277" s="33">
        <v>1014714738</v>
      </c>
      <c r="B277" s="33">
        <v>10</v>
      </c>
      <c r="C277" s="34" t="s">
        <v>248</v>
      </c>
      <c r="D277" s="34" t="s">
        <v>245</v>
      </c>
      <c r="E277" s="34" t="s">
        <v>267</v>
      </c>
      <c r="F277" s="35">
        <v>46156</v>
      </c>
      <c r="G277" s="34" t="s">
        <v>45</v>
      </c>
      <c r="H277" s="36" t="str">
        <f>VLOOKUP(E277,'HC for display name '!$B:$D,2,0)</f>
        <v>Andrwa Wafeek-Zaki</v>
      </c>
      <c r="I277" s="36" t="str">
        <f>VLOOKUP(E277,'HC for display name '!$B:$D,3,0)</f>
        <v>Omar Emad-Mahmoud</v>
      </c>
      <c r="J277" s="36" t="str">
        <f t="shared" si="4"/>
        <v>P</v>
      </c>
      <c r="N277" s="20"/>
      <c r="O277" s="20"/>
      <c r="P277" s="20"/>
      <c r="Q277" s="20"/>
      <c r="R277" s="21"/>
      <c r="S277" s="20"/>
      <c r="T277" s="19"/>
      <c r="U277" s="19"/>
      <c r="V277" s="20"/>
      <c r="W277" s="20"/>
      <c r="X277" s="20"/>
      <c r="Y277" s="20"/>
      <c r="Z277" s="20"/>
      <c r="AA277" s="20"/>
      <c r="AB277" s="20"/>
    </row>
    <row r="278" spans="1:28" x14ac:dyDescent="0.25">
      <c r="A278" s="33">
        <v>1018012090</v>
      </c>
      <c r="B278" s="33">
        <v>5</v>
      </c>
      <c r="C278" s="34" t="s">
        <v>244</v>
      </c>
      <c r="D278" s="34" t="s">
        <v>245</v>
      </c>
      <c r="E278" s="34" t="s">
        <v>281</v>
      </c>
      <c r="F278" s="35">
        <v>46156</v>
      </c>
      <c r="G278" s="34" t="s">
        <v>45</v>
      </c>
      <c r="H278" s="36" t="str">
        <f>VLOOKUP(E278,'HC for display name '!$B:$D,2,0)</f>
        <v>Taher Ibrahim-Omar</v>
      </c>
      <c r="I278" s="36" t="str">
        <f>VLOOKUP(E278,'HC for display name '!$B:$D,3,0)</f>
        <v>AbdElRahman Adel-ElKelany</v>
      </c>
      <c r="J278" s="36" t="str">
        <f t="shared" si="4"/>
        <v>D</v>
      </c>
      <c r="N278" s="17"/>
      <c r="O278" s="17"/>
      <c r="P278" s="17"/>
      <c r="Q278" s="17"/>
      <c r="R278" s="18"/>
      <c r="S278" s="17"/>
      <c r="T278" s="19"/>
      <c r="U278" s="19"/>
      <c r="V278" s="17"/>
      <c r="W278" s="17"/>
      <c r="X278" s="17"/>
      <c r="Y278" s="17"/>
      <c r="Z278" s="17"/>
      <c r="AA278" s="17"/>
      <c r="AB278" s="17"/>
    </row>
    <row r="279" spans="1:28" x14ac:dyDescent="0.25">
      <c r="A279" s="33">
        <v>1021525856</v>
      </c>
      <c r="B279" s="33">
        <v>10</v>
      </c>
      <c r="C279" s="34" t="s">
        <v>244</v>
      </c>
      <c r="D279" s="34" t="s">
        <v>245</v>
      </c>
      <c r="E279" s="34" t="s">
        <v>266</v>
      </c>
      <c r="F279" s="35">
        <v>46156</v>
      </c>
      <c r="G279" s="34" t="s">
        <v>45</v>
      </c>
      <c r="H279" s="36" t="str">
        <f>VLOOKUP(E279,'HC for display name '!$B:$D,2,0)</f>
        <v>AbdElRahman Mohamed-Moslhy</v>
      </c>
      <c r="I279" s="36" t="str">
        <f>VLOOKUP(E279,'HC for display name '!$B:$D,3,0)</f>
        <v>Omar Emad-Mahmoud</v>
      </c>
      <c r="J279" s="36" t="str">
        <f t="shared" si="4"/>
        <v>P</v>
      </c>
      <c r="N279" s="20"/>
      <c r="O279" s="20"/>
      <c r="P279" s="20"/>
      <c r="Q279" s="20"/>
      <c r="R279" s="21"/>
      <c r="S279" s="20"/>
      <c r="T279" s="19"/>
      <c r="U279" s="19"/>
      <c r="V279" s="20"/>
      <c r="W279" s="20"/>
      <c r="X279" s="20"/>
      <c r="Y279" s="20"/>
      <c r="Z279" s="20"/>
      <c r="AA279" s="20"/>
      <c r="AB279" s="20"/>
    </row>
    <row r="280" spans="1:28" x14ac:dyDescent="0.25">
      <c r="A280" s="33">
        <v>1022855852</v>
      </c>
      <c r="B280" s="33">
        <v>0</v>
      </c>
      <c r="C280" s="34" t="s">
        <v>250</v>
      </c>
      <c r="D280" s="34" t="s">
        <v>244</v>
      </c>
      <c r="E280" s="34" t="s">
        <v>282</v>
      </c>
      <c r="F280" s="35">
        <v>46156</v>
      </c>
      <c r="G280" s="34" t="s">
        <v>45</v>
      </c>
      <c r="H280" s="36" t="str">
        <f>VLOOKUP(E280,'HC for display name '!$B:$D,2,0)</f>
        <v>Mohab Mohamed-Reda</v>
      </c>
      <c r="I280" s="36" t="str">
        <f>VLOOKUP(E280,'HC for display name '!$B:$D,3,0)</f>
        <v>Merna Ashraf-Ashrafy</v>
      </c>
      <c r="J280" s="36" t="str">
        <f t="shared" si="4"/>
        <v>D</v>
      </c>
      <c r="N280" s="17"/>
      <c r="O280" s="17"/>
      <c r="P280" s="17"/>
      <c r="Q280" s="17"/>
      <c r="R280" s="18"/>
      <c r="S280" s="17"/>
      <c r="T280" s="19"/>
      <c r="U280" s="19"/>
      <c r="V280" s="17"/>
      <c r="W280" s="17"/>
      <c r="X280" s="17"/>
      <c r="Y280" s="17"/>
      <c r="Z280" s="17"/>
      <c r="AA280" s="17"/>
      <c r="AB280" s="17"/>
    </row>
    <row r="281" spans="1:28" x14ac:dyDescent="0.25">
      <c r="A281" s="33">
        <v>1030253903</v>
      </c>
      <c r="B281" s="33">
        <v>10</v>
      </c>
      <c r="C281" s="34" t="s">
        <v>258</v>
      </c>
      <c r="D281" s="34" t="s">
        <v>245</v>
      </c>
      <c r="E281" s="34" t="s">
        <v>101</v>
      </c>
      <c r="F281" s="35">
        <v>46156</v>
      </c>
      <c r="G281" s="34" t="s">
        <v>45</v>
      </c>
      <c r="H281" s="36" t="str">
        <f>VLOOKUP(E281,'HC for display name '!$B:$D,2,0)</f>
        <v>Salma Taha-Ahmed</v>
      </c>
      <c r="I281" s="36" t="str">
        <f>VLOOKUP(E281,'HC for display name '!$B:$D,3,0)</f>
        <v>Merna Ashraf-Ashrafy</v>
      </c>
      <c r="J281" s="36" t="str">
        <f t="shared" si="4"/>
        <v>P</v>
      </c>
      <c r="N281" s="20"/>
      <c r="O281" s="20"/>
      <c r="P281" s="20"/>
      <c r="Q281" s="20"/>
      <c r="R281" s="21"/>
      <c r="S281" s="20"/>
      <c r="T281" s="19"/>
      <c r="U281" s="19"/>
      <c r="V281" s="20"/>
      <c r="W281" s="20"/>
      <c r="X281" s="20"/>
      <c r="Y281" s="20"/>
      <c r="Z281" s="20"/>
      <c r="AA281" s="20"/>
      <c r="AB281" s="20"/>
    </row>
    <row r="282" spans="1:28" x14ac:dyDescent="0.25">
      <c r="A282" s="33">
        <v>1036144449</v>
      </c>
      <c r="B282" s="33">
        <v>10</v>
      </c>
      <c r="C282" s="34" t="s">
        <v>244</v>
      </c>
      <c r="D282" s="34" t="s">
        <v>245</v>
      </c>
      <c r="E282" s="34" t="s">
        <v>169</v>
      </c>
      <c r="F282" s="35">
        <v>46156</v>
      </c>
      <c r="G282" s="34" t="s">
        <v>45</v>
      </c>
      <c r="H282" s="36" t="str">
        <f>VLOOKUP(E282,'HC for display name '!$B:$D,2,0)</f>
        <v>AbdElRhman Hesham-AbdElFadeel</v>
      </c>
      <c r="I282" s="36" t="str">
        <f>VLOOKUP(E282,'HC for display name '!$B:$D,3,0)</f>
        <v>AbdElRahman Adel-ElKelany</v>
      </c>
      <c r="J282" s="36" t="str">
        <f t="shared" si="4"/>
        <v>P</v>
      </c>
      <c r="N282" s="17"/>
      <c r="O282" s="17"/>
      <c r="P282" s="17"/>
      <c r="Q282" s="17"/>
      <c r="R282" s="18"/>
      <c r="S282" s="17"/>
      <c r="T282" s="19"/>
      <c r="U282" s="19"/>
      <c r="V282" s="17"/>
      <c r="W282" s="17"/>
      <c r="X282" s="17"/>
      <c r="Y282" s="17"/>
      <c r="Z282" s="17"/>
      <c r="AA282" s="17"/>
      <c r="AB282" s="17"/>
    </row>
    <row r="283" spans="1:28" x14ac:dyDescent="0.25">
      <c r="A283" s="33">
        <v>1044875575</v>
      </c>
      <c r="B283" s="33">
        <v>10</v>
      </c>
      <c r="C283" s="34" t="s">
        <v>244</v>
      </c>
      <c r="D283" s="34" t="s">
        <v>245</v>
      </c>
      <c r="E283" s="34" t="s">
        <v>254</v>
      </c>
      <c r="F283" s="35">
        <v>46156</v>
      </c>
      <c r="G283" s="34" t="s">
        <v>45</v>
      </c>
      <c r="H283" s="36" t="str">
        <f>VLOOKUP(E283,'HC for display name '!$B:$D,2,0)</f>
        <v>Mohamed Ahmed-Mansour</v>
      </c>
      <c r="I283" s="36" t="str">
        <f>VLOOKUP(E283,'HC for display name '!$B:$D,3,0)</f>
        <v>Hend Yousry-AbdElRassoul</v>
      </c>
      <c r="J283" s="36" t="str">
        <f t="shared" si="4"/>
        <v>P</v>
      </c>
      <c r="N283" s="20"/>
      <c r="O283" s="20"/>
      <c r="P283" s="20"/>
      <c r="Q283" s="20"/>
      <c r="R283" s="21"/>
      <c r="S283" s="20"/>
      <c r="T283" s="19"/>
      <c r="U283" s="19"/>
      <c r="V283" s="20"/>
      <c r="W283" s="20"/>
      <c r="X283" s="20"/>
      <c r="Y283" s="20"/>
      <c r="Z283" s="20"/>
      <c r="AA283" s="20"/>
      <c r="AB283" s="20"/>
    </row>
    <row r="284" spans="1:28" x14ac:dyDescent="0.25">
      <c r="A284" s="33">
        <v>1065400356</v>
      </c>
      <c r="B284" s="33">
        <v>10</v>
      </c>
      <c r="C284" s="34" t="s">
        <v>250</v>
      </c>
      <c r="D284" s="34" t="s">
        <v>245</v>
      </c>
      <c r="E284" s="34" t="s">
        <v>265</v>
      </c>
      <c r="F284" s="35">
        <v>46156</v>
      </c>
      <c r="G284" s="34" t="s">
        <v>45</v>
      </c>
      <c r="H284" s="36" t="str">
        <f>VLOOKUP(E284,'HC for display name '!$B:$D,2,0)</f>
        <v>Safaa Safwat-Zekry</v>
      </c>
      <c r="I284" s="36" t="str">
        <f>VLOOKUP(E284,'HC for display name '!$B:$D,3,0)</f>
        <v>Merna Ashraf-Ashrafy</v>
      </c>
      <c r="J284" s="36" t="str">
        <f t="shared" si="4"/>
        <v>P</v>
      </c>
      <c r="N284" s="17"/>
      <c r="O284" s="17"/>
      <c r="P284" s="17"/>
      <c r="Q284" s="17"/>
      <c r="R284" s="18"/>
      <c r="S284" s="17"/>
      <c r="T284" s="19"/>
      <c r="U284" s="19"/>
      <c r="V284" s="17"/>
      <c r="W284" s="17"/>
      <c r="X284" s="17"/>
      <c r="Y284" s="17"/>
      <c r="Z284" s="17"/>
      <c r="AA284" s="17"/>
      <c r="AB284" s="17"/>
    </row>
    <row r="285" spans="1:28" x14ac:dyDescent="0.25">
      <c r="A285" s="33">
        <v>1068383394</v>
      </c>
      <c r="B285" s="33">
        <v>5</v>
      </c>
      <c r="C285" s="34" t="s">
        <v>244</v>
      </c>
      <c r="D285" s="34" t="s">
        <v>248</v>
      </c>
      <c r="E285" s="34" t="s">
        <v>267</v>
      </c>
      <c r="F285" s="35">
        <v>46156</v>
      </c>
      <c r="G285" s="34" t="s">
        <v>45</v>
      </c>
      <c r="H285" s="36" t="str">
        <f>VLOOKUP(E285,'HC for display name '!$B:$D,2,0)</f>
        <v>Andrwa Wafeek-Zaki</v>
      </c>
      <c r="I285" s="36" t="str">
        <f>VLOOKUP(E285,'HC for display name '!$B:$D,3,0)</f>
        <v>Omar Emad-Mahmoud</v>
      </c>
      <c r="J285" s="36" t="str">
        <f t="shared" si="4"/>
        <v>D</v>
      </c>
      <c r="N285" s="20"/>
      <c r="O285" s="20"/>
      <c r="P285" s="20"/>
      <c r="Q285" s="20"/>
      <c r="R285" s="21"/>
      <c r="S285" s="20"/>
      <c r="T285" s="19"/>
      <c r="U285" s="19"/>
      <c r="V285" s="20"/>
      <c r="W285" s="20"/>
      <c r="X285" s="20"/>
      <c r="Y285" s="20"/>
      <c r="Z285" s="20"/>
      <c r="AA285" s="20"/>
      <c r="AB285" s="20"/>
    </row>
    <row r="286" spans="1:28" x14ac:dyDescent="0.25">
      <c r="A286" s="33">
        <v>1092072282</v>
      </c>
      <c r="B286" s="33">
        <v>10</v>
      </c>
      <c r="C286" s="34" t="s">
        <v>244</v>
      </c>
      <c r="D286" s="34" t="s">
        <v>245</v>
      </c>
      <c r="E286" s="34" t="s">
        <v>254</v>
      </c>
      <c r="F286" s="35">
        <v>46156</v>
      </c>
      <c r="G286" s="34" t="s">
        <v>45</v>
      </c>
      <c r="H286" s="36" t="str">
        <f>VLOOKUP(E286,'HC for display name '!$B:$D,2,0)</f>
        <v>Mohamed Ahmed-Mansour</v>
      </c>
      <c r="I286" s="36" t="str">
        <f>VLOOKUP(E286,'HC for display name '!$B:$D,3,0)</f>
        <v>Hend Yousry-AbdElRassoul</v>
      </c>
      <c r="J286" s="36" t="str">
        <f t="shared" ref="J286:J349" si="5">VLOOKUP(B286,$T$3:$U$13,2,0)</f>
        <v>P</v>
      </c>
      <c r="N286" s="17"/>
      <c r="O286" s="17"/>
      <c r="P286" s="17"/>
      <c r="Q286" s="17"/>
      <c r="R286" s="18"/>
      <c r="S286" s="17"/>
      <c r="T286" s="19"/>
      <c r="U286" s="19"/>
      <c r="V286" s="17"/>
      <c r="W286" s="17"/>
      <c r="X286" s="17"/>
      <c r="Y286" s="17"/>
      <c r="Z286" s="17"/>
      <c r="AA286" s="17"/>
      <c r="AB286" s="17"/>
    </row>
    <row r="287" spans="1:28" x14ac:dyDescent="0.25">
      <c r="A287" s="33">
        <v>1097342841</v>
      </c>
      <c r="B287" s="33">
        <v>0</v>
      </c>
      <c r="C287" s="34" t="s">
        <v>248</v>
      </c>
      <c r="D287" s="34" t="s">
        <v>244</v>
      </c>
      <c r="E287" s="34" t="s">
        <v>254</v>
      </c>
      <c r="F287" s="35">
        <v>46156</v>
      </c>
      <c r="G287" s="34" t="s">
        <v>45</v>
      </c>
      <c r="H287" s="36" t="str">
        <f>VLOOKUP(E287,'HC for display name '!$B:$D,2,0)</f>
        <v>Mohamed Ahmed-Mansour</v>
      </c>
      <c r="I287" s="36" t="str">
        <f>VLOOKUP(E287,'HC for display name '!$B:$D,3,0)</f>
        <v>Hend Yousry-AbdElRassoul</v>
      </c>
      <c r="J287" s="36" t="str">
        <f t="shared" si="5"/>
        <v>D</v>
      </c>
      <c r="N287" s="20"/>
      <c r="O287" s="20"/>
      <c r="P287" s="20"/>
      <c r="Q287" s="20"/>
      <c r="R287" s="21"/>
      <c r="S287" s="20"/>
      <c r="T287" s="19"/>
      <c r="U287" s="19"/>
      <c r="V287" s="20"/>
      <c r="W287" s="20"/>
      <c r="X287" s="20"/>
      <c r="Y287" s="20"/>
      <c r="Z287" s="20"/>
      <c r="AA287" s="20"/>
      <c r="AB287" s="20"/>
    </row>
    <row r="288" spans="1:28" x14ac:dyDescent="0.25">
      <c r="A288" s="33">
        <v>1099462719</v>
      </c>
      <c r="B288" s="33">
        <v>7</v>
      </c>
      <c r="C288" s="34" t="s">
        <v>248</v>
      </c>
      <c r="D288" s="34" t="s">
        <v>245</v>
      </c>
      <c r="E288" s="34" t="s">
        <v>265</v>
      </c>
      <c r="F288" s="35">
        <v>46156</v>
      </c>
      <c r="G288" s="34" t="s">
        <v>45</v>
      </c>
      <c r="H288" s="36" t="str">
        <f>VLOOKUP(E288,'HC for display name '!$B:$D,2,0)</f>
        <v>Safaa Safwat-Zekry</v>
      </c>
      <c r="I288" s="36" t="str">
        <f>VLOOKUP(E288,'HC for display name '!$B:$D,3,0)</f>
        <v>Merna Ashraf-Ashrafy</v>
      </c>
      <c r="J288" s="36" t="str">
        <f t="shared" si="5"/>
        <v>N</v>
      </c>
      <c r="O288" s="17"/>
      <c r="P288" s="17"/>
      <c r="Q288" s="17"/>
      <c r="R288" s="18"/>
      <c r="S288" s="17"/>
      <c r="T288" s="19"/>
      <c r="U288" s="19"/>
      <c r="V288" s="17"/>
      <c r="W288" s="17"/>
      <c r="X288" s="17"/>
      <c r="Y288" s="17"/>
      <c r="Z288" s="17"/>
      <c r="AA288" s="17"/>
      <c r="AB288" s="17"/>
    </row>
    <row r="289" spans="1:28" x14ac:dyDescent="0.25">
      <c r="A289" s="33">
        <v>1000188599</v>
      </c>
      <c r="B289" s="33">
        <v>8</v>
      </c>
      <c r="C289" s="34" t="s">
        <v>244</v>
      </c>
      <c r="D289" s="34" t="s">
        <v>245</v>
      </c>
      <c r="E289" s="34" t="s">
        <v>249</v>
      </c>
      <c r="F289" s="35">
        <v>46157</v>
      </c>
      <c r="G289" s="34" t="s">
        <v>45</v>
      </c>
      <c r="H289" s="36" t="str">
        <f>VLOOKUP(E289,'HC for display name '!$B:$D,2,0)</f>
        <v>Omar Mamdouh-AbdAllah</v>
      </c>
      <c r="I289" s="36" t="str">
        <f>VLOOKUP(E289,'HC for display name '!$B:$D,3,0)</f>
        <v>Hend Yousry-AbdElRassoul</v>
      </c>
      <c r="J289" s="36" t="str">
        <f t="shared" si="5"/>
        <v>N</v>
      </c>
      <c r="O289" s="20"/>
      <c r="P289" s="20"/>
      <c r="Q289" s="20"/>
      <c r="R289" s="21"/>
      <c r="S289" s="20"/>
      <c r="T289" s="19"/>
      <c r="U289" s="19"/>
      <c r="V289" s="20"/>
      <c r="W289" s="20"/>
      <c r="X289" s="20"/>
      <c r="Y289" s="20"/>
      <c r="Z289" s="20"/>
      <c r="AA289" s="20"/>
      <c r="AB289" s="20"/>
    </row>
    <row r="290" spans="1:28" x14ac:dyDescent="0.25">
      <c r="A290" s="33">
        <v>1000235339</v>
      </c>
      <c r="B290" s="33">
        <v>10</v>
      </c>
      <c r="C290" s="34" t="s">
        <v>244</v>
      </c>
      <c r="D290" s="34" t="s">
        <v>245</v>
      </c>
      <c r="E290" s="34" t="s">
        <v>267</v>
      </c>
      <c r="F290" s="35">
        <v>46157</v>
      </c>
      <c r="G290" s="34" t="s">
        <v>45</v>
      </c>
      <c r="H290" s="36" t="str">
        <f>VLOOKUP(E290,'HC for display name '!$B:$D,2,0)</f>
        <v>Andrwa Wafeek-Zaki</v>
      </c>
      <c r="I290" s="36" t="str">
        <f>VLOOKUP(E290,'HC for display name '!$B:$D,3,0)</f>
        <v>Omar Emad-Mahmoud</v>
      </c>
      <c r="J290" s="36" t="str">
        <f t="shared" si="5"/>
        <v>P</v>
      </c>
      <c r="O290" s="17"/>
      <c r="P290" s="17"/>
      <c r="Q290" s="17"/>
      <c r="R290" s="18"/>
      <c r="S290" s="17"/>
      <c r="T290" s="19"/>
      <c r="U290" s="19"/>
      <c r="V290" s="17"/>
      <c r="W290" s="17"/>
      <c r="X290" s="17"/>
      <c r="Y290" s="17"/>
      <c r="Z290" s="17"/>
      <c r="AA290" s="17"/>
      <c r="AB290" s="17"/>
    </row>
    <row r="291" spans="1:28" x14ac:dyDescent="0.25">
      <c r="A291" s="33">
        <v>1000499661</v>
      </c>
      <c r="B291" s="33">
        <v>10</v>
      </c>
      <c r="C291" s="34" t="s">
        <v>244</v>
      </c>
      <c r="D291" s="34" t="s">
        <v>245</v>
      </c>
      <c r="E291" s="34" t="s">
        <v>260</v>
      </c>
      <c r="F291" s="35">
        <v>46157</v>
      </c>
      <c r="G291" s="34" t="s">
        <v>45</v>
      </c>
      <c r="H291" s="36" t="str">
        <f>VLOOKUP(E291,'HC for display name '!$B:$D,2,0)</f>
        <v>Mohamed Khaled-Khattab</v>
      </c>
      <c r="I291" s="36" t="str">
        <f>VLOOKUP(E291,'HC for display name '!$B:$D,3,0)</f>
        <v>Hend Yousry-AbdElRassoul</v>
      </c>
      <c r="J291" s="36" t="str">
        <f t="shared" si="5"/>
        <v>P</v>
      </c>
      <c r="O291" s="20"/>
      <c r="P291" s="20"/>
      <c r="Q291" s="20"/>
      <c r="R291" s="21"/>
      <c r="S291" s="20"/>
      <c r="T291" s="19"/>
      <c r="U291" s="19"/>
      <c r="V291" s="20"/>
      <c r="W291" s="20"/>
      <c r="X291" s="20"/>
      <c r="Y291" s="20"/>
      <c r="Z291" s="20"/>
      <c r="AA291" s="20"/>
      <c r="AB291" s="20"/>
    </row>
    <row r="292" spans="1:28" x14ac:dyDescent="0.25">
      <c r="A292" s="33">
        <v>1002003513</v>
      </c>
      <c r="B292" s="33">
        <v>5</v>
      </c>
      <c r="C292" s="34" t="s">
        <v>250</v>
      </c>
      <c r="D292" s="34" t="s">
        <v>245</v>
      </c>
      <c r="E292" s="34" t="s">
        <v>265</v>
      </c>
      <c r="F292" s="35">
        <v>46157</v>
      </c>
      <c r="G292" s="34" t="s">
        <v>45</v>
      </c>
      <c r="H292" s="36" t="str">
        <f>VLOOKUP(E292,'HC for display name '!$B:$D,2,0)</f>
        <v>Safaa Safwat-Zekry</v>
      </c>
      <c r="I292" s="36" t="str">
        <f>VLOOKUP(E292,'HC for display name '!$B:$D,3,0)</f>
        <v>Merna Ashraf-Ashrafy</v>
      </c>
      <c r="J292" s="36" t="str">
        <f t="shared" si="5"/>
        <v>D</v>
      </c>
      <c r="O292" s="17"/>
      <c r="P292" s="17"/>
      <c r="Q292" s="17"/>
      <c r="R292" s="18"/>
      <c r="S292" s="17"/>
      <c r="T292" s="19"/>
      <c r="U292" s="19"/>
      <c r="V292" s="17"/>
      <c r="W292" s="17"/>
      <c r="X292" s="17"/>
      <c r="Y292" s="17"/>
      <c r="Z292" s="17"/>
      <c r="AA292" s="17"/>
      <c r="AB292" s="17"/>
    </row>
    <row r="293" spans="1:28" x14ac:dyDescent="0.25">
      <c r="A293" s="33">
        <v>1002873622</v>
      </c>
      <c r="B293" s="33">
        <v>10</v>
      </c>
      <c r="C293" s="34" t="s">
        <v>250</v>
      </c>
      <c r="D293" s="34" t="s">
        <v>245</v>
      </c>
      <c r="E293" s="34" t="s">
        <v>169</v>
      </c>
      <c r="F293" s="35">
        <v>46157</v>
      </c>
      <c r="G293" s="34" t="s">
        <v>45</v>
      </c>
      <c r="H293" s="36" t="str">
        <f>VLOOKUP(E293,'HC for display name '!$B:$D,2,0)</f>
        <v>AbdElRhman Hesham-AbdElFadeel</v>
      </c>
      <c r="I293" s="36" t="str">
        <f>VLOOKUP(E293,'HC for display name '!$B:$D,3,0)</f>
        <v>AbdElRahman Adel-ElKelany</v>
      </c>
      <c r="J293" s="36" t="str">
        <f t="shared" si="5"/>
        <v>P</v>
      </c>
      <c r="N293" s="20"/>
      <c r="O293" s="20"/>
      <c r="P293" s="20"/>
      <c r="Q293" s="20"/>
      <c r="R293" s="21"/>
      <c r="S293" s="20"/>
      <c r="T293" s="19"/>
      <c r="U293" s="19"/>
      <c r="V293" s="20"/>
      <c r="W293" s="20"/>
      <c r="X293" s="20"/>
      <c r="Y293" s="20"/>
      <c r="Z293" s="20"/>
      <c r="AA293" s="20"/>
      <c r="AB293" s="20"/>
    </row>
    <row r="294" spans="1:28" x14ac:dyDescent="0.25">
      <c r="A294" s="33">
        <v>1003663681</v>
      </c>
      <c r="B294" s="33">
        <v>8</v>
      </c>
      <c r="C294" s="34" t="s">
        <v>258</v>
      </c>
      <c r="D294" s="34" t="s">
        <v>245</v>
      </c>
      <c r="E294" s="34" t="s">
        <v>261</v>
      </c>
      <c r="F294" s="35">
        <v>46157</v>
      </c>
      <c r="G294" s="34" t="s">
        <v>45</v>
      </c>
      <c r="H294" s="36" t="str">
        <f>VLOOKUP(E294,'HC for display name '!$B:$D,2,0)</f>
        <v>Mohamed AbdElaziz-AbdElRahman</v>
      </c>
      <c r="I294" s="36" t="str">
        <f>VLOOKUP(E294,'HC for display name '!$B:$D,3,0)</f>
        <v>Omar Emad-Mahmoud</v>
      </c>
      <c r="J294" s="36" t="str">
        <f t="shared" si="5"/>
        <v>N</v>
      </c>
    </row>
    <row r="295" spans="1:28" x14ac:dyDescent="0.25">
      <c r="A295" s="33">
        <v>1004324777</v>
      </c>
      <c r="B295" s="33">
        <v>10</v>
      </c>
      <c r="C295" s="34" t="s">
        <v>244</v>
      </c>
      <c r="D295" s="34" t="s">
        <v>245</v>
      </c>
      <c r="E295" s="34" t="s">
        <v>283</v>
      </c>
      <c r="F295" s="35">
        <v>46157</v>
      </c>
      <c r="G295" s="34" t="s">
        <v>45</v>
      </c>
      <c r="H295" s="36" t="str">
        <f>VLOOKUP(E295,'HC for display name '!$B:$D,2,0)</f>
        <v>Merna Mohamed-AbdElHalim</v>
      </c>
      <c r="I295" s="36" t="str">
        <f>VLOOKUP(E295,'HC for display name '!$B:$D,3,0)</f>
        <v>Hend Yousry-AbdElRassoul</v>
      </c>
      <c r="J295" s="36" t="str">
        <f t="shared" si="5"/>
        <v>P</v>
      </c>
    </row>
    <row r="296" spans="1:28" x14ac:dyDescent="0.25">
      <c r="A296" s="33">
        <v>1006989050</v>
      </c>
      <c r="B296" s="33">
        <v>10</v>
      </c>
      <c r="C296" s="34" t="s">
        <v>250</v>
      </c>
      <c r="D296" s="34" t="s">
        <v>245</v>
      </c>
      <c r="E296" s="34" t="s">
        <v>254</v>
      </c>
      <c r="F296" s="35">
        <v>46157</v>
      </c>
      <c r="G296" s="34" t="s">
        <v>247</v>
      </c>
      <c r="H296" s="36" t="str">
        <f>VLOOKUP(E296,'HC for display name '!$B:$D,2,0)</f>
        <v>Mohamed Ahmed-Mansour</v>
      </c>
      <c r="I296" s="36" t="str">
        <f>VLOOKUP(E296,'HC for display name '!$B:$D,3,0)</f>
        <v>Hend Yousry-AbdElRassoul</v>
      </c>
      <c r="J296" s="36" t="str">
        <f t="shared" si="5"/>
        <v>P</v>
      </c>
    </row>
    <row r="297" spans="1:28" x14ac:dyDescent="0.25">
      <c r="A297" s="33">
        <v>1009195741</v>
      </c>
      <c r="B297" s="33">
        <v>10</v>
      </c>
      <c r="C297" s="34" t="s">
        <v>244</v>
      </c>
      <c r="D297" s="34" t="s">
        <v>245</v>
      </c>
      <c r="E297" s="34" t="s">
        <v>249</v>
      </c>
      <c r="F297" s="35">
        <v>46157</v>
      </c>
      <c r="G297" s="34" t="s">
        <v>45</v>
      </c>
      <c r="H297" s="36" t="str">
        <f>VLOOKUP(E297,'HC for display name '!$B:$D,2,0)</f>
        <v>Omar Mamdouh-AbdAllah</v>
      </c>
      <c r="I297" s="36" t="str">
        <f>VLOOKUP(E297,'HC for display name '!$B:$D,3,0)</f>
        <v>Hend Yousry-AbdElRassoul</v>
      </c>
      <c r="J297" s="36" t="str">
        <f t="shared" si="5"/>
        <v>P</v>
      </c>
      <c r="O297" s="42"/>
      <c r="P297" s="42"/>
      <c r="Q297" s="42"/>
      <c r="R297" s="43"/>
      <c r="S297" s="42"/>
      <c r="T297" s="44"/>
      <c r="U297" s="44"/>
      <c r="V297" s="42"/>
      <c r="W297" s="42"/>
      <c r="X297" s="42"/>
      <c r="Y297" s="42"/>
      <c r="Z297" s="42"/>
      <c r="AA297" s="42"/>
      <c r="AB297" s="42"/>
    </row>
    <row r="298" spans="1:28" x14ac:dyDescent="0.25">
      <c r="A298" s="33">
        <v>1011210868</v>
      </c>
      <c r="B298" s="33">
        <v>9</v>
      </c>
      <c r="C298" s="34" t="s">
        <v>250</v>
      </c>
      <c r="D298" s="34" t="s">
        <v>245</v>
      </c>
      <c r="E298" s="34" t="s">
        <v>155</v>
      </c>
      <c r="F298" s="35">
        <v>46157</v>
      </c>
      <c r="G298" s="34" t="s">
        <v>45</v>
      </c>
      <c r="H298" s="36" t="str">
        <f>VLOOKUP(E298,'HC for display name '!$B:$D,2,0)</f>
        <v>Omnia Wageeh-ElAzab</v>
      </c>
      <c r="I298" s="36" t="str">
        <f>VLOOKUP(E298,'HC for display name '!$B:$D,3,0)</f>
        <v>Merna Ashraf-Ashrafy</v>
      </c>
      <c r="J298" s="36" t="str">
        <f t="shared" si="5"/>
        <v>P</v>
      </c>
      <c r="O298" s="45"/>
      <c r="P298" s="45"/>
      <c r="Q298" s="45"/>
      <c r="R298" s="46"/>
      <c r="S298" s="45"/>
      <c r="T298" s="44"/>
      <c r="U298" s="44"/>
      <c r="V298" s="45"/>
      <c r="W298" s="45"/>
      <c r="X298" s="45"/>
      <c r="Y298" s="45"/>
      <c r="Z298" s="45"/>
      <c r="AA298" s="45"/>
      <c r="AB298" s="45"/>
    </row>
    <row r="299" spans="1:28" x14ac:dyDescent="0.25">
      <c r="A299" s="33">
        <v>1011785314</v>
      </c>
      <c r="B299" s="33">
        <v>10</v>
      </c>
      <c r="C299" s="34" t="s">
        <v>250</v>
      </c>
      <c r="D299" s="34" t="s">
        <v>245</v>
      </c>
      <c r="E299" s="34" t="s">
        <v>252</v>
      </c>
      <c r="F299" s="35">
        <v>46157</v>
      </c>
      <c r="G299" s="34" t="s">
        <v>45</v>
      </c>
      <c r="H299" s="36" t="str">
        <f>VLOOKUP(E299,'HC for display name '!$B:$D,2,0)</f>
        <v>Hassan Ramy-Hassan</v>
      </c>
      <c r="I299" s="36" t="str">
        <f>VLOOKUP(E299,'HC for display name '!$B:$D,3,0)</f>
        <v>Merna Ashraf-Ashrafy</v>
      </c>
      <c r="J299" s="36" t="str">
        <f t="shared" si="5"/>
        <v>P</v>
      </c>
      <c r="O299" s="42"/>
      <c r="P299" s="42"/>
      <c r="Q299" s="42"/>
      <c r="R299" s="43"/>
      <c r="S299" s="42"/>
      <c r="T299" s="44"/>
      <c r="U299" s="44"/>
      <c r="V299" s="42"/>
      <c r="W299" s="42"/>
      <c r="X299" s="42"/>
      <c r="Y299" s="42"/>
      <c r="Z299" s="42"/>
      <c r="AA299" s="42"/>
      <c r="AB299" s="42"/>
    </row>
    <row r="300" spans="1:28" x14ac:dyDescent="0.25">
      <c r="A300" s="33">
        <v>1012390132</v>
      </c>
      <c r="B300" s="33">
        <v>10</v>
      </c>
      <c r="C300" s="34" t="s">
        <v>244</v>
      </c>
      <c r="D300" s="34" t="s">
        <v>245</v>
      </c>
      <c r="E300" s="34" t="s">
        <v>264</v>
      </c>
      <c r="F300" s="35">
        <v>46157</v>
      </c>
      <c r="G300" s="34" t="s">
        <v>45</v>
      </c>
      <c r="H300" s="36" t="str">
        <f>VLOOKUP(E300,'HC for display name '!$B:$D,2,0)</f>
        <v>Ziad Hassan-Donkol</v>
      </c>
      <c r="I300" s="36" t="str">
        <f>VLOOKUP(E300,'HC for display name '!$B:$D,3,0)</f>
        <v>AbdElRahman Adel-ElKelany</v>
      </c>
      <c r="J300" s="36" t="str">
        <f t="shared" si="5"/>
        <v>P</v>
      </c>
      <c r="O300" s="45"/>
      <c r="P300" s="45"/>
      <c r="Q300" s="45"/>
      <c r="R300" s="46"/>
      <c r="S300" s="45"/>
      <c r="T300" s="44"/>
      <c r="U300" s="44"/>
      <c r="V300" s="45"/>
      <c r="W300" s="45"/>
      <c r="X300" s="45"/>
      <c r="Y300" s="45"/>
      <c r="Z300" s="45"/>
      <c r="AA300" s="45"/>
      <c r="AB300" s="45"/>
    </row>
    <row r="301" spans="1:28" x14ac:dyDescent="0.25">
      <c r="A301" s="33">
        <v>1013593674</v>
      </c>
      <c r="B301" s="33">
        <v>10</v>
      </c>
      <c r="C301" s="34" t="s">
        <v>250</v>
      </c>
      <c r="D301" s="34" t="s">
        <v>245</v>
      </c>
      <c r="E301" s="34" t="s">
        <v>284</v>
      </c>
      <c r="F301" s="35">
        <v>46157</v>
      </c>
      <c r="G301" s="34" t="s">
        <v>45</v>
      </c>
      <c r="H301" s="36" t="str">
        <f>VLOOKUP(E301,'HC for display name '!$B:$D,2,0)</f>
        <v>Karim Medhat-Mahrous</v>
      </c>
      <c r="I301" s="36" t="str">
        <f>VLOOKUP(E301,'HC for display name '!$B:$D,3,0)</f>
        <v>AbdElRahman Adel-ElKelany</v>
      </c>
      <c r="J301" s="36" t="str">
        <f t="shared" si="5"/>
        <v>P</v>
      </c>
      <c r="O301" s="42"/>
      <c r="P301" s="42"/>
      <c r="Q301" s="42"/>
      <c r="R301" s="43"/>
      <c r="S301" s="42"/>
      <c r="T301" s="44"/>
      <c r="U301" s="44"/>
      <c r="V301" s="42"/>
      <c r="W301" s="42"/>
      <c r="X301" s="42"/>
      <c r="Y301" s="42"/>
      <c r="Z301" s="42"/>
      <c r="AA301" s="42"/>
      <c r="AB301" s="42"/>
    </row>
    <row r="302" spans="1:28" x14ac:dyDescent="0.25">
      <c r="A302" s="33">
        <v>1017922213</v>
      </c>
      <c r="B302" s="33">
        <v>10</v>
      </c>
      <c r="C302" s="34" t="s">
        <v>244</v>
      </c>
      <c r="D302" s="34" t="s">
        <v>245</v>
      </c>
      <c r="E302" s="34" t="s">
        <v>280</v>
      </c>
      <c r="F302" s="35">
        <v>46157</v>
      </c>
      <c r="G302" s="34" t="s">
        <v>45</v>
      </c>
      <c r="H302" s="36" t="str">
        <f>VLOOKUP(E302,'HC for display name '!$B:$D,2,0)</f>
        <v>Kawthar Nasreldin-Mohyeldin</v>
      </c>
      <c r="I302" s="36" t="str">
        <f>VLOOKUP(E302,'HC for display name '!$B:$D,3,0)</f>
        <v>Hend Yousry-AbdElRassoul</v>
      </c>
      <c r="J302" s="36" t="str">
        <f t="shared" si="5"/>
        <v>P</v>
      </c>
      <c r="O302" s="45"/>
      <c r="P302" s="45"/>
      <c r="Q302" s="45"/>
      <c r="R302" s="46"/>
      <c r="S302" s="45"/>
      <c r="T302" s="44"/>
      <c r="U302" s="44"/>
      <c r="V302" s="45"/>
      <c r="W302" s="45"/>
      <c r="X302" s="45"/>
      <c r="Y302" s="45"/>
      <c r="Z302" s="45"/>
      <c r="AA302" s="45"/>
      <c r="AB302" s="45"/>
    </row>
    <row r="303" spans="1:28" x14ac:dyDescent="0.25">
      <c r="A303" s="33">
        <v>1018063672</v>
      </c>
      <c r="B303" s="33">
        <v>8</v>
      </c>
      <c r="C303" s="34" t="s">
        <v>248</v>
      </c>
      <c r="D303" s="34" t="s">
        <v>245</v>
      </c>
      <c r="E303" s="34" t="s">
        <v>279</v>
      </c>
      <c r="F303" s="35">
        <v>46157</v>
      </c>
      <c r="G303" s="34" t="s">
        <v>45</v>
      </c>
      <c r="H303" s="36" t="str">
        <f>VLOOKUP(E303,'HC for display name '!$B:$D,2,0)</f>
        <v>Mayar Ibrahim-Noah</v>
      </c>
      <c r="I303" s="36" t="str">
        <f>VLOOKUP(E303,'HC for display name '!$B:$D,3,0)</f>
        <v>Hend Yousry-AbdElRassoul</v>
      </c>
      <c r="J303" s="36" t="str">
        <f t="shared" si="5"/>
        <v>N</v>
      </c>
      <c r="O303" s="42"/>
      <c r="P303" s="42"/>
      <c r="Q303" s="42"/>
      <c r="R303" s="43"/>
      <c r="S303" s="42"/>
      <c r="T303" s="44"/>
      <c r="U303" s="44"/>
      <c r="V303" s="42"/>
      <c r="W303" s="42"/>
      <c r="X303" s="42"/>
      <c r="Y303" s="42"/>
      <c r="Z303" s="42"/>
      <c r="AA303" s="42"/>
      <c r="AB303" s="42"/>
    </row>
    <row r="304" spans="1:28" x14ac:dyDescent="0.25">
      <c r="A304" s="33">
        <v>1021593251</v>
      </c>
      <c r="B304" s="33">
        <v>10</v>
      </c>
      <c r="C304" s="34" t="s">
        <v>244</v>
      </c>
      <c r="D304" s="34" t="s">
        <v>245</v>
      </c>
      <c r="E304" s="34" t="s">
        <v>155</v>
      </c>
      <c r="F304" s="35">
        <v>46157</v>
      </c>
      <c r="G304" s="34" t="s">
        <v>247</v>
      </c>
      <c r="H304" s="36" t="str">
        <f>VLOOKUP(E304,'HC for display name '!$B:$D,2,0)</f>
        <v>Omnia Wageeh-ElAzab</v>
      </c>
      <c r="I304" s="36" t="str">
        <f>VLOOKUP(E304,'HC for display name '!$B:$D,3,0)</f>
        <v>Merna Ashraf-Ashrafy</v>
      </c>
      <c r="J304" s="36" t="str">
        <f t="shared" si="5"/>
        <v>P</v>
      </c>
      <c r="O304" s="45"/>
      <c r="P304" s="45"/>
      <c r="Q304" s="45"/>
      <c r="R304" s="46"/>
      <c r="S304" s="45"/>
      <c r="T304" s="44"/>
      <c r="U304" s="44"/>
      <c r="V304" s="45"/>
      <c r="W304" s="45"/>
      <c r="X304" s="45"/>
      <c r="Y304" s="45"/>
      <c r="Z304" s="45"/>
      <c r="AA304" s="45"/>
      <c r="AB304" s="45"/>
    </row>
    <row r="305" spans="1:28" x14ac:dyDescent="0.25">
      <c r="A305" s="33">
        <v>1023006862</v>
      </c>
      <c r="B305" s="33">
        <v>9</v>
      </c>
      <c r="C305" s="34" t="s">
        <v>250</v>
      </c>
      <c r="D305" s="34" t="s">
        <v>245</v>
      </c>
      <c r="E305" s="34" t="s">
        <v>260</v>
      </c>
      <c r="F305" s="35">
        <v>46157</v>
      </c>
      <c r="G305" s="34" t="s">
        <v>45</v>
      </c>
      <c r="H305" s="36" t="str">
        <f>VLOOKUP(E305,'HC for display name '!$B:$D,2,0)</f>
        <v>Mohamed Khaled-Khattab</v>
      </c>
      <c r="I305" s="36" t="str">
        <f>VLOOKUP(E305,'HC for display name '!$B:$D,3,0)</f>
        <v>Hend Yousry-AbdElRassoul</v>
      </c>
      <c r="J305" s="36" t="str">
        <f t="shared" si="5"/>
        <v>P</v>
      </c>
      <c r="O305" s="42"/>
      <c r="P305" s="42"/>
      <c r="Q305" s="42"/>
      <c r="R305" s="43"/>
      <c r="S305" s="42"/>
      <c r="T305" s="44"/>
      <c r="U305" s="44"/>
      <c r="V305" s="42"/>
      <c r="W305" s="42"/>
      <c r="X305" s="42"/>
      <c r="Y305" s="42"/>
      <c r="Z305" s="42"/>
      <c r="AA305" s="42"/>
      <c r="AB305" s="42"/>
    </row>
    <row r="306" spans="1:28" x14ac:dyDescent="0.25">
      <c r="A306" s="33">
        <v>1027164467</v>
      </c>
      <c r="B306" s="33">
        <v>1</v>
      </c>
      <c r="C306" s="34" t="s">
        <v>258</v>
      </c>
      <c r="D306" s="34" t="s">
        <v>244</v>
      </c>
      <c r="E306" s="34" t="s">
        <v>87</v>
      </c>
      <c r="F306" s="35">
        <v>46157</v>
      </c>
      <c r="G306" s="34" t="s">
        <v>45</v>
      </c>
      <c r="H306" s="36" t="str">
        <f>VLOOKUP(E306,'HC for display name '!$B:$D,2,0)</f>
        <v>Ahmed Magdy-Ewis</v>
      </c>
      <c r="I306" s="36" t="str">
        <f>VLOOKUP(E306,'HC for display name '!$B:$D,3,0)</f>
        <v>Omar Emad-Mahmoud</v>
      </c>
      <c r="J306" s="36" t="str">
        <f t="shared" si="5"/>
        <v>D</v>
      </c>
      <c r="O306" s="45"/>
      <c r="P306" s="45"/>
      <c r="Q306" s="45"/>
      <c r="R306" s="46"/>
      <c r="S306" s="45"/>
      <c r="T306" s="44"/>
      <c r="U306" s="44"/>
      <c r="V306" s="45"/>
      <c r="W306" s="45"/>
      <c r="X306" s="45"/>
      <c r="Y306" s="45"/>
      <c r="Z306" s="45"/>
      <c r="AA306" s="45"/>
      <c r="AB306" s="45"/>
    </row>
    <row r="307" spans="1:28" x14ac:dyDescent="0.25">
      <c r="A307" s="33">
        <v>1028452333</v>
      </c>
      <c r="B307" s="33">
        <v>0</v>
      </c>
      <c r="C307" s="34" t="s">
        <v>250</v>
      </c>
      <c r="D307" s="34" t="s">
        <v>245</v>
      </c>
      <c r="E307" s="34" t="s">
        <v>90</v>
      </c>
      <c r="F307" s="35">
        <v>46157</v>
      </c>
      <c r="G307" s="34" t="s">
        <v>247</v>
      </c>
      <c r="H307" s="36" t="str">
        <f>VLOOKUP(E307,'HC for display name '!$B:$D,2,0)</f>
        <v>Hatem Ibrahim-Ahmed</v>
      </c>
      <c r="I307" s="36" t="str">
        <f>VLOOKUP(E307,'HC for display name '!$B:$D,3,0)</f>
        <v>Omar Emad-Mahmoud</v>
      </c>
      <c r="J307" s="36" t="str">
        <f t="shared" si="5"/>
        <v>D</v>
      </c>
      <c r="O307" s="42"/>
      <c r="P307" s="42"/>
      <c r="Q307" s="42"/>
      <c r="R307" s="43"/>
      <c r="S307" s="42"/>
      <c r="T307" s="44"/>
      <c r="U307" s="44"/>
      <c r="V307" s="42"/>
      <c r="W307" s="42"/>
      <c r="X307" s="42"/>
      <c r="Y307" s="42"/>
      <c r="Z307" s="42"/>
      <c r="AA307" s="42"/>
      <c r="AB307" s="42"/>
    </row>
    <row r="308" spans="1:28" x14ac:dyDescent="0.25">
      <c r="A308" s="33">
        <v>1030554655</v>
      </c>
      <c r="B308" s="33">
        <v>10</v>
      </c>
      <c r="C308" s="34" t="s">
        <v>244</v>
      </c>
      <c r="D308" s="34" t="s">
        <v>245</v>
      </c>
      <c r="E308" s="34" t="s">
        <v>284</v>
      </c>
      <c r="F308" s="35">
        <v>46157</v>
      </c>
      <c r="G308" s="34" t="s">
        <v>45</v>
      </c>
      <c r="H308" s="36" t="str">
        <f>VLOOKUP(E308,'HC for display name '!$B:$D,2,0)</f>
        <v>Karim Medhat-Mahrous</v>
      </c>
      <c r="I308" s="36" t="str">
        <f>VLOOKUP(E308,'HC for display name '!$B:$D,3,0)</f>
        <v>AbdElRahman Adel-ElKelany</v>
      </c>
      <c r="J308" s="36" t="str">
        <f t="shared" si="5"/>
        <v>P</v>
      </c>
      <c r="O308" s="45"/>
      <c r="P308" s="45"/>
      <c r="Q308" s="45"/>
      <c r="R308" s="46"/>
      <c r="S308" s="45"/>
      <c r="T308" s="44"/>
      <c r="U308" s="44"/>
      <c r="V308" s="45"/>
      <c r="W308" s="45"/>
      <c r="X308" s="45"/>
      <c r="Y308" s="45"/>
      <c r="Z308" s="45"/>
      <c r="AA308" s="45"/>
      <c r="AB308" s="45"/>
    </row>
    <row r="309" spans="1:28" x14ac:dyDescent="0.25">
      <c r="A309" s="33">
        <v>1036981760</v>
      </c>
      <c r="B309" s="33">
        <v>10</v>
      </c>
      <c r="C309" s="34" t="s">
        <v>250</v>
      </c>
      <c r="D309" s="34" t="s">
        <v>245</v>
      </c>
      <c r="E309" s="34" t="s">
        <v>90</v>
      </c>
      <c r="F309" s="35">
        <v>46157</v>
      </c>
      <c r="G309" s="34" t="s">
        <v>247</v>
      </c>
      <c r="H309" s="36" t="str">
        <f>VLOOKUP(E309,'HC for display name '!$B:$D,2,0)</f>
        <v>Hatem Ibrahim-Ahmed</v>
      </c>
      <c r="I309" s="36" t="str">
        <f>VLOOKUP(E309,'HC for display name '!$B:$D,3,0)</f>
        <v>Omar Emad-Mahmoud</v>
      </c>
      <c r="J309" s="36" t="str">
        <f t="shared" si="5"/>
        <v>P</v>
      </c>
      <c r="O309" s="42"/>
      <c r="P309" s="42"/>
      <c r="Q309" s="42"/>
      <c r="R309" s="43"/>
      <c r="S309" s="42"/>
      <c r="T309" s="44"/>
      <c r="U309" s="44"/>
      <c r="V309" s="42"/>
      <c r="W309" s="42"/>
      <c r="X309" s="42"/>
      <c r="Y309" s="42"/>
      <c r="Z309" s="42"/>
      <c r="AA309" s="42"/>
      <c r="AB309" s="42"/>
    </row>
    <row r="310" spans="1:28" x14ac:dyDescent="0.25">
      <c r="A310" s="33">
        <v>1040424923</v>
      </c>
      <c r="B310" s="33">
        <v>10</v>
      </c>
      <c r="C310" s="34" t="s">
        <v>258</v>
      </c>
      <c r="D310" s="34" t="s">
        <v>245</v>
      </c>
      <c r="E310" s="34" t="s">
        <v>265</v>
      </c>
      <c r="F310" s="35">
        <v>46157</v>
      </c>
      <c r="G310" s="34" t="s">
        <v>45</v>
      </c>
      <c r="H310" s="36" t="str">
        <f>VLOOKUP(E310,'HC for display name '!$B:$D,2,0)</f>
        <v>Safaa Safwat-Zekry</v>
      </c>
      <c r="I310" s="36" t="str">
        <f>VLOOKUP(E310,'HC for display name '!$B:$D,3,0)</f>
        <v>Merna Ashraf-Ashrafy</v>
      </c>
      <c r="J310" s="36" t="str">
        <f t="shared" si="5"/>
        <v>P</v>
      </c>
      <c r="O310" s="45"/>
      <c r="P310" s="45"/>
      <c r="Q310" s="45"/>
      <c r="R310" s="46"/>
      <c r="S310" s="45"/>
      <c r="T310" s="44"/>
      <c r="U310" s="44"/>
      <c r="V310" s="45"/>
      <c r="W310" s="45"/>
      <c r="X310" s="45"/>
      <c r="Y310" s="45"/>
      <c r="Z310" s="45"/>
      <c r="AA310" s="45"/>
      <c r="AB310" s="45"/>
    </row>
    <row r="311" spans="1:28" x14ac:dyDescent="0.25">
      <c r="A311" s="33">
        <v>1044669698</v>
      </c>
      <c r="B311" s="33">
        <v>10</v>
      </c>
      <c r="C311" s="34" t="s">
        <v>244</v>
      </c>
      <c r="D311" s="34" t="s">
        <v>245</v>
      </c>
      <c r="E311" s="34" t="s">
        <v>252</v>
      </c>
      <c r="F311" s="35">
        <v>46157</v>
      </c>
      <c r="G311" s="34" t="s">
        <v>45</v>
      </c>
      <c r="H311" s="36" t="str">
        <f>VLOOKUP(E311,'HC for display name '!$B:$D,2,0)</f>
        <v>Hassan Ramy-Hassan</v>
      </c>
      <c r="I311" s="36" t="str">
        <f>VLOOKUP(E311,'HC for display name '!$B:$D,3,0)</f>
        <v>Merna Ashraf-Ashrafy</v>
      </c>
      <c r="J311" s="36" t="str">
        <f t="shared" si="5"/>
        <v>P</v>
      </c>
      <c r="O311" s="42"/>
      <c r="P311" s="42"/>
      <c r="Q311" s="42"/>
      <c r="R311" s="43"/>
      <c r="S311" s="42"/>
      <c r="T311" s="44"/>
      <c r="U311" s="44"/>
      <c r="V311" s="42"/>
      <c r="W311" s="42"/>
      <c r="X311" s="42"/>
      <c r="Y311" s="42"/>
      <c r="Z311" s="42"/>
      <c r="AA311" s="42"/>
      <c r="AB311" s="42"/>
    </row>
    <row r="312" spans="1:28" x14ac:dyDescent="0.25">
      <c r="A312" s="33">
        <v>1044844473</v>
      </c>
      <c r="B312" s="33">
        <v>10</v>
      </c>
      <c r="C312" s="34" t="s">
        <v>250</v>
      </c>
      <c r="D312" s="34" t="s">
        <v>245</v>
      </c>
      <c r="E312" s="34" t="s">
        <v>282</v>
      </c>
      <c r="F312" s="35">
        <v>46157</v>
      </c>
      <c r="G312" s="34" t="s">
        <v>45</v>
      </c>
      <c r="H312" s="36" t="str">
        <f>VLOOKUP(E312,'HC for display name '!$B:$D,2,0)</f>
        <v>Mohab Mohamed-Reda</v>
      </c>
      <c r="I312" s="36" t="str">
        <f>VLOOKUP(E312,'HC for display name '!$B:$D,3,0)</f>
        <v>Merna Ashraf-Ashrafy</v>
      </c>
      <c r="J312" s="36" t="str">
        <f t="shared" si="5"/>
        <v>P</v>
      </c>
      <c r="O312" s="45"/>
      <c r="P312" s="45"/>
      <c r="Q312" s="45"/>
      <c r="R312" s="46"/>
      <c r="S312" s="45"/>
      <c r="T312" s="44"/>
      <c r="U312" s="44"/>
      <c r="V312" s="45"/>
      <c r="W312" s="45"/>
      <c r="X312" s="45"/>
      <c r="Y312" s="45"/>
      <c r="Z312" s="45"/>
      <c r="AA312" s="45"/>
      <c r="AB312" s="45"/>
    </row>
    <row r="313" spans="1:28" x14ac:dyDescent="0.25">
      <c r="A313" s="33">
        <v>1050197933</v>
      </c>
      <c r="B313" s="33">
        <v>0</v>
      </c>
      <c r="C313" s="34" t="s">
        <v>250</v>
      </c>
      <c r="D313" s="34" t="s">
        <v>245</v>
      </c>
      <c r="E313" s="34" t="s">
        <v>285</v>
      </c>
      <c r="F313" s="35">
        <v>46157</v>
      </c>
      <c r="G313" s="34" t="s">
        <v>45</v>
      </c>
      <c r="H313" s="36" t="str">
        <f>VLOOKUP(E313,'HC for display name '!$B:$D,2,0)</f>
        <v>Omar Ali-Gohar</v>
      </c>
      <c r="I313" s="36" t="str">
        <f>VLOOKUP(E313,'HC for display name '!$B:$D,3,0)</f>
        <v>AbdElRahman Adel-ElKelany</v>
      </c>
      <c r="J313" s="36" t="str">
        <f t="shared" si="5"/>
        <v>D</v>
      </c>
    </row>
    <row r="314" spans="1:28" x14ac:dyDescent="0.25">
      <c r="A314" s="33">
        <v>1060272289</v>
      </c>
      <c r="B314" s="33">
        <v>9</v>
      </c>
      <c r="C314" s="34" t="s">
        <v>250</v>
      </c>
      <c r="D314" s="34" t="s">
        <v>245</v>
      </c>
      <c r="E314" s="34" t="s">
        <v>87</v>
      </c>
      <c r="F314" s="35">
        <v>46157</v>
      </c>
      <c r="G314" s="34" t="s">
        <v>45</v>
      </c>
      <c r="H314" s="36" t="str">
        <f>VLOOKUP(E314,'HC for display name '!$B:$D,2,0)</f>
        <v>Ahmed Magdy-Ewis</v>
      </c>
      <c r="I314" s="36" t="str">
        <f>VLOOKUP(E314,'HC for display name '!$B:$D,3,0)</f>
        <v>Omar Emad-Mahmoud</v>
      </c>
      <c r="J314" s="36" t="str">
        <f t="shared" si="5"/>
        <v>P</v>
      </c>
    </row>
    <row r="315" spans="1:28" x14ac:dyDescent="0.25">
      <c r="A315" s="33">
        <v>1064081709</v>
      </c>
      <c r="B315" s="33">
        <v>9</v>
      </c>
      <c r="C315" s="34" t="s">
        <v>250</v>
      </c>
      <c r="D315" s="34" t="s">
        <v>245</v>
      </c>
      <c r="E315" s="34" t="s">
        <v>79</v>
      </c>
      <c r="F315" s="35">
        <v>46157</v>
      </c>
      <c r="G315" s="34" t="s">
        <v>247</v>
      </c>
      <c r="H315" s="36" t="str">
        <f>VLOOKUP(E315,'HC for display name '!$B:$D,2,0)</f>
        <v>Youssef Hamdy-Mohamed</v>
      </c>
      <c r="I315" s="36" t="str">
        <f>VLOOKUP(E315,'HC for display name '!$B:$D,3,0)</f>
        <v>Omar Emad-Mahmoud</v>
      </c>
      <c r="J315" s="36" t="str">
        <f t="shared" si="5"/>
        <v>P</v>
      </c>
    </row>
    <row r="316" spans="1:28" x14ac:dyDescent="0.25">
      <c r="A316" s="33">
        <v>1069564858</v>
      </c>
      <c r="B316" s="33">
        <v>10</v>
      </c>
      <c r="C316" s="34" t="s">
        <v>244</v>
      </c>
      <c r="D316" s="34" t="s">
        <v>245</v>
      </c>
      <c r="E316" s="34" t="s">
        <v>90</v>
      </c>
      <c r="F316" s="35">
        <v>46157</v>
      </c>
      <c r="G316" s="34" t="s">
        <v>247</v>
      </c>
      <c r="H316" s="36" t="str">
        <f>VLOOKUP(E316,'HC for display name '!$B:$D,2,0)</f>
        <v>Hatem Ibrahim-Ahmed</v>
      </c>
      <c r="I316" s="36" t="str">
        <f>VLOOKUP(E316,'HC for display name '!$B:$D,3,0)</f>
        <v>Omar Emad-Mahmoud</v>
      </c>
      <c r="J316" s="36" t="str">
        <f t="shared" si="5"/>
        <v>P</v>
      </c>
    </row>
    <row r="317" spans="1:28" x14ac:dyDescent="0.25">
      <c r="A317" s="33">
        <v>1080186151</v>
      </c>
      <c r="B317" s="33">
        <v>5</v>
      </c>
      <c r="C317" s="34" t="s">
        <v>250</v>
      </c>
      <c r="D317" s="34" t="s">
        <v>250</v>
      </c>
      <c r="E317" s="34" t="s">
        <v>281</v>
      </c>
      <c r="F317" s="35">
        <v>46157</v>
      </c>
      <c r="G317" s="34" t="s">
        <v>45</v>
      </c>
      <c r="H317" s="36" t="str">
        <f>VLOOKUP(E317,'HC for display name '!$B:$D,2,0)</f>
        <v>Taher Ibrahim-Omar</v>
      </c>
      <c r="I317" s="36" t="str">
        <f>VLOOKUP(E317,'HC for display name '!$B:$D,3,0)</f>
        <v>AbdElRahman Adel-ElKelany</v>
      </c>
      <c r="J317" s="36" t="str">
        <f t="shared" si="5"/>
        <v>D</v>
      </c>
    </row>
    <row r="318" spans="1:28" x14ac:dyDescent="0.25">
      <c r="A318" s="33">
        <v>1080282906</v>
      </c>
      <c r="B318" s="33">
        <v>10</v>
      </c>
      <c r="C318" s="34" t="s">
        <v>244</v>
      </c>
      <c r="D318" s="34" t="s">
        <v>245</v>
      </c>
      <c r="E318" s="34" t="s">
        <v>90</v>
      </c>
      <c r="F318" s="35">
        <v>46157</v>
      </c>
      <c r="G318" s="34" t="s">
        <v>247</v>
      </c>
      <c r="H318" s="36" t="str">
        <f>VLOOKUP(E318,'HC for display name '!$B:$D,2,0)</f>
        <v>Hatem Ibrahim-Ahmed</v>
      </c>
      <c r="I318" s="36" t="str">
        <f>VLOOKUP(E318,'HC for display name '!$B:$D,3,0)</f>
        <v>Omar Emad-Mahmoud</v>
      </c>
      <c r="J318" s="36" t="str">
        <f t="shared" si="5"/>
        <v>P</v>
      </c>
    </row>
    <row r="319" spans="1:28" x14ac:dyDescent="0.25">
      <c r="A319" s="33">
        <v>1080476825</v>
      </c>
      <c r="B319" s="33">
        <v>0</v>
      </c>
      <c r="C319" s="34" t="s">
        <v>248</v>
      </c>
      <c r="D319" s="34" t="s">
        <v>244</v>
      </c>
      <c r="E319" s="34" t="s">
        <v>152</v>
      </c>
      <c r="F319" s="35">
        <v>46157</v>
      </c>
      <c r="G319" s="34" t="s">
        <v>45</v>
      </c>
      <c r="H319" s="36" t="str">
        <f>VLOOKUP(E319,'HC for display name '!$B:$D,2,0)</f>
        <v>Bassant Salah-Hassan</v>
      </c>
      <c r="I319" s="36" t="str">
        <f>VLOOKUP(E319,'HC for display name '!$B:$D,3,0)</f>
        <v>Merna Ashraf-Ashrafy</v>
      </c>
      <c r="J319" s="36" t="str">
        <f t="shared" si="5"/>
        <v>D</v>
      </c>
    </row>
    <row r="320" spans="1:28" x14ac:dyDescent="0.25">
      <c r="A320" s="33">
        <v>1091126534</v>
      </c>
      <c r="B320" s="33">
        <v>0</v>
      </c>
      <c r="C320" s="34" t="s">
        <v>248</v>
      </c>
      <c r="D320" s="34" t="s">
        <v>244</v>
      </c>
      <c r="E320" s="34" t="s">
        <v>280</v>
      </c>
      <c r="F320" s="35">
        <v>46157</v>
      </c>
      <c r="G320" s="34" t="s">
        <v>45</v>
      </c>
      <c r="H320" s="36" t="str">
        <f>VLOOKUP(E320,'HC for display name '!$B:$D,2,0)</f>
        <v>Kawthar Nasreldin-Mohyeldin</v>
      </c>
      <c r="I320" s="36" t="str">
        <f>VLOOKUP(E320,'HC for display name '!$B:$D,3,0)</f>
        <v>Hend Yousry-AbdElRassoul</v>
      </c>
      <c r="J320" s="36" t="str">
        <f t="shared" si="5"/>
        <v>D</v>
      </c>
    </row>
    <row r="321" spans="1:10" x14ac:dyDescent="0.25">
      <c r="A321" s="33">
        <v>1096856434</v>
      </c>
      <c r="B321" s="33">
        <v>10</v>
      </c>
      <c r="C321" s="34" t="s">
        <v>244</v>
      </c>
      <c r="D321" s="34" t="s">
        <v>245</v>
      </c>
      <c r="E321" s="34" t="s">
        <v>252</v>
      </c>
      <c r="F321" s="35">
        <v>46157</v>
      </c>
      <c r="G321" s="34" t="s">
        <v>45</v>
      </c>
      <c r="H321" s="36" t="str">
        <f>VLOOKUP(E321,'HC for display name '!$B:$D,2,0)</f>
        <v>Hassan Ramy-Hassan</v>
      </c>
      <c r="I321" s="36" t="str">
        <f>VLOOKUP(E321,'HC for display name '!$B:$D,3,0)</f>
        <v>Merna Ashraf-Ashrafy</v>
      </c>
      <c r="J321" s="36" t="str">
        <f t="shared" si="5"/>
        <v>P</v>
      </c>
    </row>
    <row r="322" spans="1:10" x14ac:dyDescent="0.25">
      <c r="A322" s="33">
        <v>1098539890</v>
      </c>
      <c r="B322" s="33">
        <v>10</v>
      </c>
      <c r="C322" s="34" t="s">
        <v>244</v>
      </c>
      <c r="D322" s="34" t="s">
        <v>245</v>
      </c>
      <c r="E322" s="34" t="s">
        <v>90</v>
      </c>
      <c r="F322" s="35">
        <v>46157</v>
      </c>
      <c r="G322" s="34" t="s">
        <v>247</v>
      </c>
      <c r="H322" s="36" t="str">
        <f>VLOOKUP(E322,'HC for display name '!$B:$D,2,0)</f>
        <v>Hatem Ibrahim-Ahmed</v>
      </c>
      <c r="I322" s="36" t="str">
        <f>VLOOKUP(E322,'HC for display name '!$B:$D,3,0)</f>
        <v>Omar Emad-Mahmoud</v>
      </c>
      <c r="J322" s="36" t="str">
        <f t="shared" si="5"/>
        <v>P</v>
      </c>
    </row>
    <row r="323" spans="1:10" x14ac:dyDescent="0.25">
      <c r="A323" s="33">
        <v>1099465773</v>
      </c>
      <c r="B323" s="33">
        <v>0</v>
      </c>
      <c r="C323" s="34" t="s">
        <v>250</v>
      </c>
      <c r="D323" s="34" t="s">
        <v>245</v>
      </c>
      <c r="E323" s="34" t="s">
        <v>79</v>
      </c>
      <c r="F323" s="35">
        <v>46157</v>
      </c>
      <c r="G323" s="34" t="s">
        <v>247</v>
      </c>
      <c r="H323" s="36" t="str">
        <f>VLOOKUP(E323,'HC for display name '!$B:$D,2,0)</f>
        <v>Youssef Hamdy-Mohamed</v>
      </c>
      <c r="I323" s="36" t="str">
        <f>VLOOKUP(E323,'HC for display name '!$B:$D,3,0)</f>
        <v>Omar Emad-Mahmoud</v>
      </c>
      <c r="J323" s="36" t="str">
        <f t="shared" si="5"/>
        <v>D</v>
      </c>
    </row>
    <row r="324" spans="1:10" x14ac:dyDescent="0.25">
      <c r="A324" s="33">
        <v>1000440643</v>
      </c>
      <c r="B324" s="33">
        <v>6</v>
      </c>
      <c r="C324" s="34" t="s">
        <v>250</v>
      </c>
      <c r="D324" s="34" t="s">
        <v>250</v>
      </c>
      <c r="E324" s="34" t="s">
        <v>79</v>
      </c>
      <c r="F324" s="35">
        <v>46158</v>
      </c>
      <c r="G324" s="34" t="s">
        <v>45</v>
      </c>
      <c r="H324" s="36" t="str">
        <f>VLOOKUP(E324,'HC for display name '!$B:$D,2,0)</f>
        <v>Youssef Hamdy-Mohamed</v>
      </c>
      <c r="I324" s="36" t="str">
        <f>VLOOKUP(E324,'HC for display name '!$B:$D,3,0)</f>
        <v>Omar Emad-Mahmoud</v>
      </c>
      <c r="J324" s="36" t="str">
        <f t="shared" si="5"/>
        <v>D</v>
      </c>
    </row>
    <row r="325" spans="1:10" x14ac:dyDescent="0.25">
      <c r="A325" s="33">
        <v>1001113364</v>
      </c>
      <c r="B325" s="33">
        <v>0</v>
      </c>
      <c r="C325" s="34" t="s">
        <v>255</v>
      </c>
      <c r="D325" s="34" t="s">
        <v>255</v>
      </c>
      <c r="E325" s="34" t="s">
        <v>155</v>
      </c>
      <c r="F325" s="35">
        <v>46158</v>
      </c>
      <c r="G325" s="34" t="s">
        <v>45</v>
      </c>
      <c r="H325" s="36" t="str">
        <f>VLOOKUP(E325,'HC for display name '!$B:$D,2,0)</f>
        <v>Omnia Wageeh-ElAzab</v>
      </c>
      <c r="I325" s="36" t="str">
        <f>VLOOKUP(E325,'HC for display name '!$B:$D,3,0)</f>
        <v>Merna Ashraf-Ashrafy</v>
      </c>
      <c r="J325" s="36" t="str">
        <f t="shared" si="5"/>
        <v>D</v>
      </c>
    </row>
    <row r="326" spans="1:10" x14ac:dyDescent="0.25">
      <c r="A326" s="33">
        <v>1001458234</v>
      </c>
      <c r="B326" s="33">
        <v>10</v>
      </c>
      <c r="C326" s="34" t="s">
        <v>250</v>
      </c>
      <c r="D326" s="34" t="s">
        <v>244</v>
      </c>
      <c r="E326" s="34" t="s">
        <v>262</v>
      </c>
      <c r="F326" s="35">
        <v>46158</v>
      </c>
      <c r="G326" s="34" t="s">
        <v>45</v>
      </c>
      <c r="H326" s="36" t="str">
        <f>VLOOKUP(E326,'HC for display name '!$B:$D,2,0)</f>
        <v>Mohamed AbdElazim-Farag</v>
      </c>
      <c r="I326" s="36" t="str">
        <f>VLOOKUP(E326,'HC for display name '!$B:$D,3,0)</f>
        <v>Hend Yousry-AbdElRassoul</v>
      </c>
      <c r="J326" s="36" t="str">
        <f t="shared" si="5"/>
        <v>P</v>
      </c>
    </row>
    <row r="327" spans="1:10" x14ac:dyDescent="0.25">
      <c r="A327" s="33">
        <v>1002808696</v>
      </c>
      <c r="B327" s="33">
        <v>10</v>
      </c>
      <c r="C327" s="34" t="s">
        <v>244</v>
      </c>
      <c r="D327" s="34" t="s">
        <v>245</v>
      </c>
      <c r="E327" s="34" t="s">
        <v>263</v>
      </c>
      <c r="F327" s="35">
        <v>46158</v>
      </c>
      <c r="G327" s="34" t="s">
        <v>45</v>
      </c>
      <c r="H327" s="36" t="str">
        <f>VLOOKUP(E327,'HC for display name '!$B:$D,2,0)</f>
        <v>Yara Hussein-Mofleh</v>
      </c>
      <c r="I327" s="36" t="str">
        <f>VLOOKUP(E327,'HC for display name '!$B:$D,3,0)</f>
        <v>Hend Yousry-AbdElRassoul</v>
      </c>
      <c r="J327" s="36" t="str">
        <f t="shared" si="5"/>
        <v>P</v>
      </c>
    </row>
    <row r="328" spans="1:10" x14ac:dyDescent="0.25">
      <c r="A328" s="33">
        <v>1003454707</v>
      </c>
      <c r="B328" s="33">
        <v>10</v>
      </c>
      <c r="C328" s="34" t="s">
        <v>244</v>
      </c>
      <c r="D328" s="34" t="s">
        <v>245</v>
      </c>
      <c r="E328" s="34" t="s">
        <v>279</v>
      </c>
      <c r="F328" s="35">
        <v>46158</v>
      </c>
      <c r="G328" s="34" t="s">
        <v>45</v>
      </c>
      <c r="H328" s="36" t="str">
        <f>VLOOKUP(E328,'HC for display name '!$B:$D,2,0)</f>
        <v>Mayar Ibrahim-Noah</v>
      </c>
      <c r="I328" s="36" t="str">
        <f>VLOOKUP(E328,'HC for display name '!$B:$D,3,0)</f>
        <v>Hend Yousry-AbdElRassoul</v>
      </c>
      <c r="J328" s="36" t="str">
        <f t="shared" si="5"/>
        <v>P</v>
      </c>
    </row>
    <row r="329" spans="1:10" x14ac:dyDescent="0.25">
      <c r="A329" s="33">
        <v>1004815439</v>
      </c>
      <c r="B329" s="33">
        <v>10</v>
      </c>
      <c r="C329" s="34" t="s">
        <v>258</v>
      </c>
      <c r="D329" s="34" t="s">
        <v>245</v>
      </c>
      <c r="E329" s="34" t="s">
        <v>266</v>
      </c>
      <c r="F329" s="35">
        <v>46158</v>
      </c>
      <c r="G329" s="34" t="s">
        <v>247</v>
      </c>
      <c r="H329" s="36" t="str">
        <f>VLOOKUP(E329,'HC for display name '!$B:$D,2,0)</f>
        <v>AbdElRahman Mohamed-Moslhy</v>
      </c>
      <c r="I329" s="36" t="str">
        <f>VLOOKUP(E329,'HC for display name '!$B:$D,3,0)</f>
        <v>Omar Emad-Mahmoud</v>
      </c>
      <c r="J329" s="36" t="str">
        <f t="shared" si="5"/>
        <v>P</v>
      </c>
    </row>
    <row r="330" spans="1:10" x14ac:dyDescent="0.25">
      <c r="A330" s="33">
        <v>1006999230</v>
      </c>
      <c r="B330" s="33">
        <v>5</v>
      </c>
      <c r="C330" s="34" t="s">
        <v>244</v>
      </c>
      <c r="D330" s="34" t="s">
        <v>245</v>
      </c>
      <c r="E330" s="34" t="s">
        <v>279</v>
      </c>
      <c r="F330" s="35">
        <v>46158</v>
      </c>
      <c r="G330" s="34" t="s">
        <v>45</v>
      </c>
      <c r="H330" s="36" t="str">
        <f>VLOOKUP(E330,'HC for display name '!$B:$D,2,0)</f>
        <v>Mayar Ibrahim-Noah</v>
      </c>
      <c r="I330" s="36" t="str">
        <f>VLOOKUP(E330,'HC for display name '!$B:$D,3,0)</f>
        <v>Hend Yousry-AbdElRassoul</v>
      </c>
      <c r="J330" s="36" t="str">
        <f t="shared" si="5"/>
        <v>D</v>
      </c>
    </row>
    <row r="331" spans="1:10" x14ac:dyDescent="0.25">
      <c r="A331" s="33">
        <v>1008164212</v>
      </c>
      <c r="B331" s="33">
        <v>10</v>
      </c>
      <c r="C331" s="34" t="s">
        <v>244</v>
      </c>
      <c r="D331" s="34" t="s">
        <v>245</v>
      </c>
      <c r="E331" s="34" t="s">
        <v>87</v>
      </c>
      <c r="F331" s="35">
        <v>46158</v>
      </c>
      <c r="G331" s="34" t="s">
        <v>247</v>
      </c>
      <c r="H331" s="36" t="str">
        <f>VLOOKUP(E331,'HC for display name '!$B:$D,2,0)</f>
        <v>Ahmed Magdy-Ewis</v>
      </c>
      <c r="I331" s="36" t="str">
        <f>VLOOKUP(E331,'HC for display name '!$B:$D,3,0)</f>
        <v>Omar Emad-Mahmoud</v>
      </c>
      <c r="J331" s="36" t="str">
        <f t="shared" si="5"/>
        <v>P</v>
      </c>
    </row>
    <row r="332" spans="1:10" x14ac:dyDescent="0.25">
      <c r="A332" s="33">
        <v>1010262574</v>
      </c>
      <c r="B332" s="33">
        <v>9</v>
      </c>
      <c r="C332" s="34" t="s">
        <v>250</v>
      </c>
      <c r="D332" s="34" t="s">
        <v>245</v>
      </c>
      <c r="E332" s="34" t="s">
        <v>262</v>
      </c>
      <c r="F332" s="35">
        <v>46158</v>
      </c>
      <c r="G332" s="34" t="s">
        <v>247</v>
      </c>
      <c r="H332" s="36" t="str">
        <f>VLOOKUP(E332,'HC for display name '!$B:$D,2,0)</f>
        <v>Mohamed AbdElazim-Farag</v>
      </c>
      <c r="I332" s="36" t="str">
        <f>VLOOKUP(E332,'HC for display name '!$B:$D,3,0)</f>
        <v>Hend Yousry-AbdElRassoul</v>
      </c>
      <c r="J332" s="36" t="str">
        <f t="shared" si="5"/>
        <v>P</v>
      </c>
    </row>
    <row r="333" spans="1:10" x14ac:dyDescent="0.25">
      <c r="A333" s="33">
        <v>1010287103</v>
      </c>
      <c r="B333" s="33">
        <v>9</v>
      </c>
      <c r="C333" s="34" t="s">
        <v>244</v>
      </c>
      <c r="D333" s="34" t="s">
        <v>245</v>
      </c>
      <c r="E333" s="34" t="s">
        <v>264</v>
      </c>
      <c r="F333" s="35">
        <v>46158</v>
      </c>
      <c r="G333" s="34" t="s">
        <v>247</v>
      </c>
      <c r="H333" s="36" t="str">
        <f>VLOOKUP(E333,'HC for display name '!$B:$D,2,0)</f>
        <v>Ziad Hassan-Donkol</v>
      </c>
      <c r="I333" s="36" t="str">
        <f>VLOOKUP(E333,'HC for display name '!$B:$D,3,0)</f>
        <v>AbdElRahman Adel-ElKelany</v>
      </c>
      <c r="J333" s="36" t="str">
        <f t="shared" si="5"/>
        <v>P</v>
      </c>
    </row>
    <row r="334" spans="1:10" x14ac:dyDescent="0.25">
      <c r="A334" s="33">
        <v>1010944167</v>
      </c>
      <c r="B334" s="33">
        <v>10</v>
      </c>
      <c r="C334" s="34" t="s">
        <v>244</v>
      </c>
      <c r="D334" s="34" t="s">
        <v>245</v>
      </c>
      <c r="E334" s="34" t="s">
        <v>265</v>
      </c>
      <c r="F334" s="35">
        <v>46158</v>
      </c>
      <c r="G334" s="34" t="s">
        <v>45</v>
      </c>
      <c r="H334" s="36" t="str">
        <f>VLOOKUP(E334,'HC for display name '!$B:$D,2,0)</f>
        <v>Safaa Safwat-Zekry</v>
      </c>
      <c r="I334" s="36" t="str">
        <f>VLOOKUP(E334,'HC for display name '!$B:$D,3,0)</f>
        <v>Merna Ashraf-Ashrafy</v>
      </c>
      <c r="J334" s="36" t="str">
        <f t="shared" si="5"/>
        <v>P</v>
      </c>
    </row>
    <row r="335" spans="1:10" x14ac:dyDescent="0.25">
      <c r="A335" s="33">
        <v>1017794075</v>
      </c>
      <c r="B335" s="33">
        <v>10</v>
      </c>
      <c r="C335" s="34" t="s">
        <v>244</v>
      </c>
      <c r="D335" s="34" t="s">
        <v>245</v>
      </c>
      <c r="E335" s="34" t="s">
        <v>137</v>
      </c>
      <c r="F335" s="35">
        <v>46158</v>
      </c>
      <c r="G335" s="34" t="s">
        <v>45</v>
      </c>
      <c r="H335" s="36" t="str">
        <f>VLOOKUP(E335,'HC for display name '!$B:$D,2,0)</f>
        <v>Yasmine Waleed-Mohamed</v>
      </c>
      <c r="I335" s="36" t="str">
        <f>VLOOKUP(E335,'HC for display name '!$B:$D,3,0)</f>
        <v>Merna Ashraf-Ashrafy</v>
      </c>
      <c r="J335" s="36" t="str">
        <f t="shared" si="5"/>
        <v>P</v>
      </c>
    </row>
    <row r="336" spans="1:10" x14ac:dyDescent="0.25">
      <c r="A336" s="33">
        <v>1019734846</v>
      </c>
      <c r="B336" s="33">
        <v>10</v>
      </c>
      <c r="C336" s="34" t="s">
        <v>244</v>
      </c>
      <c r="D336" s="34" t="s">
        <v>245</v>
      </c>
      <c r="E336" s="34" t="s">
        <v>58</v>
      </c>
      <c r="F336" s="35">
        <v>46158</v>
      </c>
      <c r="G336" s="34" t="s">
        <v>247</v>
      </c>
      <c r="H336" s="36" t="str">
        <f>VLOOKUP(E336,'HC for display name '!$B:$D,2,0)</f>
        <v>Mohamed Ali-AbdElGelil</v>
      </c>
      <c r="I336" s="36" t="str">
        <f>VLOOKUP(E336,'HC for display name '!$B:$D,3,0)</f>
        <v>Omar Emad-Mahmoud</v>
      </c>
      <c r="J336" s="36" t="str">
        <f t="shared" si="5"/>
        <v>P</v>
      </c>
    </row>
    <row r="337" spans="1:10" x14ac:dyDescent="0.25">
      <c r="A337" s="33">
        <v>1028444105</v>
      </c>
      <c r="B337" s="33">
        <v>10</v>
      </c>
      <c r="C337" s="34" t="s">
        <v>250</v>
      </c>
      <c r="D337" s="34" t="s">
        <v>245</v>
      </c>
      <c r="E337" s="34" t="s">
        <v>155</v>
      </c>
      <c r="F337" s="35">
        <v>46158</v>
      </c>
      <c r="G337" s="34" t="s">
        <v>45</v>
      </c>
      <c r="H337" s="36" t="str">
        <f>VLOOKUP(E337,'HC for display name '!$B:$D,2,0)</f>
        <v>Omnia Wageeh-ElAzab</v>
      </c>
      <c r="I337" s="36" t="str">
        <f>VLOOKUP(E337,'HC for display name '!$B:$D,3,0)</f>
        <v>Merna Ashraf-Ashrafy</v>
      </c>
      <c r="J337" s="36" t="str">
        <f t="shared" si="5"/>
        <v>P</v>
      </c>
    </row>
    <row r="338" spans="1:10" x14ac:dyDescent="0.25">
      <c r="A338" s="33">
        <v>1028661940</v>
      </c>
      <c r="B338" s="33">
        <v>10</v>
      </c>
      <c r="C338" s="34" t="s">
        <v>250</v>
      </c>
      <c r="D338" s="34" t="s">
        <v>245</v>
      </c>
      <c r="E338" s="34" t="s">
        <v>279</v>
      </c>
      <c r="F338" s="35">
        <v>46158</v>
      </c>
      <c r="G338" s="34" t="s">
        <v>45</v>
      </c>
      <c r="H338" s="36" t="str">
        <f>VLOOKUP(E338,'HC for display name '!$B:$D,2,0)</f>
        <v>Mayar Ibrahim-Noah</v>
      </c>
      <c r="I338" s="36" t="str">
        <f>VLOOKUP(E338,'HC for display name '!$B:$D,3,0)</f>
        <v>Hend Yousry-AbdElRassoul</v>
      </c>
      <c r="J338" s="36" t="str">
        <f t="shared" si="5"/>
        <v>P</v>
      </c>
    </row>
    <row r="339" spans="1:10" x14ac:dyDescent="0.25">
      <c r="A339" s="33">
        <v>1029571423</v>
      </c>
      <c r="B339" s="33">
        <v>0</v>
      </c>
      <c r="C339" s="34" t="s">
        <v>248</v>
      </c>
      <c r="D339" s="34" t="s">
        <v>244</v>
      </c>
      <c r="E339" s="34" t="s">
        <v>137</v>
      </c>
      <c r="F339" s="35">
        <v>46158</v>
      </c>
      <c r="G339" s="34" t="s">
        <v>45</v>
      </c>
      <c r="H339" s="36" t="str">
        <f>VLOOKUP(E339,'HC for display name '!$B:$D,2,0)</f>
        <v>Yasmine Waleed-Mohamed</v>
      </c>
      <c r="I339" s="36" t="str">
        <f>VLOOKUP(E339,'HC for display name '!$B:$D,3,0)</f>
        <v>Merna Ashraf-Ashrafy</v>
      </c>
      <c r="J339" s="36" t="str">
        <f t="shared" si="5"/>
        <v>D</v>
      </c>
    </row>
    <row r="340" spans="1:10" x14ac:dyDescent="0.25">
      <c r="A340" s="33">
        <v>1030159994</v>
      </c>
      <c r="B340" s="33">
        <v>10</v>
      </c>
      <c r="C340" s="34" t="s">
        <v>244</v>
      </c>
      <c r="D340" s="34" t="s">
        <v>245</v>
      </c>
      <c r="E340" s="34" t="s">
        <v>87</v>
      </c>
      <c r="F340" s="35">
        <v>46158</v>
      </c>
      <c r="G340" s="34" t="s">
        <v>247</v>
      </c>
      <c r="H340" s="36" t="str">
        <f>VLOOKUP(E340,'HC for display name '!$B:$D,2,0)</f>
        <v>Ahmed Magdy-Ewis</v>
      </c>
      <c r="I340" s="36" t="str">
        <f>VLOOKUP(E340,'HC for display name '!$B:$D,3,0)</f>
        <v>Omar Emad-Mahmoud</v>
      </c>
      <c r="J340" s="36" t="str">
        <f t="shared" si="5"/>
        <v>P</v>
      </c>
    </row>
    <row r="341" spans="1:10" x14ac:dyDescent="0.25">
      <c r="A341" s="33">
        <v>1030817447</v>
      </c>
      <c r="B341" s="33">
        <v>10</v>
      </c>
      <c r="C341" s="34" t="s">
        <v>244</v>
      </c>
      <c r="D341" s="34" t="s">
        <v>245</v>
      </c>
      <c r="E341" s="34" t="s">
        <v>155</v>
      </c>
      <c r="F341" s="35">
        <v>46158</v>
      </c>
      <c r="G341" s="34" t="s">
        <v>45</v>
      </c>
      <c r="H341" s="36" t="str">
        <f>VLOOKUP(E341,'HC for display name '!$B:$D,2,0)</f>
        <v>Omnia Wageeh-ElAzab</v>
      </c>
      <c r="I341" s="36" t="str">
        <f>VLOOKUP(E341,'HC for display name '!$B:$D,3,0)</f>
        <v>Merna Ashraf-Ashrafy</v>
      </c>
      <c r="J341" s="36" t="str">
        <f t="shared" si="5"/>
        <v>P</v>
      </c>
    </row>
    <row r="342" spans="1:10" x14ac:dyDescent="0.25">
      <c r="A342" s="33">
        <v>1032339968</v>
      </c>
      <c r="B342" s="33">
        <v>10</v>
      </c>
      <c r="C342" s="34" t="s">
        <v>250</v>
      </c>
      <c r="D342" s="34" t="s">
        <v>245</v>
      </c>
      <c r="E342" s="34" t="s">
        <v>264</v>
      </c>
      <c r="F342" s="35">
        <v>46158</v>
      </c>
      <c r="G342" s="34" t="s">
        <v>247</v>
      </c>
      <c r="H342" s="36" t="str">
        <f>VLOOKUP(E342,'HC for display name '!$B:$D,2,0)</f>
        <v>Ziad Hassan-Donkol</v>
      </c>
      <c r="I342" s="36" t="str">
        <f>VLOOKUP(E342,'HC for display name '!$B:$D,3,0)</f>
        <v>AbdElRahman Adel-ElKelany</v>
      </c>
      <c r="J342" s="36" t="str">
        <f t="shared" si="5"/>
        <v>P</v>
      </c>
    </row>
    <row r="343" spans="1:10" x14ac:dyDescent="0.25">
      <c r="A343" s="33">
        <v>1033666628</v>
      </c>
      <c r="B343" s="33">
        <v>10</v>
      </c>
      <c r="C343" s="34" t="s">
        <v>250</v>
      </c>
      <c r="D343" s="34" t="s">
        <v>245</v>
      </c>
      <c r="E343" s="34" t="s">
        <v>111</v>
      </c>
      <c r="F343" s="35">
        <v>46158</v>
      </c>
      <c r="G343" s="34" t="s">
        <v>45</v>
      </c>
      <c r="H343" s="36" t="str">
        <f>VLOOKUP(E343,'HC for display name '!$B:$D,2,0)</f>
        <v>Mohada Mohamed-Hamdy</v>
      </c>
      <c r="I343" s="36" t="str">
        <f>VLOOKUP(E343,'HC for display name '!$B:$D,3,0)</f>
        <v>Merna Ashraf-Ashrafy</v>
      </c>
      <c r="J343" s="36" t="str">
        <f t="shared" si="5"/>
        <v>P</v>
      </c>
    </row>
    <row r="344" spans="1:10" x14ac:dyDescent="0.25">
      <c r="A344" s="33">
        <v>1037892469</v>
      </c>
      <c r="B344" s="33">
        <v>10</v>
      </c>
      <c r="C344" s="34" t="s">
        <v>250</v>
      </c>
      <c r="D344" s="34" t="s">
        <v>245</v>
      </c>
      <c r="E344" s="34" t="s">
        <v>195</v>
      </c>
      <c r="F344" s="35">
        <v>46158</v>
      </c>
      <c r="G344" s="34" t="s">
        <v>247</v>
      </c>
      <c r="H344" s="36" t="str">
        <f>VLOOKUP(E344,'HC for display name '!$B:$D,2,0)</f>
        <v>Sherif Madbouly-Sayed</v>
      </c>
      <c r="I344" s="36" t="str">
        <f>VLOOKUP(E344,'HC for display name '!$B:$D,3,0)</f>
        <v>Omar Emad-Mahmoud</v>
      </c>
      <c r="J344" s="36" t="str">
        <f t="shared" si="5"/>
        <v>P</v>
      </c>
    </row>
    <row r="345" spans="1:10" x14ac:dyDescent="0.25">
      <c r="A345" s="33">
        <v>1040117543</v>
      </c>
      <c r="B345" s="33">
        <v>10</v>
      </c>
      <c r="C345" s="34" t="s">
        <v>250</v>
      </c>
      <c r="D345" s="34" t="s">
        <v>245</v>
      </c>
      <c r="E345" s="34" t="s">
        <v>145</v>
      </c>
      <c r="F345" s="35">
        <v>46158</v>
      </c>
      <c r="G345" s="34" t="s">
        <v>247</v>
      </c>
      <c r="H345" s="36" t="str">
        <f>VLOOKUP(E345,'HC for display name '!$B:$D,2,0)</f>
        <v>Aya Ezzat-Mahmoud</v>
      </c>
      <c r="I345" s="36" t="str">
        <f>VLOOKUP(E345,'HC for display name '!$B:$D,3,0)</f>
        <v>Merna Ashraf-Ashrafy</v>
      </c>
      <c r="J345" s="36" t="str">
        <f t="shared" si="5"/>
        <v>P</v>
      </c>
    </row>
    <row r="346" spans="1:10" x14ac:dyDescent="0.25">
      <c r="A346" s="33">
        <v>1044812111</v>
      </c>
      <c r="B346" s="33">
        <v>0</v>
      </c>
      <c r="C346" s="34" t="s">
        <v>250</v>
      </c>
      <c r="D346" s="34" t="s">
        <v>248</v>
      </c>
      <c r="E346" s="34" t="s">
        <v>279</v>
      </c>
      <c r="F346" s="35">
        <v>46158</v>
      </c>
      <c r="G346" s="34" t="s">
        <v>45</v>
      </c>
      <c r="H346" s="36" t="str">
        <f>VLOOKUP(E346,'HC for display name '!$B:$D,2,0)</f>
        <v>Mayar Ibrahim-Noah</v>
      </c>
      <c r="I346" s="36" t="str">
        <f>VLOOKUP(E346,'HC for display name '!$B:$D,3,0)</f>
        <v>Hend Yousry-AbdElRassoul</v>
      </c>
      <c r="J346" s="36" t="str">
        <f t="shared" si="5"/>
        <v>D</v>
      </c>
    </row>
    <row r="347" spans="1:10" x14ac:dyDescent="0.25">
      <c r="A347" s="33">
        <v>1060568555</v>
      </c>
      <c r="B347" s="33">
        <v>10</v>
      </c>
      <c r="C347" s="34" t="s">
        <v>244</v>
      </c>
      <c r="D347" s="34" t="s">
        <v>245</v>
      </c>
      <c r="E347" s="34" t="s">
        <v>252</v>
      </c>
      <c r="F347" s="35">
        <v>46158</v>
      </c>
      <c r="G347" s="34" t="s">
        <v>247</v>
      </c>
      <c r="H347" s="36" t="str">
        <f>VLOOKUP(E347,'HC for display name '!$B:$D,2,0)</f>
        <v>Hassan Ramy-Hassan</v>
      </c>
      <c r="I347" s="36" t="str">
        <f>VLOOKUP(E347,'HC for display name '!$B:$D,3,0)</f>
        <v>Merna Ashraf-Ashrafy</v>
      </c>
      <c r="J347" s="36" t="str">
        <f t="shared" si="5"/>
        <v>P</v>
      </c>
    </row>
    <row r="348" spans="1:10" x14ac:dyDescent="0.25">
      <c r="A348" s="33">
        <v>1061574610</v>
      </c>
      <c r="B348" s="33">
        <v>10</v>
      </c>
      <c r="C348" s="34" t="s">
        <v>244</v>
      </c>
      <c r="D348" s="34" t="s">
        <v>245</v>
      </c>
      <c r="E348" s="34" t="s">
        <v>145</v>
      </c>
      <c r="F348" s="35">
        <v>46158</v>
      </c>
      <c r="G348" s="34" t="s">
        <v>247</v>
      </c>
      <c r="H348" s="36" t="str">
        <f>VLOOKUP(E348,'HC for display name '!$B:$D,2,0)</f>
        <v>Aya Ezzat-Mahmoud</v>
      </c>
      <c r="I348" s="36" t="str">
        <f>VLOOKUP(E348,'HC for display name '!$B:$D,3,0)</f>
        <v>Merna Ashraf-Ashrafy</v>
      </c>
      <c r="J348" s="36" t="str">
        <f t="shared" si="5"/>
        <v>P</v>
      </c>
    </row>
    <row r="349" spans="1:10" x14ac:dyDescent="0.25">
      <c r="A349" s="33">
        <v>1062027180</v>
      </c>
      <c r="B349" s="33">
        <v>10</v>
      </c>
      <c r="C349" s="34" t="s">
        <v>244</v>
      </c>
      <c r="D349" s="34" t="s">
        <v>245</v>
      </c>
      <c r="E349" s="34" t="s">
        <v>145</v>
      </c>
      <c r="F349" s="35">
        <v>46158</v>
      </c>
      <c r="G349" s="34" t="s">
        <v>45</v>
      </c>
      <c r="H349" s="36" t="str">
        <f>VLOOKUP(E349,'HC for display name '!$B:$D,2,0)</f>
        <v>Aya Ezzat-Mahmoud</v>
      </c>
      <c r="I349" s="36" t="str">
        <f>VLOOKUP(E349,'HC for display name '!$B:$D,3,0)</f>
        <v>Merna Ashraf-Ashrafy</v>
      </c>
      <c r="J349" s="36" t="str">
        <f t="shared" si="5"/>
        <v>P</v>
      </c>
    </row>
    <row r="350" spans="1:10" x14ac:dyDescent="0.25">
      <c r="A350" s="33">
        <v>1064191747</v>
      </c>
      <c r="B350" s="33">
        <v>10</v>
      </c>
      <c r="C350" s="34" t="s">
        <v>244</v>
      </c>
      <c r="D350" s="34" t="s">
        <v>245</v>
      </c>
      <c r="E350" s="34" t="s">
        <v>111</v>
      </c>
      <c r="F350" s="35">
        <v>46158</v>
      </c>
      <c r="G350" s="34" t="s">
        <v>45</v>
      </c>
      <c r="H350" s="36" t="str">
        <f>VLOOKUP(E350,'HC for display name '!$B:$D,2,0)</f>
        <v>Mohada Mohamed-Hamdy</v>
      </c>
      <c r="I350" s="36" t="str">
        <f>VLOOKUP(E350,'HC for display name '!$B:$D,3,0)</f>
        <v>Merna Ashraf-Ashrafy</v>
      </c>
      <c r="J350" s="36" t="str">
        <f t="shared" ref="J350:J362" si="6">VLOOKUP(B350,$T$3:$U$13,2,0)</f>
        <v>P</v>
      </c>
    </row>
    <row r="351" spans="1:10" x14ac:dyDescent="0.25">
      <c r="A351" s="33">
        <v>1064458744</v>
      </c>
      <c r="B351" s="33">
        <v>0</v>
      </c>
      <c r="C351" s="34" t="s">
        <v>248</v>
      </c>
      <c r="D351" s="34" t="s">
        <v>258</v>
      </c>
      <c r="E351" s="34" t="s">
        <v>264</v>
      </c>
      <c r="F351" s="35">
        <v>46158</v>
      </c>
      <c r="G351" s="34" t="s">
        <v>247</v>
      </c>
      <c r="H351" s="36" t="str">
        <f>VLOOKUP(E351,'HC for display name '!$B:$D,2,0)</f>
        <v>Ziad Hassan-Donkol</v>
      </c>
      <c r="I351" s="36" t="str">
        <f>VLOOKUP(E351,'HC for display name '!$B:$D,3,0)</f>
        <v>AbdElRahman Adel-ElKelany</v>
      </c>
      <c r="J351" s="36" t="str">
        <f t="shared" si="6"/>
        <v>D</v>
      </c>
    </row>
    <row r="352" spans="1:10" x14ac:dyDescent="0.25">
      <c r="A352" s="33">
        <v>1080660375</v>
      </c>
      <c r="B352" s="33">
        <v>10</v>
      </c>
      <c r="C352" s="34" t="s">
        <v>248</v>
      </c>
      <c r="D352" s="34" t="s">
        <v>245</v>
      </c>
      <c r="E352" s="34" t="s">
        <v>279</v>
      </c>
      <c r="F352" s="35">
        <v>46158</v>
      </c>
      <c r="G352" s="34" t="s">
        <v>247</v>
      </c>
      <c r="H352" s="36" t="str">
        <f>VLOOKUP(E352,'HC for display name '!$B:$D,2,0)</f>
        <v>Mayar Ibrahim-Noah</v>
      </c>
      <c r="I352" s="36" t="str">
        <f>VLOOKUP(E352,'HC for display name '!$B:$D,3,0)</f>
        <v>Hend Yousry-AbdElRassoul</v>
      </c>
      <c r="J352" s="36" t="str">
        <f t="shared" si="6"/>
        <v>P</v>
      </c>
    </row>
    <row r="353" spans="1:10" x14ac:dyDescent="0.25">
      <c r="A353" s="33">
        <v>1080919309</v>
      </c>
      <c r="B353" s="33">
        <v>0</v>
      </c>
      <c r="C353" s="34" t="s">
        <v>248</v>
      </c>
      <c r="D353" s="34" t="s">
        <v>255</v>
      </c>
      <c r="E353" s="34" t="s">
        <v>279</v>
      </c>
      <c r="F353" s="35">
        <v>46158</v>
      </c>
      <c r="G353" s="34" t="s">
        <v>45</v>
      </c>
      <c r="H353" s="36" t="str">
        <f>VLOOKUP(E353,'HC for display name '!$B:$D,2,0)</f>
        <v>Mayar Ibrahim-Noah</v>
      </c>
      <c r="I353" s="36" t="str">
        <f>VLOOKUP(E353,'HC for display name '!$B:$D,3,0)</f>
        <v>Hend Yousry-AbdElRassoul</v>
      </c>
      <c r="J353" s="36" t="str">
        <f t="shared" si="6"/>
        <v>D</v>
      </c>
    </row>
    <row r="354" spans="1:10" x14ac:dyDescent="0.25">
      <c r="A354" s="33">
        <v>1090234993</v>
      </c>
      <c r="B354" s="33">
        <v>10</v>
      </c>
      <c r="C354" s="34" t="s">
        <v>244</v>
      </c>
      <c r="D354" s="34" t="s">
        <v>245</v>
      </c>
      <c r="E354" s="34" t="s">
        <v>279</v>
      </c>
      <c r="F354" s="35">
        <v>46158</v>
      </c>
      <c r="G354" s="34" t="s">
        <v>45</v>
      </c>
      <c r="H354" s="36" t="str">
        <f>VLOOKUP(E354,'HC for display name '!$B:$D,2,0)</f>
        <v>Mayar Ibrahim-Noah</v>
      </c>
      <c r="I354" s="36" t="str">
        <f>VLOOKUP(E354,'HC for display name '!$B:$D,3,0)</f>
        <v>Hend Yousry-AbdElRassoul</v>
      </c>
      <c r="J354" s="36" t="str">
        <f t="shared" si="6"/>
        <v>P</v>
      </c>
    </row>
    <row r="355" spans="1:10" x14ac:dyDescent="0.25">
      <c r="A355" s="33">
        <v>1090351479</v>
      </c>
      <c r="B355" s="33">
        <v>5</v>
      </c>
      <c r="C355" s="34" t="s">
        <v>250</v>
      </c>
      <c r="D355" s="34" t="s">
        <v>248</v>
      </c>
      <c r="E355" s="34" t="s">
        <v>254</v>
      </c>
      <c r="F355" s="35">
        <v>46158</v>
      </c>
      <c r="G355" s="34" t="s">
        <v>247</v>
      </c>
      <c r="H355" s="36" t="str">
        <f>VLOOKUP(E355,'HC for display name '!$B:$D,2,0)</f>
        <v>Mohamed Ahmed-Mansour</v>
      </c>
      <c r="I355" s="36" t="str">
        <f>VLOOKUP(E355,'HC for display name '!$B:$D,3,0)</f>
        <v>Hend Yousry-AbdElRassoul</v>
      </c>
      <c r="J355" s="36" t="str">
        <f t="shared" si="6"/>
        <v>D</v>
      </c>
    </row>
    <row r="356" spans="1:10" x14ac:dyDescent="0.25">
      <c r="A356" s="33">
        <v>1090866067</v>
      </c>
      <c r="B356" s="33">
        <v>10</v>
      </c>
      <c r="C356" s="34" t="s">
        <v>244</v>
      </c>
      <c r="D356" s="34" t="s">
        <v>245</v>
      </c>
      <c r="E356" s="34" t="s">
        <v>262</v>
      </c>
      <c r="F356" s="35">
        <v>46158</v>
      </c>
      <c r="G356" s="34" t="s">
        <v>247</v>
      </c>
      <c r="H356" s="36" t="str">
        <f>VLOOKUP(E356,'HC for display name '!$B:$D,2,0)</f>
        <v>Mohamed AbdElazim-Farag</v>
      </c>
      <c r="I356" s="36" t="str">
        <f>VLOOKUP(E356,'HC for display name '!$B:$D,3,0)</f>
        <v>Hend Yousry-AbdElRassoul</v>
      </c>
      <c r="J356" s="36" t="str">
        <f t="shared" si="6"/>
        <v>P</v>
      </c>
    </row>
    <row r="357" spans="1:10" x14ac:dyDescent="0.25">
      <c r="A357" s="33">
        <v>1091105518</v>
      </c>
      <c r="B357" s="33">
        <v>5</v>
      </c>
      <c r="C357" s="34" t="s">
        <v>248</v>
      </c>
      <c r="D357" s="34" t="s">
        <v>245</v>
      </c>
      <c r="E357" s="34" t="s">
        <v>246</v>
      </c>
      <c r="F357" s="35">
        <v>46158</v>
      </c>
      <c r="G357" s="34" t="s">
        <v>45</v>
      </c>
      <c r="H357" s="36" t="str">
        <f>VLOOKUP(E357,'HC for display name '!$B:$D,2,0)</f>
        <v>Peter Amgad-Shehata</v>
      </c>
      <c r="I357" s="36" t="str">
        <f>VLOOKUP(E357,'HC for display name '!$B:$D,3,0)</f>
        <v>Hend Yousry-AbdElRassoul</v>
      </c>
      <c r="J357" s="36" t="str">
        <f t="shared" si="6"/>
        <v>D</v>
      </c>
    </row>
    <row r="358" spans="1:10" x14ac:dyDescent="0.25">
      <c r="A358" s="33">
        <v>1098081229</v>
      </c>
      <c r="B358" s="33">
        <v>10</v>
      </c>
      <c r="C358" s="34" t="s">
        <v>258</v>
      </c>
      <c r="D358" s="34" t="s">
        <v>245</v>
      </c>
      <c r="E358" s="34" t="s">
        <v>263</v>
      </c>
      <c r="F358" s="35">
        <v>46158</v>
      </c>
      <c r="G358" s="34" t="s">
        <v>45</v>
      </c>
      <c r="H358" s="36" t="str">
        <f>VLOOKUP(E358,'HC for display name '!$B:$D,2,0)</f>
        <v>Yara Hussein-Mofleh</v>
      </c>
      <c r="I358" s="36" t="str">
        <f>VLOOKUP(E358,'HC for display name '!$B:$D,3,0)</f>
        <v>Hend Yousry-AbdElRassoul</v>
      </c>
      <c r="J358" s="36" t="str">
        <f t="shared" si="6"/>
        <v>P</v>
      </c>
    </row>
    <row r="359" spans="1:10" x14ac:dyDescent="0.25">
      <c r="A359" s="33">
        <v>1098494041</v>
      </c>
      <c r="B359" s="33">
        <v>10</v>
      </c>
      <c r="C359" s="34" t="s">
        <v>250</v>
      </c>
      <c r="D359" s="34" t="s">
        <v>245</v>
      </c>
      <c r="E359" s="34" t="s">
        <v>152</v>
      </c>
      <c r="F359" s="35">
        <v>46158</v>
      </c>
      <c r="G359" s="34" t="s">
        <v>45</v>
      </c>
      <c r="H359" s="36" t="str">
        <f>VLOOKUP(E359,'HC for display name '!$B:$D,2,0)</f>
        <v>Bassant Salah-Hassan</v>
      </c>
      <c r="I359" s="36" t="str">
        <f>VLOOKUP(E359,'HC for display name '!$B:$D,3,0)</f>
        <v>Merna Ashraf-Ashrafy</v>
      </c>
      <c r="J359" s="36" t="str">
        <f t="shared" si="6"/>
        <v>P</v>
      </c>
    </row>
    <row r="360" spans="1:10" x14ac:dyDescent="0.25">
      <c r="A360" s="33">
        <v>1098626263</v>
      </c>
      <c r="B360" s="33">
        <v>10</v>
      </c>
      <c r="C360" s="34" t="s">
        <v>244</v>
      </c>
      <c r="D360" s="34" t="s">
        <v>245</v>
      </c>
      <c r="E360" s="34" t="s">
        <v>87</v>
      </c>
      <c r="F360" s="35">
        <v>46158</v>
      </c>
      <c r="G360" s="34" t="s">
        <v>247</v>
      </c>
      <c r="H360" s="36" t="str">
        <f>VLOOKUP(E360,'HC for display name '!$B:$D,2,0)</f>
        <v>Ahmed Magdy-Ewis</v>
      </c>
      <c r="I360" s="36" t="str">
        <f>VLOOKUP(E360,'HC for display name '!$B:$D,3,0)</f>
        <v>Omar Emad-Mahmoud</v>
      </c>
      <c r="J360" s="36" t="str">
        <f t="shared" si="6"/>
        <v>P</v>
      </c>
    </row>
    <row r="361" spans="1:10" x14ac:dyDescent="0.25">
      <c r="A361" s="33">
        <v>1111679497</v>
      </c>
      <c r="B361" s="33">
        <v>10</v>
      </c>
      <c r="C361" s="34" t="s">
        <v>244</v>
      </c>
      <c r="D361" s="34" t="s">
        <v>245</v>
      </c>
      <c r="E361" s="34" t="s">
        <v>111</v>
      </c>
      <c r="F361" s="35">
        <v>46158</v>
      </c>
      <c r="G361" s="34" t="s">
        <v>45</v>
      </c>
      <c r="H361" s="36" t="str">
        <f>VLOOKUP(E361,'HC for display name '!$B:$D,2,0)</f>
        <v>Mohada Mohamed-Hamdy</v>
      </c>
      <c r="I361" s="36" t="str">
        <f>VLOOKUP(E361,'HC for display name '!$B:$D,3,0)</f>
        <v>Merna Ashraf-Ashrafy</v>
      </c>
      <c r="J361" s="36" t="str">
        <f t="shared" si="6"/>
        <v>P</v>
      </c>
    </row>
    <row r="362" spans="1:10" x14ac:dyDescent="0.25">
      <c r="A362" s="33">
        <v>1224988751</v>
      </c>
      <c r="B362" s="33">
        <v>10</v>
      </c>
      <c r="C362" s="34" t="s">
        <v>244</v>
      </c>
      <c r="D362" s="34" t="s">
        <v>245</v>
      </c>
      <c r="E362" s="34" t="s">
        <v>265</v>
      </c>
      <c r="F362" s="35">
        <v>46158</v>
      </c>
      <c r="G362" s="34" t="s">
        <v>247</v>
      </c>
      <c r="H362" s="36" t="str">
        <f>VLOOKUP(E362,'HC for display name '!$B:$D,2,0)</f>
        <v>Safaa Safwat-Zekry</v>
      </c>
      <c r="I362" s="36" t="str">
        <f>VLOOKUP(E362,'HC for display name '!$B:$D,3,0)</f>
        <v>Merna Ashraf-Ashrafy</v>
      </c>
      <c r="J362" s="36" t="str">
        <f t="shared" si="6"/>
        <v>P</v>
      </c>
    </row>
    <row r="363" spans="1:10" x14ac:dyDescent="0.25">
      <c r="A363" s="33" t="s">
        <v>303</v>
      </c>
      <c r="B363" s="33">
        <v>10</v>
      </c>
      <c r="C363" s="34">
        <v>1</v>
      </c>
      <c r="D363" s="34">
        <v>5</v>
      </c>
      <c r="E363" s="34" t="str">
        <f>VLOOKUP(H363,'HC for user name'!$B:$C,2,0)</f>
        <v>V26OGohar</v>
      </c>
      <c r="F363" s="35">
        <v>46159</v>
      </c>
      <c r="G363" s="34" t="s">
        <v>247</v>
      </c>
      <c r="H363" s="36" t="s">
        <v>295</v>
      </c>
      <c r="I363" s="36" t="str">
        <f>VLOOKUP(E363,'HC for display name '!$B:$D,3,0)</f>
        <v>AbdElRahman Adel-ElKelany</v>
      </c>
      <c r="J363" s="36" t="str">
        <f t="shared" ref="J363:J388" si="7">VLOOKUP(B363,$T$3:$U$13,2,0)</f>
        <v>P</v>
      </c>
    </row>
    <row r="364" spans="1:10" x14ac:dyDescent="0.25">
      <c r="A364" s="33" t="s">
        <v>304</v>
      </c>
      <c r="B364" s="33">
        <v>8</v>
      </c>
      <c r="C364" s="34">
        <v>4</v>
      </c>
      <c r="D364" s="34">
        <v>5</v>
      </c>
      <c r="E364" s="34" t="str">
        <f>VLOOKUP(H364,'HC for user name'!$B:$C,2,0)</f>
        <v>V25AEWIS2</v>
      </c>
      <c r="F364" s="35">
        <v>46159</v>
      </c>
      <c r="G364" s="34" t="s">
        <v>247</v>
      </c>
      <c r="H364" s="36" t="s">
        <v>38</v>
      </c>
      <c r="I364" s="36" t="str">
        <f>VLOOKUP(E364,'HC for display name '!$B:$D,3,0)</f>
        <v>Omar Emad-Mahmoud</v>
      </c>
      <c r="J364" s="36" t="str">
        <f t="shared" si="7"/>
        <v>N</v>
      </c>
    </row>
    <row r="365" spans="1:10" x14ac:dyDescent="0.25">
      <c r="A365" s="33" t="s">
        <v>305</v>
      </c>
      <c r="B365" s="33">
        <v>10</v>
      </c>
      <c r="C365" s="34">
        <v>1</v>
      </c>
      <c r="D365" s="34">
        <v>5</v>
      </c>
      <c r="E365" s="34" t="str">
        <f>VLOOKUP(H365,'HC for user name'!$B:$C,2,0)</f>
        <v>V25HHassan50</v>
      </c>
      <c r="F365" s="35">
        <v>46159</v>
      </c>
      <c r="G365" s="34" t="s">
        <v>247</v>
      </c>
      <c r="H365" s="36" t="s">
        <v>239</v>
      </c>
      <c r="I365" s="36" t="str">
        <f>VLOOKUP(E365,'HC for display name '!$B:$D,3,0)</f>
        <v>Merna Ashraf-Ashrafy</v>
      </c>
      <c r="J365" s="36" t="str">
        <f t="shared" si="7"/>
        <v>P</v>
      </c>
    </row>
    <row r="366" spans="1:10" x14ac:dyDescent="0.25">
      <c r="A366" s="33" t="s">
        <v>306</v>
      </c>
      <c r="B366" s="33">
        <v>10</v>
      </c>
      <c r="C366" s="34">
        <v>1</v>
      </c>
      <c r="D366" s="34">
        <v>5</v>
      </c>
      <c r="E366" s="34" t="str">
        <f>VLOOKUP(H366,'HC for user name'!$B:$C,2,0)</f>
        <v>V25MFarag10</v>
      </c>
      <c r="F366" s="35">
        <v>46159</v>
      </c>
      <c r="G366" s="34" t="s">
        <v>247</v>
      </c>
      <c r="H366" s="36" t="s">
        <v>17</v>
      </c>
      <c r="I366" s="36" t="str">
        <f>VLOOKUP(E366,'HC for display name '!$B:$D,3,0)</f>
        <v>Hend Yousry-AbdElRassoul</v>
      </c>
      <c r="J366" s="36" t="str">
        <f t="shared" si="7"/>
        <v>P</v>
      </c>
    </row>
    <row r="367" spans="1:10" x14ac:dyDescent="0.25">
      <c r="A367" s="33" t="s">
        <v>307</v>
      </c>
      <c r="B367" s="33">
        <v>10</v>
      </c>
      <c r="C367" s="34">
        <v>3</v>
      </c>
      <c r="D367" s="34">
        <v>5</v>
      </c>
      <c r="E367" s="34" t="str">
        <f>VLOOKUP(H367,'HC for user name'!$B:$C,2,0)</f>
        <v>V25AFADEEL2</v>
      </c>
      <c r="F367" s="35">
        <v>46159</v>
      </c>
      <c r="G367" s="34" t="s">
        <v>247</v>
      </c>
      <c r="H367" s="36" t="s">
        <v>6</v>
      </c>
      <c r="I367" s="36" t="str">
        <f>VLOOKUP(E367,'HC for display name '!$B:$D,3,0)</f>
        <v>AbdElRahman Adel-ElKelany</v>
      </c>
      <c r="J367" s="36" t="str">
        <f t="shared" si="7"/>
        <v>P</v>
      </c>
    </row>
    <row r="368" spans="1:10" x14ac:dyDescent="0.25">
      <c r="A368" s="33" t="s">
        <v>308</v>
      </c>
      <c r="B368" s="33">
        <v>7</v>
      </c>
      <c r="C368" s="34">
        <v>1</v>
      </c>
      <c r="D368" s="34">
        <v>4</v>
      </c>
      <c r="E368" s="34" t="e">
        <f>VLOOKUP(H368,'HC for user name'!$B:$C,2,0)</f>
        <v>#N/A</v>
      </c>
      <c r="F368" s="35">
        <v>46159</v>
      </c>
      <c r="G368" s="34" t="s">
        <v>247</v>
      </c>
      <c r="H368" s="36" t="s">
        <v>301</v>
      </c>
      <c r="I368" s="36" t="e">
        <f>VLOOKUP(E368,'HC for display name '!$B:$D,3,0)</f>
        <v>#N/A</v>
      </c>
      <c r="J368" s="36" t="str">
        <f t="shared" si="7"/>
        <v>N</v>
      </c>
    </row>
    <row r="369" spans="1:10" x14ac:dyDescent="0.25">
      <c r="A369" s="33" t="s">
        <v>309</v>
      </c>
      <c r="B369" s="33">
        <v>10</v>
      </c>
      <c r="C369" s="34">
        <v>1</v>
      </c>
      <c r="D369" s="34">
        <v>5</v>
      </c>
      <c r="E369" s="34" t="str">
        <f>VLOOKUP(H369,'HC for user name'!$B:$C,2,0)</f>
        <v>V25AEWIS2</v>
      </c>
      <c r="F369" s="35">
        <v>46159</v>
      </c>
      <c r="G369" s="34" t="s">
        <v>247</v>
      </c>
      <c r="H369" s="36" t="s">
        <v>38</v>
      </c>
      <c r="I369" s="36" t="str">
        <f>VLOOKUP(E369,'HC for display name '!$B:$D,3,0)</f>
        <v>Omar Emad-Mahmoud</v>
      </c>
      <c r="J369" s="36" t="str">
        <f t="shared" si="7"/>
        <v>P</v>
      </c>
    </row>
    <row r="370" spans="1:10" x14ac:dyDescent="0.25">
      <c r="A370" s="33" t="s">
        <v>310</v>
      </c>
      <c r="B370" s="33">
        <v>10</v>
      </c>
      <c r="C370" s="34">
        <v>1</v>
      </c>
      <c r="D370" s="34">
        <v>5</v>
      </c>
      <c r="E370" s="34" t="str">
        <f>VLOOKUP(H370,'HC for user name'!$B:$C,2,0)</f>
        <v>V25MFarag10</v>
      </c>
      <c r="F370" s="35">
        <v>46159</v>
      </c>
      <c r="G370" s="34" t="s">
        <v>247</v>
      </c>
      <c r="H370" s="36" t="s">
        <v>17</v>
      </c>
      <c r="I370" s="36" t="str">
        <f>VLOOKUP(E370,'HC for display name '!$B:$D,3,0)</f>
        <v>Hend Yousry-AbdElRassoul</v>
      </c>
      <c r="J370" s="36" t="str">
        <f t="shared" si="7"/>
        <v>P</v>
      </c>
    </row>
    <row r="371" spans="1:10" x14ac:dyDescent="0.25">
      <c r="A371" s="33" t="s">
        <v>311</v>
      </c>
      <c r="B371" s="33">
        <v>10</v>
      </c>
      <c r="C371" s="34">
        <v>1</v>
      </c>
      <c r="D371" s="34">
        <v>5</v>
      </c>
      <c r="E371" s="34" t="str">
        <f>VLOOKUP(H371,'HC for user name'!$B:$C,2,0)</f>
        <v>V25AFADEEL2</v>
      </c>
      <c r="F371" s="35">
        <v>46159</v>
      </c>
      <c r="G371" s="34" t="s">
        <v>247</v>
      </c>
      <c r="H371" s="36" t="s">
        <v>6</v>
      </c>
      <c r="I371" s="36" t="str">
        <f>VLOOKUP(E371,'HC for display name '!$B:$D,3,0)</f>
        <v>AbdElRahman Adel-ElKelany</v>
      </c>
      <c r="J371" s="36" t="str">
        <f t="shared" si="7"/>
        <v>P</v>
      </c>
    </row>
    <row r="372" spans="1:10" x14ac:dyDescent="0.25">
      <c r="A372" s="33" t="s">
        <v>312</v>
      </c>
      <c r="B372" s="33">
        <v>10</v>
      </c>
      <c r="C372" s="34">
        <v>1</v>
      </c>
      <c r="D372" s="34">
        <v>5</v>
      </c>
      <c r="E372" s="34" t="str">
        <f>VLOOKUP(H372,'HC for user name'!$B:$C,2,0)</f>
        <v>V25HHassan50</v>
      </c>
      <c r="F372" s="35">
        <v>46159</v>
      </c>
      <c r="G372" s="34" t="s">
        <v>247</v>
      </c>
      <c r="H372" s="36" t="s">
        <v>239</v>
      </c>
      <c r="I372" s="36" t="str">
        <f>VLOOKUP(E372,'HC for display name '!$B:$D,3,0)</f>
        <v>Merna Ashraf-Ashrafy</v>
      </c>
      <c r="J372" s="36" t="str">
        <f t="shared" si="7"/>
        <v>P</v>
      </c>
    </row>
    <row r="373" spans="1:10" x14ac:dyDescent="0.25">
      <c r="A373" s="33" t="s">
        <v>313</v>
      </c>
      <c r="B373" s="33">
        <v>10</v>
      </c>
      <c r="C373" s="34">
        <v>1</v>
      </c>
      <c r="D373" s="34">
        <v>5</v>
      </c>
      <c r="E373" s="34" t="str">
        <f>VLOOKUP(H373,'HC for user name'!$B:$C,2,0)</f>
        <v>V25HHassan50</v>
      </c>
      <c r="F373" s="35">
        <v>46159</v>
      </c>
      <c r="G373" s="34" t="s">
        <v>247</v>
      </c>
      <c r="H373" s="36" t="s">
        <v>239</v>
      </c>
      <c r="I373" s="36" t="str">
        <f>VLOOKUP(E373,'HC for display name '!$B:$D,3,0)</f>
        <v>Merna Ashraf-Ashrafy</v>
      </c>
      <c r="J373" s="36" t="str">
        <f t="shared" si="7"/>
        <v>P</v>
      </c>
    </row>
    <row r="374" spans="1:10" x14ac:dyDescent="0.25">
      <c r="A374" s="33" t="s">
        <v>314</v>
      </c>
      <c r="B374" s="33">
        <v>0</v>
      </c>
      <c r="C374" s="34">
        <v>4</v>
      </c>
      <c r="D374" s="34">
        <v>1</v>
      </c>
      <c r="E374" s="34" t="str">
        <f>VLOOKUP(H374,'HC for user name'!$B:$C,2,0)</f>
        <v>V26AZaki2</v>
      </c>
      <c r="F374" s="35">
        <v>46159</v>
      </c>
      <c r="G374" s="34" t="s">
        <v>247</v>
      </c>
      <c r="H374" s="36" t="s">
        <v>39</v>
      </c>
      <c r="I374" s="36" t="str">
        <f>VLOOKUP(E374,'HC for display name '!$B:$D,3,0)</f>
        <v>Omar Emad-Mahmoud</v>
      </c>
      <c r="J374" s="36" t="str">
        <f t="shared" si="7"/>
        <v>D</v>
      </c>
    </row>
    <row r="375" spans="1:10" x14ac:dyDescent="0.25">
      <c r="A375" s="33" t="s">
        <v>315</v>
      </c>
      <c r="B375" s="33">
        <v>0</v>
      </c>
      <c r="C375" s="34">
        <v>4</v>
      </c>
      <c r="D375" s="34">
        <v>5</v>
      </c>
      <c r="E375" s="34" t="str">
        <f>VLOOKUP(H375,'HC for user name'!$B:$C,2,0)</f>
        <v>V26AZaki2</v>
      </c>
      <c r="F375" s="35">
        <v>46159</v>
      </c>
      <c r="G375" s="34" t="s">
        <v>247</v>
      </c>
      <c r="H375" s="36" t="s">
        <v>39</v>
      </c>
      <c r="I375" s="36" t="str">
        <f>VLOOKUP(E375,'HC for display name '!$B:$D,3,0)</f>
        <v>Omar Emad-Mahmoud</v>
      </c>
      <c r="J375" s="36" t="str">
        <f t="shared" si="7"/>
        <v>D</v>
      </c>
    </row>
    <row r="376" spans="1:10" x14ac:dyDescent="0.25">
      <c r="A376" s="33" t="s">
        <v>316</v>
      </c>
      <c r="B376" s="33">
        <v>0</v>
      </c>
      <c r="C376" s="34">
        <v>4</v>
      </c>
      <c r="D376" s="34">
        <v>1</v>
      </c>
      <c r="E376" s="34" t="str">
        <f>VLOOKUP(H376,'HC for user name'!$B:$C,2,0)</f>
        <v>V25YMOHAMED24</v>
      </c>
      <c r="F376" s="35">
        <v>46159</v>
      </c>
      <c r="G376" s="34" t="s">
        <v>247</v>
      </c>
      <c r="H376" s="36" t="s">
        <v>32</v>
      </c>
      <c r="I376" s="36" t="str">
        <f>VLOOKUP(E376,'HC for display name '!$B:$D,3,0)</f>
        <v>Merna Ashraf-Ashrafy</v>
      </c>
      <c r="J376" s="36" t="str">
        <f t="shared" si="7"/>
        <v>D</v>
      </c>
    </row>
    <row r="377" spans="1:10" x14ac:dyDescent="0.25">
      <c r="A377" s="33" t="s">
        <v>317</v>
      </c>
      <c r="B377" s="33">
        <v>9</v>
      </c>
      <c r="C377" s="34">
        <v>2</v>
      </c>
      <c r="D377" s="34">
        <v>3</v>
      </c>
      <c r="E377" s="34" t="str">
        <f>VLOOKUP(H377,'HC for user name'!$B:$C,2,0)</f>
        <v>V25HHassan50</v>
      </c>
      <c r="F377" s="35">
        <v>46159</v>
      </c>
      <c r="G377" s="34" t="s">
        <v>247</v>
      </c>
      <c r="H377" s="36" t="s">
        <v>239</v>
      </c>
      <c r="I377" s="36" t="str">
        <f>VLOOKUP(E377,'HC for display name '!$B:$D,3,0)</f>
        <v>Merna Ashraf-Ashrafy</v>
      </c>
      <c r="J377" s="36" t="str">
        <f t="shared" si="7"/>
        <v>P</v>
      </c>
    </row>
    <row r="378" spans="1:10" x14ac:dyDescent="0.25">
      <c r="A378" s="33" t="s">
        <v>318</v>
      </c>
      <c r="B378" s="33">
        <v>10</v>
      </c>
      <c r="C378" s="34">
        <v>1</v>
      </c>
      <c r="D378" s="34">
        <v>5</v>
      </c>
      <c r="E378" s="34" t="str">
        <f>VLOOKUP(H378,'HC for user name'!$B:$C,2,0)</f>
        <v>V25MFarag10</v>
      </c>
      <c r="F378" s="35">
        <v>46159</v>
      </c>
      <c r="G378" s="34" t="s">
        <v>247</v>
      </c>
      <c r="H378" s="36" t="s">
        <v>17</v>
      </c>
      <c r="I378" s="36" t="str">
        <f>VLOOKUP(E378,'HC for display name '!$B:$D,3,0)</f>
        <v>Hend Yousry-AbdElRassoul</v>
      </c>
      <c r="J378" s="36" t="str">
        <f t="shared" si="7"/>
        <v>P</v>
      </c>
    </row>
    <row r="379" spans="1:10" x14ac:dyDescent="0.25">
      <c r="A379" s="33" t="s">
        <v>319</v>
      </c>
      <c r="B379" s="33">
        <v>6</v>
      </c>
      <c r="C379" s="34">
        <v>4</v>
      </c>
      <c r="D379" s="34">
        <v>5</v>
      </c>
      <c r="E379" s="34" t="str">
        <f>VLOOKUP(H379,'HC for user name'!$B:$C,2,0)</f>
        <v>V25OAllah9</v>
      </c>
      <c r="F379" s="35">
        <v>46159</v>
      </c>
      <c r="G379" s="34" t="s">
        <v>247</v>
      </c>
      <c r="H379" s="36" t="s">
        <v>18</v>
      </c>
      <c r="I379" s="36" t="str">
        <f>VLOOKUP(E379,'HC for display name '!$B:$D,3,0)</f>
        <v>Hend Yousry-AbdElRassoul</v>
      </c>
      <c r="J379" s="36" t="str">
        <f t="shared" si="7"/>
        <v>D</v>
      </c>
    </row>
    <row r="380" spans="1:10" x14ac:dyDescent="0.25">
      <c r="A380" s="33" t="s">
        <v>320</v>
      </c>
      <c r="B380" s="33">
        <v>1</v>
      </c>
      <c r="C380" s="34">
        <v>3</v>
      </c>
      <c r="D380" s="34">
        <v>2</v>
      </c>
      <c r="E380" s="34" t="e">
        <f>VLOOKUP(H380,'HC for user name'!$B:$C,2,0)</f>
        <v>#N/A</v>
      </c>
      <c r="F380" s="35">
        <v>46159</v>
      </c>
      <c r="G380" s="34" t="s">
        <v>247</v>
      </c>
      <c r="H380" s="36" t="s">
        <v>302</v>
      </c>
      <c r="I380" s="36" t="e">
        <f>VLOOKUP(E380,'HC for display name '!$B:$D,3,0)</f>
        <v>#N/A</v>
      </c>
      <c r="J380" s="36" t="str">
        <f t="shared" si="7"/>
        <v>D</v>
      </c>
    </row>
    <row r="381" spans="1:10" x14ac:dyDescent="0.25">
      <c r="A381" s="33" t="s">
        <v>321</v>
      </c>
      <c r="B381" s="33">
        <v>0</v>
      </c>
      <c r="C381" s="34">
        <v>3</v>
      </c>
      <c r="D381" s="34">
        <v>3</v>
      </c>
      <c r="E381" s="34" t="str">
        <f>VLOOKUP(H381,'HC for user name'!$B:$C,2,0)</f>
        <v>V25SSAYED67</v>
      </c>
      <c r="F381" s="35">
        <v>46159</v>
      </c>
      <c r="G381" s="34" t="s">
        <v>247</v>
      </c>
      <c r="H381" s="36" t="s">
        <v>35</v>
      </c>
      <c r="I381" s="36" t="str">
        <f>VLOOKUP(E381,'HC for display name '!$B:$D,3,0)</f>
        <v>Omar Emad-Mahmoud</v>
      </c>
      <c r="J381" s="36" t="str">
        <f t="shared" si="7"/>
        <v>D</v>
      </c>
    </row>
    <row r="382" spans="1:10" x14ac:dyDescent="0.25">
      <c r="A382" s="33" t="s">
        <v>322</v>
      </c>
      <c r="B382" s="33">
        <v>9</v>
      </c>
      <c r="C382" s="34">
        <v>1</v>
      </c>
      <c r="D382" s="34">
        <v>5</v>
      </c>
      <c r="E382" s="34" t="str">
        <f>VLOOKUP(H382,'HC for user name'!$B:$C,2,0)</f>
        <v>V25MFarag10</v>
      </c>
      <c r="F382" s="35">
        <v>46159</v>
      </c>
      <c r="G382" s="34" t="s">
        <v>247</v>
      </c>
      <c r="H382" s="36" t="s">
        <v>17</v>
      </c>
      <c r="I382" s="36" t="str">
        <f>VLOOKUP(E382,'HC for display name '!$B:$D,3,0)</f>
        <v>Hend Yousry-AbdElRassoul</v>
      </c>
      <c r="J382" s="36" t="str">
        <f t="shared" si="7"/>
        <v>P</v>
      </c>
    </row>
    <row r="383" spans="1:10" x14ac:dyDescent="0.25">
      <c r="A383" s="33" t="s">
        <v>323</v>
      </c>
      <c r="B383" s="33">
        <v>10</v>
      </c>
      <c r="C383" s="34">
        <v>1</v>
      </c>
      <c r="D383" s="34">
        <v>5</v>
      </c>
      <c r="E383" s="34" t="str">
        <f>VLOOKUP(H383,'HC for user name'!$B:$C,2,0)</f>
        <v>V25OAllah9</v>
      </c>
      <c r="F383" s="35">
        <v>46159</v>
      </c>
      <c r="G383" s="34" t="s">
        <v>247</v>
      </c>
      <c r="H383" s="36" t="s">
        <v>18</v>
      </c>
      <c r="I383" s="36" t="str">
        <f>VLOOKUP(E383,'HC for display name '!$B:$D,3,0)</f>
        <v>Hend Yousry-AbdElRassoul</v>
      </c>
      <c r="J383" s="36" t="str">
        <f t="shared" si="7"/>
        <v>P</v>
      </c>
    </row>
    <row r="384" spans="1:10" x14ac:dyDescent="0.25">
      <c r="A384" s="33" t="s">
        <v>324</v>
      </c>
      <c r="B384" s="33">
        <v>9</v>
      </c>
      <c r="C384" s="34">
        <v>4</v>
      </c>
      <c r="D384" s="34">
        <v>5</v>
      </c>
      <c r="E384" s="34" t="str">
        <f>VLOOKUP(H384,'HC for user name'!$B:$C,2,0)</f>
        <v>V25OAllah9</v>
      </c>
      <c r="F384" s="35">
        <v>46159</v>
      </c>
      <c r="G384" s="34" t="s">
        <v>247</v>
      </c>
      <c r="H384" s="36" t="s">
        <v>18</v>
      </c>
      <c r="I384" s="36" t="str">
        <f>VLOOKUP(E384,'HC for display name '!$B:$D,3,0)</f>
        <v>Hend Yousry-AbdElRassoul</v>
      </c>
      <c r="J384" s="36" t="str">
        <f t="shared" si="7"/>
        <v>P</v>
      </c>
    </row>
    <row r="385" spans="1:28" x14ac:dyDescent="0.25">
      <c r="A385" s="33" t="s">
        <v>325</v>
      </c>
      <c r="B385" s="33">
        <v>0</v>
      </c>
      <c r="C385" s="34">
        <v>3</v>
      </c>
      <c r="D385" s="34">
        <v>1</v>
      </c>
      <c r="E385" s="34" t="str">
        <f>VLOOKUP(H385,'HC for user name'!$B:$C,2,0)</f>
        <v>V25EMahfod</v>
      </c>
      <c r="F385" s="35">
        <v>46159</v>
      </c>
      <c r="G385" s="34" t="s">
        <v>247</v>
      </c>
      <c r="H385" s="36" t="s">
        <v>16</v>
      </c>
      <c r="I385" s="36" t="str">
        <f>VLOOKUP(E385,'HC for display name '!$B:$D,3,0)</f>
        <v>Hend Yousry-AbdElRassoul</v>
      </c>
      <c r="J385" s="36" t="str">
        <f t="shared" si="7"/>
        <v>D</v>
      </c>
    </row>
    <row r="386" spans="1:28" x14ac:dyDescent="0.25">
      <c r="A386" s="33" t="s">
        <v>326</v>
      </c>
      <c r="B386" s="33">
        <v>10</v>
      </c>
      <c r="C386" s="34">
        <v>1</v>
      </c>
      <c r="D386" s="34">
        <v>5</v>
      </c>
      <c r="E386" s="34" t="str">
        <f>VLOOKUP(H386,'HC for user name'!$B:$C,2,0)</f>
        <v>V25AMAHMOUD45</v>
      </c>
      <c r="F386" s="35">
        <v>46159</v>
      </c>
      <c r="G386" s="34" t="s">
        <v>247</v>
      </c>
      <c r="H386" s="36" t="s">
        <v>26</v>
      </c>
      <c r="I386" s="36" t="str">
        <f>VLOOKUP(E386,'HC for display name '!$B:$D,3,0)</f>
        <v>Merna Ashraf-Ashrafy</v>
      </c>
      <c r="J386" s="36" t="str">
        <f t="shared" si="7"/>
        <v>P</v>
      </c>
    </row>
    <row r="387" spans="1:28" x14ac:dyDescent="0.25">
      <c r="A387" s="33" t="s">
        <v>327</v>
      </c>
      <c r="B387" s="33">
        <v>10</v>
      </c>
      <c r="C387" s="34">
        <v>4</v>
      </c>
      <c r="D387" s="34">
        <v>5</v>
      </c>
      <c r="E387" s="34" t="str">
        <f>VLOOKUP(H387,'HC for user name'!$B:$C,2,0)</f>
        <v>V25AMAHMOUD45</v>
      </c>
      <c r="F387" s="35">
        <v>46159</v>
      </c>
      <c r="G387" s="34" t="s">
        <v>247</v>
      </c>
      <c r="H387" s="36" t="s">
        <v>26</v>
      </c>
      <c r="I387" s="36" t="str">
        <f>VLOOKUP(E387,'HC for display name '!$B:$D,3,0)</f>
        <v>Merna Ashraf-Ashrafy</v>
      </c>
      <c r="J387" s="36" t="str">
        <f t="shared" si="7"/>
        <v>P</v>
      </c>
    </row>
    <row r="388" spans="1:28" x14ac:dyDescent="0.25">
      <c r="A388" s="33" t="s">
        <v>328</v>
      </c>
      <c r="B388" s="33">
        <v>0</v>
      </c>
      <c r="C388" s="34">
        <v>3</v>
      </c>
      <c r="D388" s="34">
        <v>5</v>
      </c>
      <c r="E388" s="34" t="str">
        <f>VLOOKUP(H388,'HC for user name'!$B:$C,2,0)</f>
        <v>V25MNoah1</v>
      </c>
      <c r="F388" s="35">
        <v>46159</v>
      </c>
      <c r="G388" s="34" t="s">
        <v>247</v>
      </c>
      <c r="H388" s="36" t="s">
        <v>289</v>
      </c>
      <c r="I388" s="36" t="str">
        <f>VLOOKUP(E388,'HC for display name '!$B:$D,3,0)</f>
        <v>Hend Yousry-AbdElRassoul</v>
      </c>
      <c r="J388" s="36" t="str">
        <f t="shared" si="7"/>
        <v>D</v>
      </c>
    </row>
    <row r="389" spans="1:28" x14ac:dyDescent="0.25">
      <c r="A389" s="33" t="s">
        <v>374</v>
      </c>
      <c r="B389" s="33">
        <v>10</v>
      </c>
      <c r="C389" s="34">
        <v>1</v>
      </c>
      <c r="D389" s="34">
        <v>5</v>
      </c>
      <c r="E389" s="34" t="str">
        <f>VLOOKUP(H389,'HC for user name'!$B:$C,2,0)</f>
        <v>V26SMawgod</v>
      </c>
      <c r="F389" s="35">
        <v>46160</v>
      </c>
      <c r="G389" s="34" t="s">
        <v>247</v>
      </c>
      <c r="H389" s="36" t="s">
        <v>360</v>
      </c>
      <c r="I389" s="36" t="str">
        <f>VLOOKUP(E389,'HC for display name '!$B:$D,3,0)</f>
        <v>AbdElRahman Adel-ElKelany</v>
      </c>
      <c r="J389" s="36" t="str">
        <f t="shared" ref="J389:J437" si="8">VLOOKUP(B389,$T$3:$U$13,2,0)</f>
        <v>P</v>
      </c>
      <c r="N389" s="50"/>
      <c r="O389" s="50"/>
      <c r="P389" s="50"/>
      <c r="Q389" s="51"/>
      <c r="R389" s="50"/>
      <c r="S389" s="52"/>
      <c r="T389" s="52"/>
      <c r="U389" s="50"/>
      <c r="V389" s="50"/>
      <c r="W389" s="50"/>
      <c r="X389" s="50"/>
      <c r="Y389" s="50"/>
      <c r="Z389" s="50"/>
      <c r="AA389" s="50"/>
    </row>
    <row r="390" spans="1:28" x14ac:dyDescent="0.25">
      <c r="A390" s="33" t="s">
        <v>375</v>
      </c>
      <c r="B390" s="33">
        <v>10</v>
      </c>
      <c r="C390" s="34">
        <v>4</v>
      </c>
      <c r="D390" s="34">
        <v>5</v>
      </c>
      <c r="E390" s="34" t="str">
        <f>VLOOKUP(H390,'HC for user name'!$B:$C,2,0)</f>
        <v>V25IGHONIMY</v>
      </c>
      <c r="F390" s="35">
        <v>46160</v>
      </c>
      <c r="G390" s="34" t="s">
        <v>247</v>
      </c>
      <c r="H390" s="36" t="s">
        <v>9</v>
      </c>
      <c r="I390" s="36" t="str">
        <f>VLOOKUP(E390,'HC for display name '!$B:$D,3,0)</f>
        <v>AbdElRahman Adel-ElKelany</v>
      </c>
      <c r="J390" s="36" t="str">
        <f t="shared" si="8"/>
        <v>P</v>
      </c>
      <c r="N390" s="50"/>
      <c r="O390" s="50"/>
      <c r="P390" s="50"/>
      <c r="Q390" s="51"/>
      <c r="R390" s="50"/>
      <c r="S390" s="52"/>
      <c r="T390" s="52"/>
      <c r="U390" s="50"/>
      <c r="V390" s="50"/>
      <c r="W390" s="50"/>
      <c r="X390" s="50"/>
      <c r="Y390" s="50"/>
      <c r="Z390" s="50"/>
      <c r="AA390" s="50"/>
    </row>
    <row r="391" spans="1:28" x14ac:dyDescent="0.25">
      <c r="A391" s="33" t="s">
        <v>376</v>
      </c>
      <c r="B391" s="33">
        <v>10</v>
      </c>
      <c r="C391" s="34">
        <v>1</v>
      </c>
      <c r="D391" s="34">
        <v>5</v>
      </c>
      <c r="E391" s="34" t="str">
        <f>VLOOKUP(H391,'HC for user name'!$B:$C,2,0)</f>
        <v>V26OGohar</v>
      </c>
      <c r="F391" s="35">
        <v>46160</v>
      </c>
      <c r="G391" s="34" t="s">
        <v>247</v>
      </c>
      <c r="H391" s="36" t="s">
        <v>295</v>
      </c>
      <c r="I391" s="36" t="str">
        <f>VLOOKUP(E391,'HC for display name '!$B:$D,3,0)</f>
        <v>AbdElRahman Adel-ElKelany</v>
      </c>
      <c r="J391" s="36" t="str">
        <f t="shared" si="8"/>
        <v>P</v>
      </c>
      <c r="N391" s="53"/>
      <c r="O391" s="53"/>
      <c r="P391" s="53"/>
      <c r="Q391" s="54"/>
      <c r="R391" s="53"/>
      <c r="S391" s="52"/>
      <c r="T391" s="52"/>
      <c r="U391" s="53"/>
      <c r="V391" s="53"/>
      <c r="W391" s="53"/>
      <c r="X391" s="53"/>
      <c r="Y391" s="53"/>
      <c r="Z391" s="53"/>
      <c r="AA391" s="53"/>
    </row>
    <row r="392" spans="1:28" x14ac:dyDescent="0.25">
      <c r="A392" s="33" t="s">
        <v>377</v>
      </c>
      <c r="B392" s="33">
        <v>9</v>
      </c>
      <c r="C392" s="34">
        <v>4</v>
      </c>
      <c r="D392" s="34">
        <v>5</v>
      </c>
      <c r="E392" s="34" t="str">
        <f>VLOOKUP(H392,'HC for user name'!$B:$C,2,0)</f>
        <v>V25MMansour10</v>
      </c>
      <c r="F392" s="35">
        <v>46160</v>
      </c>
      <c r="G392" s="34" t="s">
        <v>247</v>
      </c>
      <c r="H392" s="36" t="s">
        <v>13</v>
      </c>
      <c r="I392" s="36" t="str">
        <f>VLOOKUP(E392,'HC for display name '!$B:$D,3,0)</f>
        <v>Hend Yousry-AbdElRassoul</v>
      </c>
      <c r="J392" s="36" t="str">
        <f t="shared" si="8"/>
        <v>P</v>
      </c>
      <c r="N392" s="50"/>
      <c r="O392" s="50"/>
      <c r="P392" s="50"/>
      <c r="Q392" s="51"/>
      <c r="R392" s="50"/>
      <c r="S392" s="52"/>
      <c r="T392" s="52"/>
      <c r="U392" s="50"/>
      <c r="V392" s="50"/>
      <c r="W392" s="50"/>
      <c r="X392" s="50"/>
      <c r="Y392" s="50"/>
      <c r="Z392" s="50"/>
      <c r="AA392" s="50"/>
      <c r="AB392" s="17"/>
    </row>
    <row r="393" spans="1:28" x14ac:dyDescent="0.25">
      <c r="A393" s="33" t="s">
        <v>378</v>
      </c>
      <c r="B393" s="33">
        <v>10</v>
      </c>
      <c r="C393" s="34">
        <v>4</v>
      </c>
      <c r="D393" s="34">
        <v>5</v>
      </c>
      <c r="E393" s="34" t="str">
        <f>VLOOKUP(H393,'HC for user name'!$B:$C,2,0)</f>
        <v>V23MGELIL</v>
      </c>
      <c r="F393" s="35">
        <v>46160</v>
      </c>
      <c r="G393" s="34" t="s">
        <v>247</v>
      </c>
      <c r="H393" s="36" t="s">
        <v>41</v>
      </c>
      <c r="I393" s="36" t="str">
        <f>VLOOKUP(E393,'HC for display name '!$B:$D,3,0)</f>
        <v>Omar Emad-Mahmoud</v>
      </c>
      <c r="J393" s="36" t="str">
        <f t="shared" si="8"/>
        <v>P</v>
      </c>
      <c r="N393" s="53"/>
      <c r="O393" s="53"/>
      <c r="P393" s="53"/>
      <c r="Q393" s="54"/>
      <c r="R393" s="53"/>
      <c r="S393" s="52"/>
      <c r="T393" s="52"/>
      <c r="U393" s="53"/>
      <c r="V393" s="53"/>
      <c r="W393" s="53"/>
      <c r="X393" s="53"/>
      <c r="Y393" s="53"/>
      <c r="Z393" s="53"/>
      <c r="AA393" s="53"/>
      <c r="AB393" s="20"/>
    </row>
    <row r="394" spans="1:28" x14ac:dyDescent="0.25">
      <c r="A394" s="33" t="s">
        <v>361</v>
      </c>
      <c r="B394" s="33">
        <v>0</v>
      </c>
      <c r="C394" s="34">
        <v>4</v>
      </c>
      <c r="D394" s="34">
        <v>1</v>
      </c>
      <c r="E394" s="34" t="str">
        <f>VLOOKUP(H394,'HC for user name'!$B:$C,2,0)</f>
        <v>V25MFarag10</v>
      </c>
      <c r="F394" s="35">
        <v>46160</v>
      </c>
      <c r="G394" s="34" t="s">
        <v>247</v>
      </c>
      <c r="H394" s="36" t="s">
        <v>17</v>
      </c>
      <c r="I394" s="36" t="str">
        <f>VLOOKUP(E394,'HC for display name '!$B:$D,3,0)</f>
        <v>Hend Yousry-AbdElRassoul</v>
      </c>
      <c r="J394" s="36" t="str">
        <f t="shared" si="8"/>
        <v>D</v>
      </c>
      <c r="N394" s="50"/>
      <c r="O394" s="50"/>
      <c r="P394" s="50"/>
      <c r="Q394" s="51"/>
      <c r="R394" s="50"/>
      <c r="S394" s="52"/>
      <c r="T394" s="52"/>
      <c r="U394" s="50"/>
      <c r="V394" s="50"/>
      <c r="W394" s="50"/>
      <c r="X394" s="50"/>
      <c r="Y394" s="50"/>
      <c r="Z394" s="50"/>
      <c r="AA394" s="50"/>
      <c r="AB394" s="17"/>
    </row>
    <row r="395" spans="1:28" x14ac:dyDescent="0.25">
      <c r="A395" s="33" t="s">
        <v>362</v>
      </c>
      <c r="B395" s="33">
        <v>10</v>
      </c>
      <c r="C395" s="34">
        <v>1</v>
      </c>
      <c r="D395" s="34">
        <v>5</v>
      </c>
      <c r="E395" s="34" t="str">
        <f>VLOOKUP(H395,'HC for user name'!$B:$C,2,0)</f>
        <v>V25OAllah9</v>
      </c>
      <c r="F395" s="35">
        <v>46160</v>
      </c>
      <c r="G395" s="34" t="s">
        <v>247</v>
      </c>
      <c r="H395" s="36" t="s">
        <v>18</v>
      </c>
      <c r="I395" s="36" t="str">
        <f>VLOOKUP(E395,'HC for display name '!$B:$D,3,0)</f>
        <v>Hend Yousry-AbdElRassoul</v>
      </c>
      <c r="J395" s="36" t="str">
        <f t="shared" si="8"/>
        <v>P</v>
      </c>
      <c r="N395" s="53"/>
      <c r="O395" s="53"/>
      <c r="P395" s="53"/>
      <c r="Q395" s="54"/>
      <c r="R395" s="53"/>
      <c r="S395" s="52"/>
      <c r="T395" s="52"/>
      <c r="U395" s="53"/>
      <c r="V395" s="53"/>
      <c r="W395" s="53"/>
      <c r="X395" s="53"/>
      <c r="Y395" s="53"/>
      <c r="Z395" s="53"/>
      <c r="AA395" s="53"/>
      <c r="AB395" s="20"/>
    </row>
    <row r="396" spans="1:28" x14ac:dyDescent="0.25">
      <c r="A396" s="33" t="s">
        <v>363</v>
      </c>
      <c r="B396" s="33">
        <v>10</v>
      </c>
      <c r="C396" s="34">
        <v>1</v>
      </c>
      <c r="D396" s="34">
        <v>5</v>
      </c>
      <c r="E396" s="34" t="str">
        <f>VLOOKUP(H396,'HC for user name'!$B:$C,2,0)</f>
        <v>V26OGohar</v>
      </c>
      <c r="F396" s="35">
        <v>46160</v>
      </c>
      <c r="G396" s="34" t="s">
        <v>247</v>
      </c>
      <c r="H396" s="36" t="s">
        <v>295</v>
      </c>
      <c r="I396" s="36" t="str">
        <f>VLOOKUP(E396,'HC for display name '!$B:$D,3,0)</f>
        <v>AbdElRahman Adel-ElKelany</v>
      </c>
      <c r="J396" s="36" t="str">
        <f t="shared" si="8"/>
        <v>P</v>
      </c>
      <c r="N396" s="50"/>
      <c r="O396" s="50"/>
      <c r="P396" s="50"/>
      <c r="Q396" s="51"/>
      <c r="R396" s="50"/>
      <c r="S396" s="52"/>
      <c r="T396" s="52"/>
      <c r="U396" s="50"/>
      <c r="V396" s="50"/>
      <c r="W396" s="50"/>
      <c r="X396" s="50"/>
      <c r="Y396" s="50"/>
      <c r="Z396" s="50"/>
      <c r="AA396" s="50"/>
      <c r="AB396" s="17"/>
    </row>
    <row r="397" spans="1:28" x14ac:dyDescent="0.25">
      <c r="A397" s="33" t="s">
        <v>364</v>
      </c>
      <c r="B397" s="33">
        <v>10</v>
      </c>
      <c r="C397" s="34">
        <v>1</v>
      </c>
      <c r="D397" s="34">
        <v>5</v>
      </c>
      <c r="E397" s="34" t="str">
        <f>VLOOKUP(H397,'HC for user name'!$B:$C,2,0)</f>
        <v>V26AZaki2</v>
      </c>
      <c r="F397" s="35">
        <v>46160</v>
      </c>
      <c r="G397" s="34" t="s">
        <v>247</v>
      </c>
      <c r="H397" s="36" t="s">
        <v>39</v>
      </c>
      <c r="I397" s="36" t="str">
        <f>VLOOKUP(E397,'HC for display name '!$B:$D,3,0)</f>
        <v>Omar Emad-Mahmoud</v>
      </c>
      <c r="J397" s="36" t="str">
        <f t="shared" si="8"/>
        <v>P</v>
      </c>
      <c r="N397" s="53"/>
      <c r="O397" s="53"/>
      <c r="P397" s="53"/>
      <c r="Q397" s="54"/>
      <c r="R397" s="53"/>
      <c r="S397" s="52"/>
      <c r="T397" s="52"/>
      <c r="U397" s="53"/>
      <c r="V397" s="53"/>
      <c r="W397" s="53"/>
      <c r="X397" s="53"/>
      <c r="Y397" s="53"/>
      <c r="Z397" s="53"/>
      <c r="AA397" s="53"/>
      <c r="AB397" s="20"/>
    </row>
    <row r="398" spans="1:28" x14ac:dyDescent="0.25">
      <c r="A398" s="33" t="s">
        <v>365</v>
      </c>
      <c r="B398" s="33">
        <v>10</v>
      </c>
      <c r="C398" s="34">
        <v>3</v>
      </c>
      <c r="D398" s="34">
        <v>5</v>
      </c>
      <c r="E398" s="34" t="str">
        <f>VLOOKUP(H398,'HC for user name'!$B:$C,2,0)</f>
        <v>V25MKhattab1</v>
      </c>
      <c r="F398" s="35">
        <v>46160</v>
      </c>
      <c r="G398" s="34" t="s">
        <v>247</v>
      </c>
      <c r="H398" s="36" t="s">
        <v>19</v>
      </c>
      <c r="I398" s="36" t="str">
        <f>VLOOKUP(E398,'HC for display name '!$B:$D,3,0)</f>
        <v>Hend Yousry-AbdElRassoul</v>
      </c>
      <c r="J398" s="36" t="str">
        <f t="shared" si="8"/>
        <v>P</v>
      </c>
      <c r="N398" s="50"/>
      <c r="O398" s="50"/>
      <c r="P398" s="50"/>
      <c r="Q398" s="51"/>
      <c r="R398" s="50"/>
      <c r="S398" s="52"/>
      <c r="T398" s="52"/>
      <c r="U398" s="50"/>
      <c r="V398" s="50"/>
      <c r="W398" s="50"/>
      <c r="X398" s="50"/>
      <c r="Y398" s="50"/>
      <c r="Z398" s="50"/>
      <c r="AA398" s="50"/>
      <c r="AB398" s="17"/>
    </row>
    <row r="399" spans="1:28" x14ac:dyDescent="0.25">
      <c r="A399" s="33" t="s">
        <v>366</v>
      </c>
      <c r="B399" s="33">
        <v>10</v>
      </c>
      <c r="C399" s="34">
        <v>4</v>
      </c>
      <c r="D399" s="34">
        <v>5</v>
      </c>
      <c r="E399" s="34" t="str">
        <f>VLOOKUP(H399,'HC for user name'!$B:$C,2,0)</f>
        <v>V26SMawgod</v>
      </c>
      <c r="F399" s="35">
        <v>46160</v>
      </c>
      <c r="G399" s="34" t="s">
        <v>247</v>
      </c>
      <c r="H399" s="36" t="s">
        <v>360</v>
      </c>
      <c r="I399" s="36" t="str">
        <f>VLOOKUP(E399,'HC for display name '!$B:$D,3,0)</f>
        <v>AbdElRahman Adel-ElKelany</v>
      </c>
      <c r="J399" s="36" t="str">
        <f t="shared" si="8"/>
        <v>P</v>
      </c>
      <c r="N399" s="53"/>
      <c r="O399" s="53"/>
      <c r="P399" s="53"/>
      <c r="Q399" s="54"/>
      <c r="R399" s="53"/>
      <c r="S399" s="52"/>
      <c r="T399" s="52"/>
      <c r="U399" s="53"/>
      <c r="V399" s="53"/>
      <c r="W399" s="53"/>
      <c r="X399" s="53"/>
      <c r="Y399" s="53"/>
      <c r="Z399" s="53"/>
      <c r="AA399" s="53"/>
      <c r="AB399" s="20"/>
    </row>
    <row r="400" spans="1:28" x14ac:dyDescent="0.25">
      <c r="A400" s="33" t="s">
        <v>367</v>
      </c>
      <c r="B400" s="33">
        <v>10</v>
      </c>
      <c r="C400" s="34">
        <v>1</v>
      </c>
      <c r="D400" s="34">
        <v>5</v>
      </c>
      <c r="E400" s="34" t="str">
        <f>VLOOKUP(H400,'HC for user name'!$B:$C,2,0)</f>
        <v>V25TAHMED3</v>
      </c>
      <c r="F400" s="35">
        <v>46160</v>
      </c>
      <c r="G400" s="34" t="s">
        <v>247</v>
      </c>
      <c r="H400" s="36" t="s">
        <v>12</v>
      </c>
      <c r="I400" s="36" t="str">
        <f>VLOOKUP(E400,'HC for display name '!$B:$D,3,0)</f>
        <v>AbdElRahman Adel-ElKelany</v>
      </c>
      <c r="J400" s="36" t="str">
        <f t="shared" si="8"/>
        <v>P</v>
      </c>
      <c r="N400" s="50"/>
      <c r="O400" s="50"/>
      <c r="P400" s="50"/>
      <c r="Q400" s="51"/>
      <c r="R400" s="50"/>
      <c r="S400" s="52"/>
      <c r="T400" s="52"/>
      <c r="U400" s="50"/>
      <c r="V400" s="50"/>
      <c r="W400" s="50"/>
      <c r="X400" s="50"/>
      <c r="Y400" s="50"/>
      <c r="Z400" s="50"/>
      <c r="AA400" s="50"/>
      <c r="AB400" s="17"/>
    </row>
    <row r="401" spans="1:28" x14ac:dyDescent="0.25">
      <c r="A401" s="33" t="s">
        <v>368</v>
      </c>
      <c r="B401" s="33">
        <v>10</v>
      </c>
      <c r="C401" s="34">
        <v>4</v>
      </c>
      <c r="D401" s="34">
        <v>5</v>
      </c>
      <c r="E401" s="34" t="str">
        <f>VLOOKUP(H401,'HC for user name'!$B:$C,2,0)</f>
        <v>V25OAllah9</v>
      </c>
      <c r="F401" s="35">
        <v>46160</v>
      </c>
      <c r="G401" s="34" t="s">
        <v>247</v>
      </c>
      <c r="H401" s="36" t="s">
        <v>18</v>
      </c>
      <c r="I401" s="36" t="str">
        <f>VLOOKUP(E401,'HC for display name '!$B:$D,3,0)</f>
        <v>Hend Yousry-AbdElRassoul</v>
      </c>
      <c r="J401" s="36" t="str">
        <f t="shared" si="8"/>
        <v>P</v>
      </c>
      <c r="N401" s="53"/>
      <c r="O401" s="53"/>
      <c r="P401" s="53"/>
      <c r="Q401" s="54"/>
      <c r="R401" s="53"/>
      <c r="S401" s="52"/>
      <c r="T401" s="52"/>
      <c r="U401" s="53"/>
      <c r="V401" s="53"/>
      <c r="W401" s="53"/>
      <c r="X401" s="53"/>
      <c r="Y401" s="53"/>
      <c r="Z401" s="53"/>
      <c r="AA401" s="53"/>
      <c r="AB401" s="20"/>
    </row>
    <row r="402" spans="1:28" x14ac:dyDescent="0.25">
      <c r="A402" s="33" t="s">
        <v>369</v>
      </c>
      <c r="B402" s="33">
        <v>10</v>
      </c>
      <c r="C402" s="34">
        <v>1</v>
      </c>
      <c r="D402" s="34">
        <v>5</v>
      </c>
      <c r="E402" s="34" t="str">
        <f>VLOOKUP(H402,'HC for user name'!$B:$C,2,0)</f>
        <v>V25MKhattab1</v>
      </c>
      <c r="F402" s="35">
        <v>46160</v>
      </c>
      <c r="G402" s="34" t="s">
        <v>247</v>
      </c>
      <c r="H402" s="36" t="s">
        <v>19</v>
      </c>
      <c r="I402" s="36" t="str">
        <f>VLOOKUP(E402,'HC for display name '!$B:$D,3,0)</f>
        <v>Hend Yousry-AbdElRassoul</v>
      </c>
      <c r="J402" s="36" t="str">
        <f t="shared" si="8"/>
        <v>P</v>
      </c>
      <c r="N402" s="50"/>
      <c r="O402" s="50"/>
      <c r="P402" s="50"/>
      <c r="Q402" s="51"/>
      <c r="R402" s="50"/>
      <c r="S402" s="52"/>
      <c r="T402" s="52"/>
      <c r="U402" s="50"/>
      <c r="V402" s="50"/>
      <c r="W402" s="50"/>
      <c r="X402" s="50"/>
      <c r="Y402" s="50"/>
      <c r="Z402" s="50"/>
      <c r="AA402" s="50"/>
      <c r="AB402" s="17"/>
    </row>
    <row r="403" spans="1:28" x14ac:dyDescent="0.25">
      <c r="A403" s="33" t="s">
        <v>370</v>
      </c>
      <c r="B403" s="33">
        <v>5</v>
      </c>
      <c r="C403" s="34">
        <v>4</v>
      </c>
      <c r="D403" s="34">
        <v>3</v>
      </c>
      <c r="E403" s="34" t="str">
        <f>VLOOKUP(H403,'HC for user name'!$B:$C,2,0)</f>
        <v>V26OGohar</v>
      </c>
      <c r="F403" s="35">
        <v>46160</v>
      </c>
      <c r="G403" s="34" t="s">
        <v>247</v>
      </c>
      <c r="H403" s="36" t="s">
        <v>295</v>
      </c>
      <c r="I403" s="36" t="str">
        <f>VLOOKUP(E403,'HC for display name '!$B:$D,3,0)</f>
        <v>AbdElRahman Adel-ElKelany</v>
      </c>
      <c r="J403" s="36" t="str">
        <f t="shared" si="8"/>
        <v>D</v>
      </c>
      <c r="N403" s="53"/>
      <c r="O403" s="53"/>
      <c r="P403" s="53"/>
      <c r="Q403" s="54"/>
      <c r="R403" s="53"/>
      <c r="S403" s="52"/>
      <c r="T403" s="52"/>
      <c r="U403" s="53"/>
      <c r="V403" s="53"/>
      <c r="W403" s="53"/>
      <c r="X403" s="53"/>
      <c r="Y403" s="53"/>
      <c r="Z403" s="53"/>
      <c r="AA403" s="53"/>
      <c r="AB403" s="20"/>
    </row>
    <row r="404" spans="1:28" x14ac:dyDescent="0.25">
      <c r="A404" s="33" t="s">
        <v>371</v>
      </c>
      <c r="B404" s="33">
        <v>0</v>
      </c>
      <c r="C404" s="34">
        <v>4</v>
      </c>
      <c r="D404" s="34">
        <v>3</v>
      </c>
      <c r="E404" s="34" t="str">
        <f>VLOOKUP(H404,'HC for user name'!$B:$C,2,0)</f>
        <v>V25IGHONIMY</v>
      </c>
      <c r="F404" s="35">
        <v>46160</v>
      </c>
      <c r="G404" s="34" t="s">
        <v>247</v>
      </c>
      <c r="H404" s="36" t="s">
        <v>9</v>
      </c>
      <c r="I404" s="36" t="str">
        <f>VLOOKUP(E404,'HC for display name '!$B:$D,3,0)</f>
        <v>AbdElRahman Adel-ElKelany</v>
      </c>
      <c r="J404" s="36" t="str">
        <f t="shared" si="8"/>
        <v>D</v>
      </c>
      <c r="N404" s="50"/>
      <c r="O404" s="50"/>
      <c r="P404" s="50"/>
      <c r="Q404" s="51"/>
      <c r="R404" s="50"/>
      <c r="S404" s="52"/>
      <c r="T404" s="52"/>
      <c r="U404" s="50"/>
      <c r="V404" s="50"/>
      <c r="W404" s="50"/>
      <c r="X404" s="50"/>
      <c r="Y404" s="50"/>
      <c r="Z404" s="50"/>
      <c r="AA404" s="50"/>
      <c r="AB404" s="17"/>
    </row>
    <row r="405" spans="1:28" x14ac:dyDescent="0.25">
      <c r="A405" s="33" t="s">
        <v>372</v>
      </c>
      <c r="B405" s="33">
        <v>9</v>
      </c>
      <c r="C405" s="34">
        <v>4</v>
      </c>
      <c r="D405" s="34">
        <v>5</v>
      </c>
      <c r="E405" s="34" t="str">
        <f>VLOOKUP(H405,'HC for user name'!$B:$C,2,0)</f>
        <v>V25MMansour10</v>
      </c>
      <c r="F405" s="35">
        <v>46160</v>
      </c>
      <c r="G405" s="34" t="s">
        <v>247</v>
      </c>
      <c r="H405" s="36" t="s">
        <v>13</v>
      </c>
      <c r="I405" s="36" t="str">
        <f>VLOOKUP(E405,'HC for display name '!$B:$D,3,0)</f>
        <v>Hend Yousry-AbdElRassoul</v>
      </c>
      <c r="J405" s="36" t="str">
        <f t="shared" si="8"/>
        <v>P</v>
      </c>
      <c r="N405" s="53"/>
      <c r="O405" s="53"/>
      <c r="P405" s="53"/>
      <c r="Q405" s="54"/>
      <c r="R405" s="53"/>
      <c r="S405" s="52"/>
      <c r="T405" s="52"/>
      <c r="U405" s="53"/>
      <c r="V405" s="53"/>
      <c r="W405" s="53"/>
      <c r="X405" s="53"/>
      <c r="Y405" s="53"/>
      <c r="Z405" s="53"/>
      <c r="AA405" s="53"/>
      <c r="AB405" s="20"/>
    </row>
    <row r="406" spans="1:28" x14ac:dyDescent="0.25">
      <c r="A406" s="33" t="s">
        <v>373</v>
      </c>
      <c r="B406" s="33">
        <v>10</v>
      </c>
      <c r="C406" s="34">
        <v>1</v>
      </c>
      <c r="D406" s="34">
        <v>5</v>
      </c>
      <c r="E406" s="34" t="str">
        <f>VLOOKUP(H406,'HC for user name'!$B:$C,2,0)</f>
        <v>V25TOmar</v>
      </c>
      <c r="F406" s="35">
        <v>46160</v>
      </c>
      <c r="G406" s="34" t="s">
        <v>247</v>
      </c>
      <c r="H406" s="36" t="s">
        <v>291</v>
      </c>
      <c r="I406" s="36" t="str">
        <f>VLOOKUP(E406,'HC for display name '!$B:$D,3,0)</f>
        <v>AbdElRahman Adel-ElKelany</v>
      </c>
      <c r="J406" s="36" t="str">
        <f t="shared" si="8"/>
        <v>P</v>
      </c>
      <c r="N406" s="50"/>
      <c r="O406" s="50"/>
      <c r="P406" s="50"/>
      <c r="Q406" s="51"/>
      <c r="R406" s="50"/>
      <c r="S406" s="52"/>
      <c r="T406" s="52"/>
      <c r="U406" s="50"/>
      <c r="V406" s="50"/>
      <c r="W406" s="50"/>
      <c r="X406" s="50"/>
      <c r="Y406" s="50"/>
      <c r="Z406" s="50"/>
      <c r="AA406" s="50"/>
      <c r="AB406" s="17"/>
    </row>
    <row r="407" spans="1:28" x14ac:dyDescent="0.25">
      <c r="A407" s="33" t="s">
        <v>329</v>
      </c>
      <c r="B407" s="33">
        <v>10</v>
      </c>
      <c r="C407" s="34">
        <v>4</v>
      </c>
      <c r="D407" s="34">
        <v>5</v>
      </c>
      <c r="E407" s="34" t="str">
        <f>VLOOKUP(H407,'HC for user name'!$B:$C,2,0)</f>
        <v>V26OGohar</v>
      </c>
      <c r="F407" s="35">
        <v>46160</v>
      </c>
      <c r="G407" s="34" t="s">
        <v>247</v>
      </c>
      <c r="H407" s="36" t="s">
        <v>295</v>
      </c>
      <c r="I407" s="36" t="str">
        <f>VLOOKUP(E407,'HC for display name '!$B:$D,3,0)</f>
        <v>AbdElRahman Adel-ElKelany</v>
      </c>
      <c r="J407" s="36" t="str">
        <f t="shared" si="8"/>
        <v>P</v>
      </c>
      <c r="N407" s="53"/>
      <c r="O407" s="53"/>
      <c r="P407" s="53"/>
      <c r="Q407" s="54"/>
      <c r="R407" s="53"/>
      <c r="S407" s="52"/>
      <c r="T407" s="52"/>
      <c r="U407" s="53"/>
      <c r="V407" s="53"/>
      <c r="W407" s="53"/>
      <c r="X407" s="53"/>
      <c r="Y407" s="53"/>
      <c r="Z407" s="53"/>
      <c r="AA407" s="53"/>
      <c r="AB407" s="20"/>
    </row>
    <row r="408" spans="1:28" x14ac:dyDescent="0.25">
      <c r="A408" s="33" t="s">
        <v>330</v>
      </c>
      <c r="B408" s="33">
        <v>7</v>
      </c>
      <c r="C408" s="34">
        <v>1</v>
      </c>
      <c r="D408" s="34">
        <v>5</v>
      </c>
      <c r="E408" s="34" t="str">
        <f>VLOOKUP(H408,'HC for user name'!$B:$C,2,0)</f>
        <v>V25MFarag10</v>
      </c>
      <c r="F408" s="35">
        <v>46160</v>
      </c>
      <c r="G408" s="34" t="s">
        <v>247</v>
      </c>
      <c r="H408" s="36" t="s">
        <v>17</v>
      </c>
      <c r="I408" s="36" t="str">
        <f>VLOOKUP(E408,'HC for display name '!$B:$D,3,0)</f>
        <v>Hend Yousry-AbdElRassoul</v>
      </c>
      <c r="J408" s="36" t="str">
        <f t="shared" si="8"/>
        <v>N</v>
      </c>
      <c r="N408" s="50"/>
      <c r="O408" s="50"/>
      <c r="P408" s="50"/>
      <c r="Q408" s="51"/>
      <c r="R408" s="50"/>
      <c r="S408" s="52"/>
      <c r="T408" s="52"/>
      <c r="U408" s="50"/>
      <c r="V408" s="50"/>
      <c r="W408" s="50"/>
      <c r="X408" s="50"/>
      <c r="Y408" s="50"/>
      <c r="Z408" s="50"/>
      <c r="AA408" s="50"/>
      <c r="AB408" s="17"/>
    </row>
    <row r="409" spans="1:28" x14ac:dyDescent="0.25">
      <c r="A409" s="33" t="s">
        <v>331</v>
      </c>
      <c r="B409" s="33">
        <v>9</v>
      </c>
      <c r="C409" s="34">
        <v>1</v>
      </c>
      <c r="D409" s="34">
        <v>5</v>
      </c>
      <c r="E409" s="34" t="str">
        <f>VLOOKUP(H409,'HC for user name'!$B:$C,2,0)</f>
        <v>V25MKhattab1</v>
      </c>
      <c r="F409" s="35">
        <v>46160</v>
      </c>
      <c r="G409" s="34" t="s">
        <v>247</v>
      </c>
      <c r="H409" s="36" t="s">
        <v>19</v>
      </c>
      <c r="I409" s="36" t="str">
        <f>VLOOKUP(E409,'HC for display name '!$B:$D,3,0)</f>
        <v>Hend Yousry-AbdElRassoul</v>
      </c>
      <c r="J409" s="36" t="str">
        <f t="shared" si="8"/>
        <v>P</v>
      </c>
      <c r="N409" s="53"/>
      <c r="O409" s="53"/>
      <c r="P409" s="53"/>
      <c r="Q409" s="54"/>
      <c r="R409" s="53"/>
      <c r="S409" s="52"/>
      <c r="T409" s="52"/>
      <c r="U409" s="53"/>
      <c r="V409" s="53"/>
      <c r="W409" s="53"/>
      <c r="X409" s="53"/>
      <c r="Y409" s="53"/>
      <c r="Z409" s="53"/>
      <c r="AA409" s="53"/>
      <c r="AB409" s="20"/>
    </row>
    <row r="410" spans="1:28" x14ac:dyDescent="0.25">
      <c r="A410" s="33" t="s">
        <v>332</v>
      </c>
      <c r="B410" s="33">
        <v>0</v>
      </c>
      <c r="C410" s="34">
        <v>3</v>
      </c>
      <c r="D410" s="34">
        <v>1</v>
      </c>
      <c r="E410" s="34" t="str">
        <f>VLOOKUP(H410,'HC for user name'!$B:$C,2,0)</f>
        <v>V26Ymofleh</v>
      </c>
      <c r="F410" s="35">
        <v>46160</v>
      </c>
      <c r="G410" s="34" t="s">
        <v>247</v>
      </c>
      <c r="H410" s="36" t="s">
        <v>21</v>
      </c>
      <c r="I410" s="36" t="str">
        <f>VLOOKUP(E410,'HC for display name '!$B:$D,3,0)</f>
        <v>Hend Yousry-AbdElRassoul</v>
      </c>
      <c r="J410" s="36" t="str">
        <f t="shared" si="8"/>
        <v>D</v>
      </c>
      <c r="N410" s="50"/>
      <c r="O410" s="50"/>
      <c r="P410" s="50"/>
      <c r="Q410" s="51"/>
      <c r="R410" s="50"/>
      <c r="S410" s="52"/>
      <c r="T410" s="52"/>
      <c r="U410" s="50"/>
      <c r="V410" s="50"/>
      <c r="W410" s="50"/>
      <c r="X410" s="50"/>
      <c r="Y410" s="50"/>
      <c r="Z410" s="50"/>
      <c r="AA410" s="50"/>
      <c r="AB410" s="17"/>
    </row>
    <row r="411" spans="1:28" x14ac:dyDescent="0.25">
      <c r="A411" s="33" t="s">
        <v>333</v>
      </c>
      <c r="B411" s="33">
        <v>9</v>
      </c>
      <c r="C411" s="34">
        <v>1</v>
      </c>
      <c r="D411" s="34">
        <v>5</v>
      </c>
      <c r="E411" s="34" t="str">
        <f>VLOOKUP(H411,'HC for user name'!$B:$C,2,0)</f>
        <v>V26AFathy2</v>
      </c>
      <c r="F411" s="35">
        <v>46160</v>
      </c>
      <c r="G411" s="34" t="s">
        <v>247</v>
      </c>
      <c r="H411" s="36" t="s">
        <v>243</v>
      </c>
      <c r="I411" s="36" t="str">
        <f>VLOOKUP(E411,'HC for display name '!$B:$D,3,0)</f>
        <v>Omar Emad-Mahmoud</v>
      </c>
      <c r="J411" s="36" t="str">
        <f t="shared" si="8"/>
        <v>P</v>
      </c>
      <c r="N411" s="53"/>
      <c r="O411" s="53"/>
      <c r="P411" s="53"/>
      <c r="Q411" s="54"/>
      <c r="R411" s="53"/>
      <c r="S411" s="52"/>
      <c r="T411" s="52"/>
      <c r="U411" s="53"/>
      <c r="V411" s="53"/>
      <c r="W411" s="53"/>
      <c r="X411" s="53"/>
      <c r="Y411" s="53"/>
      <c r="Z411" s="53"/>
      <c r="AA411" s="53"/>
      <c r="AB411" s="20"/>
    </row>
    <row r="412" spans="1:28" x14ac:dyDescent="0.25">
      <c r="A412" s="33" t="s">
        <v>334</v>
      </c>
      <c r="B412" s="33">
        <v>10</v>
      </c>
      <c r="C412" s="34">
        <v>1</v>
      </c>
      <c r="D412" s="34">
        <v>5</v>
      </c>
      <c r="E412" s="34" t="str">
        <f>VLOOKUP(H412,'HC for user name'!$B:$C,2,0)</f>
        <v>V26AZaki2</v>
      </c>
      <c r="F412" s="35">
        <v>46160</v>
      </c>
      <c r="G412" s="34" t="s">
        <v>247</v>
      </c>
      <c r="H412" s="36" t="s">
        <v>39</v>
      </c>
      <c r="I412" s="36" t="str">
        <f>VLOOKUP(E412,'HC for display name '!$B:$D,3,0)</f>
        <v>Omar Emad-Mahmoud</v>
      </c>
      <c r="J412" s="36" t="str">
        <f t="shared" si="8"/>
        <v>P</v>
      </c>
      <c r="N412" s="50"/>
      <c r="O412" s="50"/>
      <c r="P412" s="50"/>
      <c r="Q412" s="51"/>
      <c r="R412" s="50"/>
      <c r="S412" s="52"/>
      <c r="T412" s="52"/>
      <c r="U412" s="50"/>
      <c r="V412" s="50"/>
      <c r="W412" s="50"/>
      <c r="X412" s="50"/>
      <c r="Y412" s="50"/>
      <c r="Z412" s="50"/>
      <c r="AA412" s="50"/>
      <c r="AB412" s="17"/>
    </row>
    <row r="413" spans="1:28" x14ac:dyDescent="0.25">
      <c r="A413" s="33" t="s">
        <v>335</v>
      </c>
      <c r="B413" s="33">
        <v>10</v>
      </c>
      <c r="C413" s="34">
        <v>4</v>
      </c>
      <c r="D413" s="34">
        <v>5</v>
      </c>
      <c r="E413" s="34" t="str">
        <f>VLOOKUP(H413,'HC for user name'!$B:$C,2,0)</f>
        <v>V25OAllah9</v>
      </c>
      <c r="F413" s="35">
        <v>46160</v>
      </c>
      <c r="G413" s="34" t="s">
        <v>247</v>
      </c>
      <c r="H413" s="36" t="s">
        <v>18</v>
      </c>
      <c r="I413" s="36" t="str">
        <f>VLOOKUP(E413,'HC for display name '!$B:$D,3,0)</f>
        <v>Hend Yousry-AbdElRassoul</v>
      </c>
      <c r="J413" s="36" t="str">
        <f t="shared" si="8"/>
        <v>P</v>
      </c>
      <c r="N413" s="53"/>
      <c r="O413" s="53"/>
      <c r="P413" s="53"/>
      <c r="Q413" s="54"/>
      <c r="R413" s="53"/>
      <c r="S413" s="52"/>
      <c r="T413" s="52"/>
      <c r="U413" s="53"/>
      <c r="V413" s="53"/>
      <c r="W413" s="53"/>
      <c r="X413" s="53"/>
      <c r="Y413" s="53"/>
      <c r="Z413" s="53"/>
      <c r="AA413" s="53"/>
      <c r="AB413" s="20"/>
    </row>
    <row r="414" spans="1:28" x14ac:dyDescent="0.25">
      <c r="A414" s="33" t="s">
        <v>336</v>
      </c>
      <c r="B414" s="33">
        <v>10</v>
      </c>
      <c r="C414" s="34">
        <v>1</v>
      </c>
      <c r="D414" s="34">
        <v>5</v>
      </c>
      <c r="E414" s="34" t="str">
        <f>VLOOKUP(H414,'HC for user name'!$B:$C,2,0)</f>
        <v>V26AZaki2</v>
      </c>
      <c r="F414" s="35">
        <v>46160</v>
      </c>
      <c r="G414" s="34" t="s">
        <v>247</v>
      </c>
      <c r="H414" s="36" t="s">
        <v>39</v>
      </c>
      <c r="I414" s="36" t="str">
        <f>VLOOKUP(E414,'HC for display name '!$B:$D,3,0)</f>
        <v>Omar Emad-Mahmoud</v>
      </c>
      <c r="J414" s="36" t="str">
        <f t="shared" si="8"/>
        <v>P</v>
      </c>
      <c r="N414" s="50"/>
      <c r="O414" s="50"/>
      <c r="P414" s="50"/>
      <c r="Q414" s="51"/>
      <c r="R414" s="50"/>
      <c r="S414" s="52"/>
      <c r="T414" s="52"/>
      <c r="U414" s="50"/>
      <c r="V414" s="50"/>
      <c r="W414" s="50"/>
      <c r="X414" s="50"/>
      <c r="Y414" s="50"/>
      <c r="Z414" s="50"/>
      <c r="AA414" s="50"/>
      <c r="AB414" s="17"/>
    </row>
    <row r="415" spans="1:28" x14ac:dyDescent="0.25">
      <c r="A415" s="33" t="s">
        <v>337</v>
      </c>
      <c r="B415" s="33">
        <v>5</v>
      </c>
      <c r="C415" s="34">
        <v>4</v>
      </c>
      <c r="D415" s="34">
        <v>5</v>
      </c>
      <c r="E415" s="34" t="str">
        <f>VLOOKUP(H415,'HC for user name'!$B:$C,2,0)</f>
        <v>V25NSAEED1</v>
      </c>
      <c r="F415" s="35">
        <v>46160</v>
      </c>
      <c r="G415" s="34" t="s">
        <v>247</v>
      </c>
      <c r="H415" s="36" t="s">
        <v>29</v>
      </c>
      <c r="I415" s="36" t="str">
        <f>VLOOKUP(E415,'HC for display name '!$B:$D,3,0)</f>
        <v>Merna Ashraf-Ashrafy</v>
      </c>
      <c r="J415" s="36" t="str">
        <f t="shared" si="8"/>
        <v>D</v>
      </c>
      <c r="N415" s="53"/>
      <c r="O415" s="53"/>
      <c r="P415" s="53"/>
      <c r="Q415" s="54"/>
      <c r="R415" s="53"/>
      <c r="S415" s="52"/>
      <c r="T415" s="52"/>
      <c r="U415" s="53"/>
      <c r="V415" s="53"/>
      <c r="W415" s="53"/>
      <c r="X415" s="53"/>
      <c r="Y415" s="53"/>
      <c r="Z415" s="53"/>
      <c r="AA415" s="53"/>
      <c r="AB415" s="20"/>
    </row>
    <row r="416" spans="1:28" x14ac:dyDescent="0.25">
      <c r="A416" s="33" t="s">
        <v>338</v>
      </c>
      <c r="B416" s="33">
        <v>10</v>
      </c>
      <c r="C416" s="34">
        <v>1</v>
      </c>
      <c r="D416" s="34">
        <v>5</v>
      </c>
      <c r="E416" s="34" t="str">
        <f>VLOOKUP(H416,'HC for user name'!$B:$C,2,0)</f>
        <v>V25TAHMED3</v>
      </c>
      <c r="F416" s="35">
        <v>46160</v>
      </c>
      <c r="G416" s="34" t="s">
        <v>247</v>
      </c>
      <c r="H416" s="36" t="s">
        <v>12</v>
      </c>
      <c r="I416" s="36" t="str">
        <f>VLOOKUP(E416,'HC for display name '!$B:$D,3,0)</f>
        <v>AbdElRahman Adel-ElKelany</v>
      </c>
      <c r="J416" s="36" t="str">
        <f t="shared" si="8"/>
        <v>P</v>
      </c>
      <c r="N416" s="50"/>
      <c r="O416" s="50"/>
      <c r="P416" s="50"/>
      <c r="Q416" s="51"/>
      <c r="R416" s="50"/>
      <c r="S416" s="52"/>
      <c r="T416" s="52"/>
      <c r="U416" s="50"/>
      <c r="V416" s="50"/>
      <c r="W416" s="50"/>
      <c r="X416" s="50"/>
      <c r="Y416" s="50"/>
      <c r="Z416" s="50"/>
      <c r="AA416" s="50"/>
      <c r="AB416" s="17"/>
    </row>
    <row r="417" spans="1:28" x14ac:dyDescent="0.25">
      <c r="A417" s="33" t="s">
        <v>339</v>
      </c>
      <c r="B417" s="33">
        <v>10</v>
      </c>
      <c r="C417" s="34">
        <v>1</v>
      </c>
      <c r="D417" s="34">
        <v>5</v>
      </c>
      <c r="E417" s="34" t="str">
        <f>VLOOKUP(H417,'HC for user name'!$B:$C,2,0)</f>
        <v>V25NSAEED1</v>
      </c>
      <c r="F417" s="35">
        <v>46160</v>
      </c>
      <c r="G417" s="34" t="s">
        <v>247</v>
      </c>
      <c r="H417" s="36" t="s">
        <v>29</v>
      </c>
      <c r="I417" s="36" t="str">
        <f>VLOOKUP(E417,'HC for display name '!$B:$D,3,0)</f>
        <v>Merna Ashraf-Ashrafy</v>
      </c>
      <c r="J417" s="36" t="str">
        <f t="shared" si="8"/>
        <v>P</v>
      </c>
      <c r="N417" s="53"/>
      <c r="O417" s="53"/>
      <c r="P417" s="53"/>
      <c r="Q417" s="54"/>
      <c r="R417" s="53"/>
      <c r="S417" s="52"/>
      <c r="T417" s="52"/>
      <c r="U417" s="53"/>
      <c r="V417" s="53"/>
      <c r="W417" s="53"/>
      <c r="X417" s="53"/>
      <c r="Y417" s="53"/>
      <c r="Z417" s="53"/>
      <c r="AA417" s="53"/>
      <c r="AB417" s="20"/>
    </row>
    <row r="418" spans="1:28" x14ac:dyDescent="0.25">
      <c r="A418" s="33" t="s">
        <v>340</v>
      </c>
      <c r="B418" s="33">
        <v>10</v>
      </c>
      <c r="C418" s="34">
        <v>2</v>
      </c>
      <c r="D418" s="34">
        <v>5</v>
      </c>
      <c r="E418" s="34" t="str">
        <f>VLOOKUP(H418,'HC for user name'!$B:$C,2,0)</f>
        <v>V26KMohyeldin</v>
      </c>
      <c r="F418" s="35">
        <v>46160</v>
      </c>
      <c r="G418" s="34" t="s">
        <v>247</v>
      </c>
      <c r="H418" s="36" t="s">
        <v>287</v>
      </c>
      <c r="I418" s="36" t="str">
        <f>VLOOKUP(E418,'HC for display name '!$B:$D,3,0)</f>
        <v>Hend Yousry-AbdElRassoul</v>
      </c>
      <c r="J418" s="36" t="str">
        <f t="shared" si="8"/>
        <v>P</v>
      </c>
      <c r="N418" s="50"/>
      <c r="O418" s="50"/>
      <c r="P418" s="50"/>
      <c r="Q418" s="51"/>
      <c r="R418" s="50"/>
      <c r="S418" s="52"/>
      <c r="T418" s="52"/>
      <c r="U418" s="50"/>
      <c r="V418" s="50"/>
      <c r="W418" s="50"/>
      <c r="X418" s="50"/>
      <c r="Y418" s="50"/>
      <c r="Z418" s="50"/>
      <c r="AA418" s="50"/>
      <c r="AB418" s="17"/>
    </row>
    <row r="419" spans="1:28" x14ac:dyDescent="0.25">
      <c r="A419" s="33" t="s">
        <v>341</v>
      </c>
      <c r="B419" s="33">
        <v>10</v>
      </c>
      <c r="C419" s="34">
        <v>4</v>
      </c>
      <c r="D419" s="34">
        <v>5</v>
      </c>
      <c r="E419" s="34" t="str">
        <f>VLOOKUP(H419,'HC for user name'!$B:$C,2,0)</f>
        <v>V25NSAEED1</v>
      </c>
      <c r="F419" s="35">
        <v>46160</v>
      </c>
      <c r="G419" s="34" t="s">
        <v>247</v>
      </c>
      <c r="H419" s="36" t="s">
        <v>29</v>
      </c>
      <c r="I419" s="36" t="str">
        <f>VLOOKUP(E419,'HC for display name '!$B:$D,3,0)</f>
        <v>Merna Ashraf-Ashrafy</v>
      </c>
      <c r="J419" s="36" t="str">
        <f t="shared" si="8"/>
        <v>P</v>
      </c>
      <c r="N419" s="53"/>
      <c r="O419" s="53"/>
      <c r="P419" s="53"/>
      <c r="Q419" s="54"/>
      <c r="R419" s="53"/>
      <c r="S419" s="52"/>
      <c r="T419" s="52"/>
      <c r="U419" s="53"/>
      <c r="V419" s="53"/>
      <c r="W419" s="53"/>
      <c r="X419" s="53"/>
      <c r="Y419" s="53"/>
      <c r="Z419" s="53"/>
      <c r="AA419" s="53"/>
      <c r="AB419" s="20"/>
    </row>
    <row r="420" spans="1:28" x14ac:dyDescent="0.25">
      <c r="A420" s="33" t="s">
        <v>342</v>
      </c>
      <c r="B420" s="33">
        <v>9</v>
      </c>
      <c r="C420" s="34">
        <v>1</v>
      </c>
      <c r="D420" s="34">
        <v>5</v>
      </c>
      <c r="E420" s="34" t="str">
        <f>VLOOKUP(H420,'HC for user name'!$B:$C,2,0)</f>
        <v>V26KMohyeldin</v>
      </c>
      <c r="F420" s="35">
        <v>46160</v>
      </c>
      <c r="G420" s="34" t="s">
        <v>247</v>
      </c>
      <c r="H420" s="36" t="s">
        <v>287</v>
      </c>
      <c r="I420" s="36" t="str">
        <f>VLOOKUP(E420,'HC for display name '!$B:$D,3,0)</f>
        <v>Hend Yousry-AbdElRassoul</v>
      </c>
      <c r="J420" s="36" t="str">
        <f t="shared" si="8"/>
        <v>P</v>
      </c>
      <c r="N420" s="50"/>
      <c r="O420" s="50"/>
      <c r="P420" s="50"/>
      <c r="Q420" s="51"/>
      <c r="R420" s="50"/>
      <c r="S420" s="52"/>
      <c r="T420" s="52"/>
      <c r="U420" s="50"/>
      <c r="V420" s="50"/>
      <c r="W420" s="50"/>
      <c r="X420" s="50"/>
      <c r="Y420" s="50"/>
      <c r="Z420" s="50"/>
      <c r="AA420" s="50"/>
      <c r="AB420" s="17"/>
    </row>
    <row r="421" spans="1:28" x14ac:dyDescent="0.25">
      <c r="A421" s="33" t="s">
        <v>343</v>
      </c>
      <c r="B421" s="33">
        <v>0</v>
      </c>
      <c r="C421" s="34">
        <v>3</v>
      </c>
      <c r="D421" s="34">
        <v>1</v>
      </c>
      <c r="E421" s="34" t="str">
        <f>VLOOKUP(H421,'HC for user name'!$B:$C,2,0)</f>
        <v>V25MFarag10</v>
      </c>
      <c r="F421" s="35">
        <v>46160</v>
      </c>
      <c r="G421" s="34" t="s">
        <v>247</v>
      </c>
      <c r="H421" s="36" t="s">
        <v>17</v>
      </c>
      <c r="I421" s="36" t="str">
        <f>VLOOKUP(E421,'HC for display name '!$B:$D,3,0)</f>
        <v>Hend Yousry-AbdElRassoul</v>
      </c>
      <c r="J421" s="36" t="str">
        <f t="shared" si="8"/>
        <v>D</v>
      </c>
      <c r="N421" s="53"/>
      <c r="O421" s="53"/>
      <c r="P421" s="53"/>
      <c r="Q421" s="54"/>
      <c r="R421" s="53"/>
      <c r="S421" s="52"/>
      <c r="T421" s="52"/>
      <c r="U421" s="53"/>
      <c r="V421" s="53"/>
      <c r="W421" s="53"/>
      <c r="X421" s="53"/>
      <c r="Y421" s="53"/>
      <c r="Z421" s="53"/>
      <c r="AA421" s="53"/>
      <c r="AB421" s="20"/>
    </row>
    <row r="422" spans="1:28" x14ac:dyDescent="0.25">
      <c r="A422" s="33" t="s">
        <v>344</v>
      </c>
      <c r="B422" s="33">
        <v>10</v>
      </c>
      <c r="C422" s="34">
        <v>4</v>
      </c>
      <c r="D422" s="34">
        <v>5</v>
      </c>
      <c r="E422" s="34" t="str">
        <f>VLOOKUP(H422,'HC for user name'!$B:$C,2,0)</f>
        <v>V22MASHRAFY</v>
      </c>
      <c r="F422" s="35">
        <v>46160</v>
      </c>
      <c r="G422" s="34" t="s">
        <v>247</v>
      </c>
      <c r="H422" s="36" t="s">
        <v>22</v>
      </c>
      <c r="I422" s="36" t="str">
        <f>VLOOKUP(E422,'HC for display name '!$B:$D,3,0)</f>
        <v>Merna Ashraf-Ashrafy</v>
      </c>
      <c r="J422" s="36" t="str">
        <f t="shared" si="8"/>
        <v>P</v>
      </c>
      <c r="N422" s="50"/>
      <c r="O422" s="50"/>
      <c r="P422" s="50"/>
      <c r="Q422" s="51"/>
      <c r="R422" s="50"/>
      <c r="S422" s="52"/>
      <c r="T422" s="52"/>
      <c r="U422" s="50"/>
      <c r="V422" s="50"/>
      <c r="W422" s="50"/>
      <c r="X422" s="50"/>
      <c r="Y422" s="50"/>
      <c r="Z422" s="50"/>
      <c r="AA422" s="50"/>
      <c r="AB422" s="17"/>
    </row>
    <row r="423" spans="1:28" x14ac:dyDescent="0.25">
      <c r="A423" s="33" t="s">
        <v>345</v>
      </c>
      <c r="B423" s="33">
        <v>0</v>
      </c>
      <c r="C423" s="34">
        <v>1</v>
      </c>
      <c r="D423" s="34">
        <v>5</v>
      </c>
      <c r="E423" s="34" t="str">
        <f>VLOOKUP(H423,'HC for user name'!$B:$C,2,0)</f>
        <v>V25OAllah9</v>
      </c>
      <c r="F423" s="35">
        <v>46160</v>
      </c>
      <c r="G423" s="34" t="s">
        <v>247</v>
      </c>
      <c r="H423" s="36" t="s">
        <v>18</v>
      </c>
      <c r="I423" s="36" t="str">
        <f>VLOOKUP(E423,'HC for display name '!$B:$D,3,0)</f>
        <v>Hend Yousry-AbdElRassoul</v>
      </c>
      <c r="J423" s="36" t="str">
        <f t="shared" si="8"/>
        <v>D</v>
      </c>
      <c r="N423" s="53"/>
      <c r="O423" s="53"/>
      <c r="P423" s="53"/>
      <c r="Q423" s="54"/>
      <c r="R423" s="53"/>
      <c r="S423" s="52"/>
      <c r="T423" s="52"/>
      <c r="U423" s="53"/>
      <c r="V423" s="53"/>
      <c r="W423" s="53"/>
      <c r="X423" s="53"/>
      <c r="Y423" s="53"/>
      <c r="Z423" s="53"/>
      <c r="AA423" s="53"/>
    </row>
    <row r="424" spans="1:28" x14ac:dyDescent="0.25">
      <c r="A424" s="33" t="s">
        <v>346</v>
      </c>
      <c r="B424" s="33">
        <v>4</v>
      </c>
      <c r="C424" s="34">
        <v>1</v>
      </c>
      <c r="D424" s="34">
        <v>4</v>
      </c>
      <c r="E424" s="34" t="str">
        <f>VLOOKUP(H424,'HC for user name'!$B:$C,2,0)</f>
        <v>V25YMOHAMED24</v>
      </c>
      <c r="F424" s="35">
        <v>46160</v>
      </c>
      <c r="G424" s="34" t="s">
        <v>247</v>
      </c>
      <c r="H424" s="36" t="s">
        <v>32</v>
      </c>
      <c r="I424" s="36" t="str">
        <f>VLOOKUP(E424,'HC for display name '!$B:$D,3,0)</f>
        <v>Merna Ashraf-Ashrafy</v>
      </c>
      <c r="J424" s="36" t="str">
        <f t="shared" si="8"/>
        <v>D</v>
      </c>
      <c r="N424" s="50"/>
      <c r="O424" s="50"/>
      <c r="P424" s="50"/>
      <c r="Q424" s="51"/>
      <c r="R424" s="50"/>
      <c r="S424" s="52"/>
      <c r="T424" s="52"/>
      <c r="U424" s="50"/>
      <c r="V424" s="50"/>
      <c r="W424" s="50"/>
      <c r="X424" s="50"/>
      <c r="Y424" s="50"/>
      <c r="Z424" s="50"/>
      <c r="AA424" s="50"/>
    </row>
    <row r="425" spans="1:28" x14ac:dyDescent="0.25">
      <c r="A425" s="33" t="s">
        <v>347</v>
      </c>
      <c r="B425" s="33">
        <v>10</v>
      </c>
      <c r="C425" s="34">
        <v>1</v>
      </c>
      <c r="D425" s="34">
        <v>5</v>
      </c>
      <c r="E425" s="34" t="str">
        <f>VLOOKUP(H425,'HC for user name'!$B:$C,2,0)</f>
        <v>V25OAllah9</v>
      </c>
      <c r="F425" s="35">
        <v>46160</v>
      </c>
      <c r="G425" s="34" t="s">
        <v>247</v>
      </c>
      <c r="H425" s="36" t="s">
        <v>18</v>
      </c>
      <c r="I425" s="36" t="str">
        <f>VLOOKUP(E425,'HC for display name '!$B:$D,3,0)</f>
        <v>Hend Yousry-AbdElRassoul</v>
      </c>
      <c r="J425" s="36" t="str">
        <f t="shared" si="8"/>
        <v>P</v>
      </c>
      <c r="N425" s="53"/>
      <c r="O425" s="53"/>
      <c r="P425" s="53"/>
      <c r="Q425" s="54"/>
      <c r="R425" s="53"/>
      <c r="S425" s="52"/>
      <c r="T425" s="52"/>
      <c r="U425" s="53"/>
      <c r="V425" s="53"/>
      <c r="W425" s="53"/>
      <c r="X425" s="53"/>
      <c r="Y425" s="53"/>
      <c r="Z425" s="53"/>
      <c r="AA425" s="53"/>
    </row>
    <row r="426" spans="1:28" x14ac:dyDescent="0.25">
      <c r="A426" s="33" t="s">
        <v>348</v>
      </c>
      <c r="B426" s="33">
        <v>0</v>
      </c>
      <c r="C426" s="34">
        <v>3</v>
      </c>
      <c r="D426" s="34">
        <v>1</v>
      </c>
      <c r="E426" s="34" t="str">
        <f>VLOOKUP(H426,'HC for user name'!$B:$C,2,0)</f>
        <v>V25MHalim7</v>
      </c>
      <c r="F426" s="35">
        <v>46160</v>
      </c>
      <c r="G426" s="34" t="s">
        <v>247</v>
      </c>
      <c r="H426" s="36" t="s">
        <v>299</v>
      </c>
      <c r="I426" s="36" t="str">
        <f>VLOOKUP(E426,'HC for display name '!$B:$D,3,0)</f>
        <v>Hend Yousry-AbdElRassoul</v>
      </c>
      <c r="J426" s="36" t="str">
        <f t="shared" si="8"/>
        <v>D</v>
      </c>
      <c r="N426" s="50"/>
      <c r="O426" s="50"/>
      <c r="P426" s="50"/>
      <c r="Q426" s="51"/>
      <c r="R426" s="50"/>
      <c r="S426" s="52"/>
      <c r="T426" s="52"/>
      <c r="U426" s="50"/>
      <c r="V426" s="50"/>
      <c r="W426" s="50"/>
      <c r="X426" s="50"/>
      <c r="Y426" s="50"/>
      <c r="Z426" s="50"/>
      <c r="AA426" s="50"/>
    </row>
    <row r="427" spans="1:28" x14ac:dyDescent="0.25">
      <c r="A427" s="33" t="s">
        <v>349</v>
      </c>
      <c r="B427" s="33">
        <v>10</v>
      </c>
      <c r="C427" s="34">
        <v>4</v>
      </c>
      <c r="D427" s="34">
        <v>5</v>
      </c>
      <c r="E427" s="34" t="str">
        <f>VLOOKUP(H427,'HC for user name'!$B:$C,2,0)</f>
        <v>V26KMohyeldin</v>
      </c>
      <c r="F427" s="35">
        <v>46160</v>
      </c>
      <c r="G427" s="34" t="s">
        <v>247</v>
      </c>
      <c r="H427" s="36" t="s">
        <v>287</v>
      </c>
      <c r="I427" s="36" t="str">
        <f>VLOOKUP(E427,'HC for display name '!$B:$D,3,0)</f>
        <v>Hend Yousry-AbdElRassoul</v>
      </c>
      <c r="J427" s="36" t="str">
        <f t="shared" si="8"/>
        <v>P</v>
      </c>
      <c r="N427" s="53"/>
      <c r="O427" s="53"/>
      <c r="P427" s="53"/>
      <c r="Q427" s="54"/>
      <c r="R427" s="53"/>
      <c r="S427" s="52"/>
      <c r="T427" s="52"/>
      <c r="U427" s="53"/>
      <c r="V427" s="53"/>
      <c r="W427" s="53"/>
      <c r="X427" s="53"/>
      <c r="Y427" s="53"/>
      <c r="Z427" s="53"/>
      <c r="AA427" s="53"/>
    </row>
    <row r="428" spans="1:28" x14ac:dyDescent="0.25">
      <c r="A428" s="33" t="s">
        <v>350</v>
      </c>
      <c r="B428" s="33">
        <v>10</v>
      </c>
      <c r="C428" s="34">
        <v>3</v>
      </c>
      <c r="D428" s="34">
        <v>5</v>
      </c>
      <c r="E428" s="34" t="str">
        <f>VLOOKUP(H428,'HC for user name'!$B:$C,2,0)</f>
        <v>V25NSAEED1</v>
      </c>
      <c r="F428" s="35">
        <v>46160</v>
      </c>
      <c r="G428" s="34" t="s">
        <v>247</v>
      </c>
      <c r="H428" s="36" t="s">
        <v>29</v>
      </c>
      <c r="I428" s="36" t="str">
        <f>VLOOKUP(E428,'HC for display name '!$B:$D,3,0)</f>
        <v>Merna Ashraf-Ashrafy</v>
      </c>
      <c r="J428" s="36" t="str">
        <f t="shared" si="8"/>
        <v>P</v>
      </c>
      <c r="N428" s="50"/>
      <c r="O428" s="50"/>
      <c r="P428" s="50"/>
      <c r="Q428" s="51"/>
      <c r="R428" s="50"/>
      <c r="S428" s="52"/>
      <c r="T428" s="52"/>
      <c r="U428" s="50"/>
      <c r="V428" s="50"/>
      <c r="W428" s="50"/>
      <c r="X428" s="50"/>
      <c r="Y428" s="50"/>
      <c r="Z428" s="50"/>
      <c r="AA428" s="50"/>
    </row>
    <row r="429" spans="1:28" x14ac:dyDescent="0.25">
      <c r="A429" s="33" t="s">
        <v>351</v>
      </c>
      <c r="B429" s="33">
        <v>9</v>
      </c>
      <c r="C429" s="34">
        <v>1</v>
      </c>
      <c r="D429" s="34">
        <v>5</v>
      </c>
      <c r="E429" s="34" t="str">
        <f>VLOOKUP(H429,'HC for user name'!$B:$C,2,0)</f>
        <v>V25NSAEED1</v>
      </c>
      <c r="F429" s="35">
        <v>46160</v>
      </c>
      <c r="G429" s="34" t="s">
        <v>247</v>
      </c>
      <c r="H429" s="36" t="s">
        <v>29</v>
      </c>
      <c r="I429" s="36" t="str">
        <f>VLOOKUP(E429,'HC for display name '!$B:$D,3,0)</f>
        <v>Merna Ashraf-Ashrafy</v>
      </c>
      <c r="J429" s="36" t="str">
        <f t="shared" si="8"/>
        <v>P</v>
      </c>
      <c r="N429" s="53"/>
      <c r="O429" s="53"/>
      <c r="P429" s="53"/>
      <c r="Q429" s="54"/>
      <c r="R429" s="53"/>
      <c r="S429" s="52"/>
      <c r="T429" s="52"/>
      <c r="U429" s="53"/>
      <c r="V429" s="53"/>
      <c r="W429" s="53"/>
      <c r="X429" s="53"/>
      <c r="Y429" s="53"/>
      <c r="Z429" s="53"/>
      <c r="AA429" s="53"/>
    </row>
    <row r="430" spans="1:28" x14ac:dyDescent="0.25">
      <c r="A430" s="33" t="s">
        <v>352</v>
      </c>
      <c r="B430" s="33">
        <v>10</v>
      </c>
      <c r="C430" s="34">
        <v>4</v>
      </c>
      <c r="D430" s="34">
        <v>5</v>
      </c>
      <c r="E430" s="34" t="str">
        <f>VLOOKUP(H430,'HC for user name'!$B:$C,2,0)</f>
        <v>V25NSAEED1</v>
      </c>
      <c r="F430" s="35">
        <v>46160</v>
      </c>
      <c r="G430" s="34" t="s">
        <v>247</v>
      </c>
      <c r="H430" s="36" t="s">
        <v>29</v>
      </c>
      <c r="I430" s="36" t="str">
        <f>VLOOKUP(E430,'HC for display name '!$B:$D,3,0)</f>
        <v>Merna Ashraf-Ashrafy</v>
      </c>
      <c r="J430" s="36" t="str">
        <f t="shared" si="8"/>
        <v>P</v>
      </c>
      <c r="N430" s="50"/>
      <c r="O430" s="50"/>
      <c r="P430" s="50"/>
      <c r="Q430" s="51"/>
      <c r="R430" s="50"/>
      <c r="S430" s="52"/>
      <c r="T430" s="52"/>
      <c r="U430" s="50"/>
      <c r="V430" s="50"/>
      <c r="W430" s="50"/>
      <c r="X430" s="50"/>
      <c r="Y430" s="50"/>
      <c r="Z430" s="50"/>
      <c r="AA430" s="50"/>
    </row>
    <row r="431" spans="1:28" x14ac:dyDescent="0.25">
      <c r="A431" s="33" t="s">
        <v>353</v>
      </c>
      <c r="B431" s="33">
        <v>10</v>
      </c>
      <c r="C431" s="34">
        <v>1</v>
      </c>
      <c r="D431" s="34">
        <v>5</v>
      </c>
      <c r="E431" s="34" t="str">
        <f>VLOOKUP(H431,'HC for user name'!$B:$C,2,0)</f>
        <v>V25YMOHAMED24</v>
      </c>
      <c r="F431" s="35">
        <v>46160</v>
      </c>
      <c r="G431" s="34" t="s">
        <v>247</v>
      </c>
      <c r="H431" s="36" t="s">
        <v>32</v>
      </c>
      <c r="I431" s="36" t="str">
        <f>VLOOKUP(E431,'HC for display name '!$B:$D,3,0)</f>
        <v>Merna Ashraf-Ashrafy</v>
      </c>
      <c r="J431" s="36" t="str">
        <f t="shared" si="8"/>
        <v>P</v>
      </c>
      <c r="N431" s="53"/>
      <c r="O431" s="53"/>
      <c r="P431" s="53"/>
      <c r="Q431" s="54"/>
      <c r="R431" s="53"/>
      <c r="S431" s="52"/>
      <c r="T431" s="52"/>
      <c r="U431" s="53"/>
      <c r="V431" s="53"/>
      <c r="W431" s="53"/>
      <c r="X431" s="53"/>
      <c r="Y431" s="53"/>
      <c r="Z431" s="53"/>
      <c r="AA431" s="53"/>
    </row>
    <row r="432" spans="1:28" x14ac:dyDescent="0.25">
      <c r="A432" s="33" t="s">
        <v>354</v>
      </c>
      <c r="B432" s="33">
        <v>10</v>
      </c>
      <c r="C432" s="34">
        <v>1</v>
      </c>
      <c r="D432" s="34">
        <v>5</v>
      </c>
      <c r="E432" s="34" t="str">
        <f>VLOOKUP(H432,'HC for user name'!$B:$C,2,0)</f>
        <v>V26KMohyeldin</v>
      </c>
      <c r="F432" s="35">
        <v>46160</v>
      </c>
      <c r="G432" s="34" t="s">
        <v>247</v>
      </c>
      <c r="H432" s="36" t="s">
        <v>287</v>
      </c>
      <c r="I432" s="36" t="str">
        <f>VLOOKUP(E432,'HC for display name '!$B:$D,3,0)</f>
        <v>Hend Yousry-AbdElRassoul</v>
      </c>
      <c r="J432" s="36" t="str">
        <f t="shared" si="8"/>
        <v>P</v>
      </c>
      <c r="N432" s="50"/>
      <c r="O432" s="50"/>
      <c r="P432" s="50"/>
      <c r="Q432" s="51"/>
      <c r="R432" s="50"/>
      <c r="S432" s="52"/>
      <c r="T432" s="52"/>
      <c r="U432" s="50"/>
      <c r="V432" s="50"/>
      <c r="W432" s="50"/>
      <c r="X432" s="50"/>
      <c r="Y432" s="50"/>
      <c r="Z432" s="50"/>
      <c r="AA432" s="50"/>
    </row>
    <row r="433" spans="1:27" x14ac:dyDescent="0.25">
      <c r="A433" s="33" t="s">
        <v>355</v>
      </c>
      <c r="B433" s="33">
        <v>10</v>
      </c>
      <c r="C433" s="34">
        <v>1</v>
      </c>
      <c r="D433" s="34">
        <v>5</v>
      </c>
      <c r="E433" s="34" t="str">
        <f>VLOOKUP(H433,'HC for user name'!$B:$C,2,0)</f>
        <v>V26KMohyeldin</v>
      </c>
      <c r="F433" s="35">
        <v>46160</v>
      </c>
      <c r="G433" s="34" t="s">
        <v>247</v>
      </c>
      <c r="H433" s="36" t="s">
        <v>287</v>
      </c>
      <c r="I433" s="36" t="str">
        <f>VLOOKUP(E433,'HC for display name '!$B:$D,3,0)</f>
        <v>Hend Yousry-AbdElRassoul</v>
      </c>
      <c r="J433" s="36" t="str">
        <f t="shared" si="8"/>
        <v>P</v>
      </c>
      <c r="N433" s="53"/>
      <c r="O433" s="53"/>
      <c r="P433" s="53"/>
      <c r="Q433" s="54"/>
      <c r="R433" s="53"/>
      <c r="S433" s="52"/>
      <c r="T433" s="52"/>
      <c r="U433" s="53"/>
      <c r="V433" s="53"/>
      <c r="W433" s="53"/>
      <c r="X433" s="53"/>
      <c r="Y433" s="53"/>
      <c r="Z433" s="53"/>
      <c r="AA433" s="53"/>
    </row>
    <row r="434" spans="1:27" x14ac:dyDescent="0.25">
      <c r="A434" s="33" t="s">
        <v>356</v>
      </c>
      <c r="B434" s="33">
        <v>10</v>
      </c>
      <c r="C434" s="34">
        <v>1</v>
      </c>
      <c r="D434" s="34">
        <v>5</v>
      </c>
      <c r="E434" s="34" t="str">
        <f>VLOOKUP(H434,'HC for user name'!$B:$C,2,0)</f>
        <v>V25MHalim7</v>
      </c>
      <c r="F434" s="35">
        <v>46160</v>
      </c>
      <c r="G434" s="34" t="s">
        <v>247</v>
      </c>
      <c r="H434" s="36" t="s">
        <v>299</v>
      </c>
      <c r="I434" s="36" t="str">
        <f>VLOOKUP(E434,'HC for display name '!$B:$D,3,0)</f>
        <v>Hend Yousry-AbdElRassoul</v>
      </c>
      <c r="J434" s="36" t="str">
        <f t="shared" si="8"/>
        <v>P</v>
      </c>
      <c r="N434" s="50"/>
      <c r="O434" s="50"/>
      <c r="P434" s="50"/>
      <c r="Q434" s="51"/>
      <c r="R434" s="50"/>
      <c r="S434" s="52"/>
      <c r="T434" s="52"/>
      <c r="U434" s="50"/>
      <c r="V434" s="50"/>
      <c r="W434" s="50"/>
      <c r="X434" s="50"/>
      <c r="Y434" s="50"/>
      <c r="Z434" s="50"/>
      <c r="AA434" s="50"/>
    </row>
    <row r="435" spans="1:27" x14ac:dyDescent="0.25">
      <c r="A435" s="33" t="s">
        <v>357</v>
      </c>
      <c r="B435" s="33">
        <v>10</v>
      </c>
      <c r="C435" s="34">
        <v>1</v>
      </c>
      <c r="D435" s="34">
        <v>5</v>
      </c>
      <c r="E435" s="34" t="str">
        <f>VLOOKUP(H435,'HC for user name'!$B:$C,2,0)</f>
        <v>V26KMohyeldin</v>
      </c>
      <c r="F435" s="35">
        <v>46160</v>
      </c>
      <c r="G435" s="34" t="s">
        <v>247</v>
      </c>
      <c r="H435" s="36" t="s">
        <v>287</v>
      </c>
      <c r="I435" s="36" t="str">
        <f>VLOOKUP(E435,'HC for display name '!$B:$D,3,0)</f>
        <v>Hend Yousry-AbdElRassoul</v>
      </c>
      <c r="J435" s="36" t="str">
        <f t="shared" si="8"/>
        <v>P</v>
      </c>
      <c r="N435" s="53"/>
      <c r="O435" s="53"/>
      <c r="P435" s="53"/>
      <c r="Q435" s="54"/>
      <c r="R435" s="53"/>
      <c r="S435" s="52"/>
      <c r="T435" s="52"/>
      <c r="U435" s="53"/>
      <c r="V435" s="53"/>
      <c r="W435" s="53"/>
      <c r="X435" s="53"/>
      <c r="Y435" s="53"/>
      <c r="Z435" s="53"/>
      <c r="AA435" s="53"/>
    </row>
    <row r="436" spans="1:27" x14ac:dyDescent="0.25">
      <c r="A436" s="33" t="s">
        <v>358</v>
      </c>
      <c r="B436" s="33">
        <v>8</v>
      </c>
      <c r="C436" s="34">
        <v>1</v>
      </c>
      <c r="D436" s="34">
        <v>5</v>
      </c>
      <c r="E436" s="34" t="str">
        <f>VLOOKUP(H436,'HC for user name'!$B:$C,2,0)</f>
        <v>V26KMohyeldin</v>
      </c>
      <c r="F436" s="35">
        <v>46160</v>
      </c>
      <c r="G436" s="34" t="s">
        <v>247</v>
      </c>
      <c r="H436" s="36" t="s">
        <v>287</v>
      </c>
      <c r="I436" s="36" t="str">
        <f>VLOOKUP(E436,'HC for display name '!$B:$D,3,0)</f>
        <v>Hend Yousry-AbdElRassoul</v>
      </c>
      <c r="J436" s="36" t="str">
        <f t="shared" si="8"/>
        <v>N</v>
      </c>
      <c r="N436" s="50"/>
      <c r="O436" s="50"/>
      <c r="P436" s="50"/>
      <c r="Q436" s="51"/>
      <c r="R436" s="50"/>
      <c r="S436" s="52"/>
      <c r="T436" s="52"/>
      <c r="U436" s="50"/>
      <c r="V436" s="50"/>
      <c r="W436" s="50"/>
      <c r="X436" s="50"/>
      <c r="Y436" s="50"/>
      <c r="Z436" s="50"/>
      <c r="AA436" s="50"/>
    </row>
    <row r="437" spans="1:27" x14ac:dyDescent="0.25">
      <c r="A437" s="33" t="s">
        <v>359</v>
      </c>
      <c r="B437" s="33">
        <v>10</v>
      </c>
      <c r="C437" s="34">
        <v>1</v>
      </c>
      <c r="D437" s="34">
        <v>5</v>
      </c>
      <c r="E437" s="34" t="str">
        <f>VLOOKUP(H437,'HC for user name'!$B:$C,2,0)</f>
        <v>V25EMahfod</v>
      </c>
      <c r="F437" s="35">
        <v>46160</v>
      </c>
      <c r="G437" s="34" t="s">
        <v>247</v>
      </c>
      <c r="H437" s="36" t="s">
        <v>16</v>
      </c>
      <c r="I437" s="36" t="str">
        <f>VLOOKUP(E437,'HC for display name '!$B:$D,3,0)</f>
        <v>Hend Yousry-AbdElRassoul</v>
      </c>
      <c r="J437" s="36" t="str">
        <f t="shared" si="8"/>
        <v>P</v>
      </c>
      <c r="N437" s="53"/>
      <c r="O437" s="53"/>
      <c r="P437" s="53"/>
      <c r="Q437" s="54"/>
      <c r="R437" s="53"/>
      <c r="S437" s="52"/>
      <c r="T437" s="52"/>
      <c r="U437" s="53"/>
      <c r="V437" s="53"/>
      <c r="W437" s="53"/>
      <c r="X437" s="53"/>
      <c r="Y437" s="53"/>
      <c r="Z437" s="53"/>
      <c r="AA437" s="53"/>
    </row>
    <row r="438" spans="1:27" x14ac:dyDescent="0.25">
      <c r="N438" s="50"/>
      <c r="O438" s="50"/>
      <c r="P438" s="50"/>
      <c r="Q438" s="51"/>
      <c r="R438" s="50"/>
      <c r="S438" s="52"/>
      <c r="T438" s="52"/>
      <c r="U438" s="50"/>
      <c r="V438" s="50"/>
      <c r="W438" s="50"/>
      <c r="X438" s="50"/>
      <c r="Y438" s="50"/>
      <c r="Z438" s="50"/>
      <c r="AA438" s="50"/>
    </row>
  </sheetData>
  <autoFilter ref="A1:J437" xr:uid="{61D1465B-2C54-424F-B616-2277022BCA8F}"/>
  <phoneticPr fontId="8" type="noConversion"/>
  <pageMargins left="0.7" right="0.7" top="0.75" bottom="0.75" header="0.3" footer="0.3"/>
  <headerFooter>
    <oddFooter>&amp;L_x000D_&amp;1#&amp;"Aptos"&amp;7&amp;K000000 C2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B2CD-4220-4F0A-8CB1-12435D7ACA1D}">
  <sheetPr codeName="Sheet1"/>
  <dimension ref="A1:M77"/>
  <sheetViews>
    <sheetView zoomScale="70" zoomScaleNormal="70" workbookViewId="0">
      <selection activeCell="C53" sqref="C53"/>
    </sheetView>
  </sheetViews>
  <sheetFormatPr defaultRowHeight="15" x14ac:dyDescent="0.25"/>
  <cols>
    <col min="1" max="1" width="34.85546875" bestFit="1" customWidth="1"/>
    <col min="2" max="2" width="22.85546875" bestFit="1" customWidth="1"/>
    <col min="3" max="3" width="42.28515625" bestFit="1" customWidth="1"/>
    <col min="4" max="4" width="31" bestFit="1" customWidth="1"/>
    <col min="5" max="5" width="25.5703125" bestFit="1" customWidth="1"/>
    <col min="6" max="6" width="12.42578125" bestFit="1" customWidth="1"/>
    <col min="7" max="7" width="5.5703125" bestFit="1" customWidth="1"/>
    <col min="8" max="8" width="10.42578125" bestFit="1" customWidth="1"/>
    <col min="9" max="9" width="8.7109375" bestFit="1" customWidth="1"/>
    <col min="10" max="10" width="14.28515625" bestFit="1" customWidth="1"/>
    <col min="11" max="11" width="41.85546875" bestFit="1" customWidth="1"/>
    <col min="12" max="12" width="53.140625" bestFit="1" customWidth="1"/>
    <col min="13" max="13" width="22.42578125" bestFit="1" customWidth="1"/>
  </cols>
  <sheetData>
    <row r="1" spans="1:13" ht="15.75" x14ac:dyDescent="0.25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44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  <c r="L1" s="3" t="s">
        <v>56</v>
      </c>
      <c r="M1" s="3" t="s">
        <v>47</v>
      </c>
    </row>
    <row r="2" spans="1:13" ht="15.75" x14ac:dyDescent="0.25">
      <c r="A2" s="4" t="s">
        <v>57</v>
      </c>
      <c r="B2" s="5" t="s">
        <v>58</v>
      </c>
      <c r="C2" s="5" t="s">
        <v>41</v>
      </c>
      <c r="D2" s="4" t="s">
        <v>33</v>
      </c>
      <c r="E2" s="4" t="s">
        <v>0</v>
      </c>
      <c r="F2" s="4" t="s">
        <v>59</v>
      </c>
      <c r="G2" s="4" t="s">
        <v>60</v>
      </c>
      <c r="H2" s="4" t="s">
        <v>61</v>
      </c>
      <c r="I2" s="4" t="s">
        <v>62</v>
      </c>
      <c r="J2" s="4">
        <v>1028671298</v>
      </c>
      <c r="K2" s="4" t="s">
        <v>63</v>
      </c>
      <c r="L2" s="4" t="s">
        <v>64</v>
      </c>
      <c r="M2" s="4" t="s">
        <v>58</v>
      </c>
    </row>
    <row r="3" spans="1:13" ht="15.75" x14ac:dyDescent="0.25">
      <c r="A3" s="4" t="s">
        <v>65</v>
      </c>
      <c r="B3" s="5" t="s">
        <v>66</v>
      </c>
      <c r="C3" s="5" t="s">
        <v>67</v>
      </c>
      <c r="D3" s="4" t="s">
        <v>33</v>
      </c>
      <c r="E3" s="4" t="s">
        <v>0</v>
      </c>
      <c r="F3" s="4" t="s">
        <v>68</v>
      </c>
      <c r="G3" s="4" t="s">
        <v>60</v>
      </c>
      <c r="H3" s="4" t="s">
        <v>61</v>
      </c>
      <c r="I3" s="4" t="s">
        <v>62</v>
      </c>
      <c r="J3" s="4">
        <v>1024811820</v>
      </c>
      <c r="K3" s="4" t="s">
        <v>63</v>
      </c>
      <c r="L3" s="6" t="s">
        <v>69</v>
      </c>
      <c r="M3" s="4" t="s">
        <v>66</v>
      </c>
    </row>
    <row r="4" spans="1:13" ht="15.75" x14ac:dyDescent="0.25">
      <c r="A4" s="4" t="s">
        <v>70</v>
      </c>
      <c r="B4" s="5" t="s">
        <v>71</v>
      </c>
      <c r="C4" s="5" t="s">
        <v>72</v>
      </c>
      <c r="D4" s="4" t="s">
        <v>33</v>
      </c>
      <c r="E4" s="4" t="s">
        <v>0</v>
      </c>
      <c r="F4" s="4" t="s">
        <v>59</v>
      </c>
      <c r="G4" s="4" t="s">
        <v>60</v>
      </c>
      <c r="H4" s="4" t="s">
        <v>61</v>
      </c>
      <c r="I4" s="4" t="s">
        <v>62</v>
      </c>
      <c r="J4" s="4">
        <v>1068648163</v>
      </c>
      <c r="K4" s="4" t="s">
        <v>63</v>
      </c>
      <c r="L4" s="4" t="s">
        <v>73</v>
      </c>
      <c r="M4" s="4" t="s">
        <v>71</v>
      </c>
    </row>
    <row r="5" spans="1:13" ht="15.75" x14ac:dyDescent="0.25">
      <c r="A5" s="4" t="s">
        <v>74</v>
      </c>
      <c r="B5" s="5" t="s">
        <v>75</v>
      </c>
      <c r="C5" s="5" t="s">
        <v>76</v>
      </c>
      <c r="D5" s="4" t="s">
        <v>33</v>
      </c>
      <c r="E5" s="4" t="s">
        <v>0</v>
      </c>
      <c r="F5" s="4" t="s">
        <v>68</v>
      </c>
      <c r="G5" s="4" t="s">
        <v>60</v>
      </c>
      <c r="H5" s="4" t="s">
        <v>61</v>
      </c>
      <c r="I5" s="4" t="s">
        <v>62</v>
      </c>
      <c r="J5" s="4">
        <v>1090816081</v>
      </c>
      <c r="K5" s="4" t="s">
        <v>63</v>
      </c>
      <c r="L5" s="6" t="s">
        <v>77</v>
      </c>
      <c r="M5" s="4" t="s">
        <v>75</v>
      </c>
    </row>
    <row r="6" spans="1:13" ht="15.75" x14ac:dyDescent="0.25">
      <c r="A6" s="4" t="s">
        <v>78</v>
      </c>
      <c r="B6" s="5" t="s">
        <v>79</v>
      </c>
      <c r="C6" s="5" t="s">
        <v>80</v>
      </c>
      <c r="D6" s="4" t="s">
        <v>33</v>
      </c>
      <c r="E6" s="4" t="s">
        <v>0</v>
      </c>
      <c r="F6" s="4" t="s">
        <v>68</v>
      </c>
      <c r="G6" s="4" t="s">
        <v>60</v>
      </c>
      <c r="H6" s="4" t="s">
        <v>61</v>
      </c>
      <c r="I6" s="4" t="s">
        <v>62</v>
      </c>
      <c r="J6" s="4">
        <v>1221559609</v>
      </c>
      <c r="K6" s="4" t="s">
        <v>63</v>
      </c>
      <c r="L6" s="4" t="s">
        <v>81</v>
      </c>
      <c r="M6" s="4" t="s">
        <v>79</v>
      </c>
    </row>
    <row r="7" spans="1:13" ht="15.75" x14ac:dyDescent="0.25">
      <c r="A7" s="2" t="s">
        <v>82</v>
      </c>
      <c r="B7" s="5" t="s">
        <v>83</v>
      </c>
      <c r="C7" s="5" t="s">
        <v>84</v>
      </c>
      <c r="D7" s="4" t="s">
        <v>33</v>
      </c>
      <c r="E7" s="4" t="s">
        <v>0</v>
      </c>
      <c r="F7" s="7" t="s">
        <v>68</v>
      </c>
      <c r="G7" s="7" t="s">
        <v>60</v>
      </c>
      <c r="H7" s="7" t="s">
        <v>61</v>
      </c>
      <c r="I7" s="7" t="s">
        <v>62</v>
      </c>
      <c r="J7" s="2">
        <v>1014370411</v>
      </c>
      <c r="K7" s="7" t="s">
        <v>63</v>
      </c>
      <c r="L7" s="2" t="s">
        <v>85</v>
      </c>
      <c r="M7" s="2" t="s">
        <v>83</v>
      </c>
    </row>
    <row r="8" spans="1:13" ht="15.75" x14ac:dyDescent="0.25">
      <c r="A8" s="2" t="s">
        <v>86</v>
      </c>
      <c r="B8" s="5" t="s">
        <v>87</v>
      </c>
      <c r="C8" s="5" t="s">
        <v>38</v>
      </c>
      <c r="D8" s="4" t="s">
        <v>33</v>
      </c>
      <c r="E8" s="4" t="s">
        <v>0</v>
      </c>
      <c r="F8" s="7" t="s">
        <v>68</v>
      </c>
      <c r="G8" s="7" t="s">
        <v>60</v>
      </c>
      <c r="H8" s="7" t="s">
        <v>61</v>
      </c>
      <c r="I8" s="7" t="s">
        <v>62</v>
      </c>
      <c r="J8" s="2">
        <v>1126752132</v>
      </c>
      <c r="K8" s="7" t="s">
        <v>63</v>
      </c>
      <c r="L8" s="2" t="s">
        <v>88</v>
      </c>
      <c r="M8" s="2" t="s">
        <v>87</v>
      </c>
    </row>
    <row r="9" spans="1:13" ht="15.75" x14ac:dyDescent="0.25">
      <c r="A9" s="2" t="s">
        <v>89</v>
      </c>
      <c r="B9" s="5" t="s">
        <v>90</v>
      </c>
      <c r="C9" s="5" t="s">
        <v>37</v>
      </c>
      <c r="D9" s="4" t="s">
        <v>33</v>
      </c>
      <c r="E9" s="4" t="s">
        <v>0</v>
      </c>
      <c r="F9" s="7" t="s">
        <v>68</v>
      </c>
      <c r="G9" s="7" t="s">
        <v>60</v>
      </c>
      <c r="H9" s="7" t="s">
        <v>61</v>
      </c>
      <c r="I9" s="7" t="s">
        <v>62</v>
      </c>
      <c r="J9" s="2">
        <v>1221731201</v>
      </c>
      <c r="K9" s="7" t="s">
        <v>63</v>
      </c>
      <c r="L9" s="2" t="s">
        <v>91</v>
      </c>
      <c r="M9" s="2" t="s">
        <v>90</v>
      </c>
    </row>
    <row r="10" spans="1:13" ht="15.75" x14ac:dyDescent="0.25">
      <c r="A10" s="2" t="s">
        <v>92</v>
      </c>
      <c r="B10" s="5" t="s">
        <v>93</v>
      </c>
      <c r="C10" s="5" t="s">
        <v>36</v>
      </c>
      <c r="D10" s="4" t="s">
        <v>33</v>
      </c>
      <c r="E10" s="4" t="s">
        <v>0</v>
      </c>
      <c r="F10" s="7" t="s">
        <v>68</v>
      </c>
      <c r="G10" s="7" t="s">
        <v>60</v>
      </c>
      <c r="H10" s="7" t="s">
        <v>61</v>
      </c>
      <c r="I10" s="7" t="s">
        <v>62</v>
      </c>
      <c r="J10" s="2">
        <v>1555187430</v>
      </c>
      <c r="K10" s="7" t="s">
        <v>63</v>
      </c>
      <c r="L10" s="2" t="s">
        <v>94</v>
      </c>
      <c r="M10" s="2" t="s">
        <v>93</v>
      </c>
    </row>
    <row r="11" spans="1:13" ht="15.75" x14ac:dyDescent="0.25">
      <c r="A11" s="4" t="s">
        <v>95</v>
      </c>
      <c r="B11" s="4" t="s">
        <v>96</v>
      </c>
      <c r="C11" s="4" t="s">
        <v>97</v>
      </c>
      <c r="D11" s="4" t="s">
        <v>22</v>
      </c>
      <c r="E11" s="4" t="s">
        <v>0</v>
      </c>
      <c r="F11" s="4" t="s">
        <v>59</v>
      </c>
      <c r="G11" s="4" t="s">
        <v>60</v>
      </c>
      <c r="H11" s="4" t="s">
        <v>61</v>
      </c>
      <c r="I11" s="4" t="s">
        <v>98</v>
      </c>
      <c r="J11" s="4">
        <v>1065210836</v>
      </c>
      <c r="K11" s="4" t="s">
        <v>63</v>
      </c>
      <c r="L11" s="4" t="s">
        <v>99</v>
      </c>
      <c r="M11" s="4" t="s">
        <v>96</v>
      </c>
    </row>
    <row r="12" spans="1:13" ht="15.75" x14ac:dyDescent="0.25">
      <c r="A12" s="4" t="s">
        <v>100</v>
      </c>
      <c r="B12" s="4" t="s">
        <v>101</v>
      </c>
      <c r="C12" s="4" t="s">
        <v>24</v>
      </c>
      <c r="D12" s="4" t="s">
        <v>22</v>
      </c>
      <c r="E12" s="4" t="s">
        <v>0</v>
      </c>
      <c r="F12" s="4" t="s">
        <v>59</v>
      </c>
      <c r="G12" s="4" t="s">
        <v>60</v>
      </c>
      <c r="H12" s="4" t="s">
        <v>61</v>
      </c>
      <c r="I12" s="4" t="s">
        <v>98</v>
      </c>
      <c r="J12" s="4">
        <v>1080946604</v>
      </c>
      <c r="K12" s="4" t="s">
        <v>63</v>
      </c>
      <c r="L12" s="4" t="s">
        <v>102</v>
      </c>
      <c r="M12" s="4" t="s">
        <v>101</v>
      </c>
    </row>
    <row r="13" spans="1:13" ht="15.75" x14ac:dyDescent="0.25">
      <c r="A13" s="4" t="s">
        <v>103</v>
      </c>
      <c r="B13" s="4" t="s">
        <v>104</v>
      </c>
      <c r="C13" s="4" t="s">
        <v>30</v>
      </c>
      <c r="D13" s="4" t="s">
        <v>22</v>
      </c>
      <c r="E13" s="4" t="s">
        <v>0</v>
      </c>
      <c r="F13" s="4" t="s">
        <v>68</v>
      </c>
      <c r="G13" s="4" t="s">
        <v>60</v>
      </c>
      <c r="H13" s="4" t="s">
        <v>61</v>
      </c>
      <c r="I13" s="4" t="s">
        <v>62</v>
      </c>
      <c r="J13" s="4">
        <v>1119093689</v>
      </c>
      <c r="K13" s="4" t="s">
        <v>63</v>
      </c>
      <c r="L13" s="6" t="s">
        <v>105</v>
      </c>
      <c r="M13" s="4" t="s">
        <v>104</v>
      </c>
    </row>
    <row r="14" spans="1:13" ht="15.75" x14ac:dyDescent="0.25">
      <c r="A14" s="4" t="s">
        <v>106</v>
      </c>
      <c r="B14" s="4" t="s">
        <v>107</v>
      </c>
      <c r="C14" s="4" t="s">
        <v>108</v>
      </c>
      <c r="D14" s="4" t="s">
        <v>22</v>
      </c>
      <c r="E14" s="4" t="s">
        <v>0</v>
      </c>
      <c r="F14" s="4" t="s">
        <v>68</v>
      </c>
      <c r="G14" s="4" t="s">
        <v>60</v>
      </c>
      <c r="H14" s="4" t="s">
        <v>61</v>
      </c>
      <c r="I14" s="4" t="s">
        <v>62</v>
      </c>
      <c r="J14" s="4">
        <v>1015163198</v>
      </c>
      <c r="K14" s="4" t="s">
        <v>63</v>
      </c>
      <c r="L14" s="4" t="s">
        <v>109</v>
      </c>
      <c r="M14" s="4" t="s">
        <v>107</v>
      </c>
    </row>
    <row r="15" spans="1:13" ht="15.75" x14ac:dyDescent="0.25">
      <c r="A15" s="4" t="s">
        <v>110</v>
      </c>
      <c r="B15" s="4" t="s">
        <v>111</v>
      </c>
      <c r="C15" s="4" t="s">
        <v>27</v>
      </c>
      <c r="D15" s="4" t="s">
        <v>22</v>
      </c>
      <c r="E15" s="4" t="s">
        <v>0</v>
      </c>
      <c r="F15" s="4" t="s">
        <v>68</v>
      </c>
      <c r="G15" s="4" t="s">
        <v>60</v>
      </c>
      <c r="H15" s="4" t="s">
        <v>61</v>
      </c>
      <c r="I15" s="4" t="s">
        <v>62</v>
      </c>
      <c r="J15" s="4">
        <v>1229307136</v>
      </c>
      <c r="K15" s="4" t="s">
        <v>63</v>
      </c>
      <c r="L15" s="4" t="s">
        <v>112</v>
      </c>
      <c r="M15" s="4" t="s">
        <v>111</v>
      </c>
    </row>
    <row r="16" spans="1:13" ht="15.75" x14ac:dyDescent="0.25">
      <c r="A16" s="4" t="s">
        <v>113</v>
      </c>
      <c r="B16" s="4" t="s">
        <v>114</v>
      </c>
      <c r="C16" s="4" t="s">
        <v>115</v>
      </c>
      <c r="D16" s="4" t="s">
        <v>22</v>
      </c>
      <c r="E16" s="4" t="s">
        <v>0</v>
      </c>
      <c r="F16" s="4" t="s">
        <v>68</v>
      </c>
      <c r="G16" s="4" t="s">
        <v>60</v>
      </c>
      <c r="H16" s="4" t="s">
        <v>61</v>
      </c>
      <c r="I16" s="4" t="s">
        <v>62</v>
      </c>
      <c r="J16" s="4">
        <v>1552599351</v>
      </c>
      <c r="K16" s="4" t="s">
        <v>63</v>
      </c>
      <c r="L16" s="6" t="s">
        <v>116</v>
      </c>
      <c r="M16" s="4" t="s">
        <v>114</v>
      </c>
    </row>
    <row r="17" spans="1:13" ht="15.75" x14ac:dyDescent="0.25">
      <c r="A17" s="4" t="s">
        <v>117</v>
      </c>
      <c r="B17" s="4" t="s">
        <v>118</v>
      </c>
      <c r="C17" s="4" t="s">
        <v>119</v>
      </c>
      <c r="D17" s="4" t="s">
        <v>22</v>
      </c>
      <c r="E17" s="4" t="s">
        <v>0</v>
      </c>
      <c r="F17" s="4" t="s">
        <v>68</v>
      </c>
      <c r="G17" s="4" t="s">
        <v>60</v>
      </c>
      <c r="H17" s="4" t="s">
        <v>61</v>
      </c>
      <c r="I17" s="4" t="s">
        <v>62</v>
      </c>
      <c r="J17" s="4">
        <v>1116971828</v>
      </c>
      <c r="K17" s="4" t="s">
        <v>63</v>
      </c>
      <c r="L17" s="4" t="s">
        <v>120</v>
      </c>
      <c r="M17" s="4" t="s">
        <v>118</v>
      </c>
    </row>
    <row r="18" spans="1:13" ht="15.75" x14ac:dyDescent="0.25">
      <c r="A18" s="4" t="s">
        <v>121</v>
      </c>
      <c r="B18" s="4" t="s">
        <v>122</v>
      </c>
      <c r="C18" s="4" t="s">
        <v>29</v>
      </c>
      <c r="D18" s="4" t="s">
        <v>22</v>
      </c>
      <c r="E18" s="4" t="s">
        <v>0</v>
      </c>
      <c r="F18" s="4" t="s">
        <v>68</v>
      </c>
      <c r="G18" s="4" t="s">
        <v>60</v>
      </c>
      <c r="H18" s="4" t="s">
        <v>61</v>
      </c>
      <c r="I18" s="4" t="s">
        <v>62</v>
      </c>
      <c r="J18" s="4">
        <v>1069779886</v>
      </c>
      <c r="K18" s="4" t="s">
        <v>63</v>
      </c>
      <c r="L18" s="4" t="s">
        <v>123</v>
      </c>
      <c r="M18" s="4" t="s">
        <v>122</v>
      </c>
    </row>
    <row r="19" spans="1:13" ht="15.75" x14ac:dyDescent="0.25">
      <c r="A19" s="4" t="s">
        <v>124</v>
      </c>
      <c r="B19" s="4" t="s">
        <v>125</v>
      </c>
      <c r="C19" s="4" t="s">
        <v>126</v>
      </c>
      <c r="D19" s="4" t="s">
        <v>22</v>
      </c>
      <c r="E19" s="4" t="s">
        <v>0</v>
      </c>
      <c r="F19" s="4" t="s">
        <v>68</v>
      </c>
      <c r="G19" s="4" t="s">
        <v>60</v>
      </c>
      <c r="H19" s="4" t="s">
        <v>61</v>
      </c>
      <c r="I19" s="4" t="s">
        <v>62</v>
      </c>
      <c r="J19" s="4">
        <v>1014629259</v>
      </c>
      <c r="K19" s="4" t="s">
        <v>63</v>
      </c>
      <c r="L19" s="4" t="s">
        <v>127</v>
      </c>
      <c r="M19" s="4" t="s">
        <v>125</v>
      </c>
    </row>
    <row r="20" spans="1:13" ht="15.75" x14ac:dyDescent="0.25">
      <c r="A20" s="4" t="s">
        <v>128</v>
      </c>
      <c r="B20" s="4" t="s">
        <v>129</v>
      </c>
      <c r="C20" s="4" t="s">
        <v>130</v>
      </c>
      <c r="D20" s="4" t="s">
        <v>22</v>
      </c>
      <c r="E20" s="4" t="s">
        <v>0</v>
      </c>
      <c r="F20" s="4" t="s">
        <v>131</v>
      </c>
      <c r="G20" s="4" t="s">
        <v>60</v>
      </c>
      <c r="H20" s="4" t="s">
        <v>61</v>
      </c>
      <c r="I20" s="4" t="s">
        <v>98</v>
      </c>
      <c r="J20" s="4">
        <v>1001017533</v>
      </c>
      <c r="K20" s="4" t="s">
        <v>63</v>
      </c>
      <c r="L20" s="4" t="s">
        <v>132</v>
      </c>
      <c r="M20" s="4" t="s">
        <v>129</v>
      </c>
    </row>
    <row r="21" spans="1:13" ht="15.75" x14ac:dyDescent="0.25">
      <c r="A21" s="4" t="s">
        <v>133</v>
      </c>
      <c r="B21" s="4" t="s">
        <v>134</v>
      </c>
      <c r="C21" s="4" t="s">
        <v>28</v>
      </c>
      <c r="D21" s="4" t="s">
        <v>22</v>
      </c>
      <c r="E21" s="4" t="s">
        <v>0</v>
      </c>
      <c r="F21" s="4" t="s">
        <v>131</v>
      </c>
      <c r="G21" s="4" t="s">
        <v>60</v>
      </c>
      <c r="H21" s="4" t="s">
        <v>61</v>
      </c>
      <c r="I21" s="4" t="s">
        <v>62</v>
      </c>
      <c r="J21" s="4">
        <v>1278305847</v>
      </c>
      <c r="K21" s="4" t="s">
        <v>63</v>
      </c>
      <c r="L21" s="4" t="s">
        <v>135</v>
      </c>
      <c r="M21" s="4" t="s">
        <v>134</v>
      </c>
    </row>
    <row r="22" spans="1:13" ht="15.75" x14ac:dyDescent="0.25">
      <c r="A22" s="4" t="s">
        <v>136</v>
      </c>
      <c r="B22" s="4" t="s">
        <v>137</v>
      </c>
      <c r="C22" s="4" t="s">
        <v>32</v>
      </c>
      <c r="D22" s="4" t="s">
        <v>22</v>
      </c>
      <c r="E22" s="4" t="s">
        <v>0</v>
      </c>
      <c r="F22" s="4" t="s">
        <v>68</v>
      </c>
      <c r="G22" s="4" t="s">
        <v>60</v>
      </c>
      <c r="H22" s="4" t="s">
        <v>61</v>
      </c>
      <c r="I22" s="4" t="s">
        <v>62</v>
      </c>
      <c r="J22" s="4">
        <v>1069779886</v>
      </c>
      <c r="K22" s="4" t="s">
        <v>63</v>
      </c>
      <c r="L22" s="4" t="s">
        <v>138</v>
      </c>
      <c r="M22" s="4" t="s">
        <v>137</v>
      </c>
    </row>
    <row r="23" spans="1:13" ht="15.75" x14ac:dyDescent="0.25">
      <c r="A23" s="7" t="s">
        <v>128</v>
      </c>
      <c r="B23" s="4" t="s">
        <v>129</v>
      </c>
      <c r="C23" s="4" t="s">
        <v>139</v>
      </c>
      <c r="D23" s="4" t="s">
        <v>22</v>
      </c>
      <c r="E23" s="4" t="s">
        <v>0</v>
      </c>
      <c r="F23" s="7" t="s">
        <v>131</v>
      </c>
      <c r="G23" s="7" t="s">
        <v>60</v>
      </c>
      <c r="H23" s="7" t="s">
        <v>61</v>
      </c>
      <c r="I23" s="7" t="s">
        <v>98</v>
      </c>
      <c r="J23" s="7">
        <v>1001017533</v>
      </c>
      <c r="K23" s="7" t="s">
        <v>63</v>
      </c>
      <c r="L23" s="7" t="s">
        <v>132</v>
      </c>
      <c r="M23" s="7" t="s">
        <v>129</v>
      </c>
    </row>
    <row r="24" spans="1:13" ht="15.75" x14ac:dyDescent="0.25">
      <c r="A24" s="4" t="s">
        <v>140</v>
      </c>
      <c r="B24" s="4" t="s">
        <v>141</v>
      </c>
      <c r="C24" s="4" t="s">
        <v>142</v>
      </c>
      <c r="D24" s="4" t="s">
        <v>10</v>
      </c>
      <c r="E24" s="4" t="s">
        <v>0</v>
      </c>
      <c r="F24" s="4" t="s">
        <v>68</v>
      </c>
      <c r="G24" s="4" t="s">
        <v>60</v>
      </c>
      <c r="H24" s="4" t="s">
        <v>61</v>
      </c>
      <c r="I24" s="4" t="s">
        <v>62</v>
      </c>
      <c r="J24" s="4">
        <v>1062132517</v>
      </c>
      <c r="K24" s="4" t="s">
        <v>63</v>
      </c>
      <c r="L24" s="4" t="s">
        <v>143</v>
      </c>
      <c r="M24" s="4" t="s">
        <v>141</v>
      </c>
    </row>
    <row r="25" spans="1:13" ht="15.75" x14ac:dyDescent="0.25">
      <c r="A25" s="4" t="s">
        <v>144</v>
      </c>
      <c r="B25" s="4" t="s">
        <v>145</v>
      </c>
      <c r="C25" s="4" t="s">
        <v>26</v>
      </c>
      <c r="D25" s="4" t="s">
        <v>22</v>
      </c>
      <c r="E25" s="4" t="s">
        <v>0</v>
      </c>
      <c r="F25" s="4" t="s">
        <v>68</v>
      </c>
      <c r="G25" s="4" t="s">
        <v>60</v>
      </c>
      <c r="H25" s="4" t="s">
        <v>61</v>
      </c>
      <c r="I25" s="4" t="s">
        <v>62</v>
      </c>
      <c r="J25" s="4">
        <v>1016937937</v>
      </c>
      <c r="K25" s="4" t="s">
        <v>63</v>
      </c>
      <c r="L25" s="6" t="s">
        <v>146</v>
      </c>
      <c r="M25" s="4" t="s">
        <v>145</v>
      </c>
    </row>
    <row r="26" spans="1:13" ht="15.75" x14ac:dyDescent="0.25">
      <c r="A26" s="4" t="s">
        <v>147</v>
      </c>
      <c r="B26" s="4" t="s">
        <v>148</v>
      </c>
      <c r="C26" s="4" t="s">
        <v>149</v>
      </c>
      <c r="D26" s="4" t="s">
        <v>10</v>
      </c>
      <c r="E26" s="4" t="s">
        <v>0</v>
      </c>
      <c r="F26" s="4" t="s">
        <v>131</v>
      </c>
      <c r="G26" s="4" t="s">
        <v>60</v>
      </c>
      <c r="H26" s="4" t="s">
        <v>61</v>
      </c>
      <c r="I26" s="4" t="s">
        <v>62</v>
      </c>
      <c r="J26" s="4">
        <v>1003595311</v>
      </c>
      <c r="K26" s="4" t="s">
        <v>63</v>
      </c>
      <c r="L26" s="4" t="s">
        <v>150</v>
      </c>
      <c r="M26" s="4" t="s">
        <v>148</v>
      </c>
    </row>
    <row r="27" spans="1:13" ht="15.75" x14ac:dyDescent="0.25">
      <c r="A27" s="4" t="s">
        <v>151</v>
      </c>
      <c r="B27" s="4" t="s">
        <v>152</v>
      </c>
      <c r="C27" s="4" t="s">
        <v>25</v>
      </c>
      <c r="D27" s="4" t="s">
        <v>22</v>
      </c>
      <c r="E27" s="4" t="s">
        <v>0</v>
      </c>
      <c r="F27" s="4" t="s">
        <v>68</v>
      </c>
      <c r="G27" s="4" t="s">
        <v>60</v>
      </c>
      <c r="H27" s="4" t="s">
        <v>61</v>
      </c>
      <c r="I27" s="4" t="s">
        <v>62</v>
      </c>
      <c r="J27" s="4">
        <v>1146425174</v>
      </c>
      <c r="K27" s="4" t="s">
        <v>63</v>
      </c>
      <c r="L27" s="4" t="s">
        <v>153</v>
      </c>
      <c r="M27" s="4" t="s">
        <v>152</v>
      </c>
    </row>
    <row r="28" spans="1:13" ht="15.75" x14ac:dyDescent="0.25">
      <c r="A28" s="4" t="s">
        <v>154</v>
      </c>
      <c r="B28" s="4" t="s">
        <v>155</v>
      </c>
      <c r="C28" s="4" t="s">
        <v>31</v>
      </c>
      <c r="D28" s="4" t="s">
        <v>22</v>
      </c>
      <c r="E28" s="4" t="s">
        <v>0</v>
      </c>
      <c r="F28" s="4" t="s">
        <v>68</v>
      </c>
      <c r="G28" s="4" t="s">
        <v>60</v>
      </c>
      <c r="H28" s="4" t="s">
        <v>61</v>
      </c>
      <c r="I28" s="4" t="s">
        <v>98</v>
      </c>
      <c r="J28" s="4">
        <v>1015584162</v>
      </c>
      <c r="K28" s="4" t="s">
        <v>63</v>
      </c>
      <c r="L28" s="4" t="s">
        <v>156</v>
      </c>
      <c r="M28" s="4" t="s">
        <v>155</v>
      </c>
    </row>
    <row r="29" spans="1:13" ht="15.75" x14ac:dyDescent="0.25">
      <c r="A29" s="4" t="s">
        <v>157</v>
      </c>
      <c r="B29" s="4" t="s">
        <v>158</v>
      </c>
      <c r="C29" s="4" t="s">
        <v>12</v>
      </c>
      <c r="D29" s="4" t="s">
        <v>10</v>
      </c>
      <c r="E29" s="4" t="s">
        <v>0</v>
      </c>
      <c r="F29" s="4" t="s">
        <v>68</v>
      </c>
      <c r="G29" s="4" t="s">
        <v>60</v>
      </c>
      <c r="H29" s="4" t="s">
        <v>61</v>
      </c>
      <c r="I29" s="4" t="s">
        <v>62</v>
      </c>
      <c r="J29" s="4">
        <v>1027238025</v>
      </c>
      <c r="K29" s="4" t="s">
        <v>63</v>
      </c>
      <c r="L29" s="6" t="s">
        <v>159</v>
      </c>
      <c r="M29" s="4" t="s">
        <v>158</v>
      </c>
    </row>
    <row r="30" spans="1:13" ht="15.75" x14ac:dyDescent="0.25">
      <c r="A30" s="4" t="s">
        <v>160</v>
      </c>
      <c r="B30" s="4" t="s">
        <v>161</v>
      </c>
      <c r="C30" s="4" t="s">
        <v>162</v>
      </c>
      <c r="D30" s="4" t="s">
        <v>10</v>
      </c>
      <c r="E30" s="4" t="s">
        <v>0</v>
      </c>
      <c r="F30" s="4" t="s">
        <v>68</v>
      </c>
      <c r="G30" s="4" t="s">
        <v>60</v>
      </c>
      <c r="H30" s="4" t="s">
        <v>61</v>
      </c>
      <c r="I30" s="4" t="s">
        <v>62</v>
      </c>
      <c r="J30" s="4">
        <v>1090884061</v>
      </c>
      <c r="K30" s="4" t="s">
        <v>63</v>
      </c>
      <c r="L30" s="4" t="s">
        <v>163</v>
      </c>
      <c r="M30" s="4" t="s">
        <v>161</v>
      </c>
    </row>
    <row r="31" spans="1:13" ht="15.75" x14ac:dyDescent="0.25">
      <c r="A31" s="2" t="s">
        <v>164</v>
      </c>
      <c r="B31" s="4" t="s">
        <v>165</v>
      </c>
      <c r="C31" s="4" t="s">
        <v>166</v>
      </c>
      <c r="D31" s="4" t="s">
        <v>10</v>
      </c>
      <c r="E31" s="4" t="s">
        <v>0</v>
      </c>
      <c r="F31" s="7" t="s">
        <v>68</v>
      </c>
      <c r="G31" s="7" t="s">
        <v>60</v>
      </c>
      <c r="H31" s="7" t="s">
        <v>61</v>
      </c>
      <c r="I31" s="7" t="s">
        <v>62</v>
      </c>
      <c r="J31" s="2">
        <v>1008012864</v>
      </c>
      <c r="K31" s="7" t="s">
        <v>63</v>
      </c>
      <c r="L31" s="2" t="s">
        <v>167</v>
      </c>
      <c r="M31" s="2" t="s">
        <v>165</v>
      </c>
    </row>
    <row r="32" spans="1:13" ht="15.75" x14ac:dyDescent="0.25">
      <c r="A32" s="2" t="s">
        <v>168</v>
      </c>
      <c r="B32" s="4" t="s">
        <v>169</v>
      </c>
      <c r="C32" s="4" t="s">
        <v>6</v>
      </c>
      <c r="D32" s="4" t="s">
        <v>10</v>
      </c>
      <c r="E32" s="4" t="s">
        <v>0</v>
      </c>
      <c r="F32" s="7" t="s">
        <v>68</v>
      </c>
      <c r="G32" s="7" t="s">
        <v>60</v>
      </c>
      <c r="H32" s="7" t="s">
        <v>61</v>
      </c>
      <c r="I32" s="7" t="s">
        <v>62</v>
      </c>
      <c r="J32" s="2">
        <v>1557981792</v>
      </c>
      <c r="K32" s="7" t="s">
        <v>63</v>
      </c>
      <c r="L32" s="2" t="s">
        <v>170</v>
      </c>
      <c r="M32" s="2" t="s">
        <v>169</v>
      </c>
    </row>
    <row r="33" spans="1:13" ht="15.75" x14ac:dyDescent="0.25">
      <c r="A33" s="2" t="s">
        <v>171</v>
      </c>
      <c r="B33" s="8" t="s">
        <v>172</v>
      </c>
      <c r="C33" s="4" t="s">
        <v>173</v>
      </c>
      <c r="D33" s="4" t="s">
        <v>10</v>
      </c>
      <c r="E33" s="4" t="s">
        <v>0</v>
      </c>
      <c r="F33" s="7" t="s">
        <v>68</v>
      </c>
      <c r="G33" s="7" t="s">
        <v>60</v>
      </c>
      <c r="H33" s="7" t="s">
        <v>61</v>
      </c>
      <c r="I33" s="7" t="s">
        <v>62</v>
      </c>
      <c r="J33" s="2">
        <v>1050122437</v>
      </c>
      <c r="K33" s="7" t="s">
        <v>63</v>
      </c>
      <c r="L33" s="2" t="s">
        <v>174</v>
      </c>
      <c r="M33" s="2" t="s">
        <v>175</v>
      </c>
    </row>
    <row r="34" spans="1:13" ht="15.75" x14ac:dyDescent="0.25">
      <c r="A34" s="2" t="s">
        <v>176</v>
      </c>
      <c r="B34" s="4" t="s">
        <v>177</v>
      </c>
      <c r="C34" s="4" t="s">
        <v>178</v>
      </c>
      <c r="D34" s="4" t="s">
        <v>22</v>
      </c>
      <c r="E34" s="4" t="s">
        <v>0</v>
      </c>
      <c r="F34" s="7" t="s">
        <v>68</v>
      </c>
      <c r="G34" s="7" t="s">
        <v>60</v>
      </c>
      <c r="H34" s="7" t="s">
        <v>61</v>
      </c>
      <c r="I34" s="7" t="s">
        <v>62</v>
      </c>
      <c r="J34" s="2">
        <v>1011759074</v>
      </c>
      <c r="K34" s="7" t="s">
        <v>63</v>
      </c>
      <c r="L34" s="9" t="s">
        <v>179</v>
      </c>
      <c r="M34" s="10"/>
    </row>
    <row r="35" spans="1:13" ht="15.75" x14ac:dyDescent="0.25">
      <c r="A35" s="10" t="s">
        <v>180</v>
      </c>
      <c r="B35" s="4" t="s">
        <v>181</v>
      </c>
      <c r="C35" s="4" t="s">
        <v>182</v>
      </c>
      <c r="D35" s="4" t="s">
        <v>22</v>
      </c>
      <c r="E35" s="4" t="s">
        <v>0</v>
      </c>
      <c r="F35" s="7" t="s">
        <v>68</v>
      </c>
      <c r="G35" s="7" t="s">
        <v>60</v>
      </c>
      <c r="H35" s="7" t="s">
        <v>61</v>
      </c>
      <c r="I35" s="7" t="s">
        <v>62</v>
      </c>
      <c r="J35" s="10"/>
      <c r="K35" s="7" t="s">
        <v>63</v>
      </c>
      <c r="L35" s="11" t="s">
        <v>183</v>
      </c>
      <c r="M35" s="10"/>
    </row>
    <row r="36" spans="1:13" ht="15.75" x14ac:dyDescent="0.25">
      <c r="A36" s="10" t="s">
        <v>184</v>
      </c>
      <c r="B36" s="12" t="s">
        <v>185</v>
      </c>
      <c r="C36" s="5" t="s">
        <v>34</v>
      </c>
      <c r="D36" s="4" t="s">
        <v>33</v>
      </c>
      <c r="E36" s="4" t="s">
        <v>0</v>
      </c>
      <c r="F36" s="7" t="s">
        <v>68</v>
      </c>
      <c r="G36" s="7" t="s">
        <v>60</v>
      </c>
      <c r="H36" s="7" t="s">
        <v>61</v>
      </c>
      <c r="I36" s="7" t="s">
        <v>62</v>
      </c>
      <c r="J36" s="2">
        <v>1023410812</v>
      </c>
      <c r="K36" s="7" t="s">
        <v>63</v>
      </c>
      <c r="L36" s="9" t="s">
        <v>186</v>
      </c>
      <c r="M36" s="10"/>
    </row>
    <row r="37" spans="1:13" ht="15.75" x14ac:dyDescent="0.25">
      <c r="A37" s="2" t="s">
        <v>187</v>
      </c>
      <c r="B37" s="4" t="s">
        <v>188</v>
      </c>
      <c r="C37" s="4" t="s">
        <v>189</v>
      </c>
      <c r="D37" s="4" t="s">
        <v>10</v>
      </c>
      <c r="E37" s="4" t="s">
        <v>0</v>
      </c>
      <c r="F37" s="7" t="s">
        <v>68</v>
      </c>
      <c r="G37" s="7" t="s">
        <v>60</v>
      </c>
      <c r="H37" s="7" t="s">
        <v>61</v>
      </c>
      <c r="I37" s="7" t="s">
        <v>62</v>
      </c>
      <c r="J37" s="10"/>
      <c r="K37" s="7" t="s">
        <v>63</v>
      </c>
      <c r="L37" s="9" t="s">
        <v>190</v>
      </c>
      <c r="M37" s="10"/>
    </row>
    <row r="38" spans="1:13" ht="15.75" x14ac:dyDescent="0.25">
      <c r="A38" s="2" t="s">
        <v>191</v>
      </c>
      <c r="B38" s="4" t="s">
        <v>192</v>
      </c>
      <c r="C38" s="4" t="s">
        <v>9</v>
      </c>
      <c r="D38" s="4" t="s">
        <v>10</v>
      </c>
      <c r="E38" s="4" t="s">
        <v>0</v>
      </c>
      <c r="F38" s="7" t="s">
        <v>68</v>
      </c>
      <c r="G38" s="7" t="s">
        <v>60</v>
      </c>
      <c r="H38" s="7" t="s">
        <v>61</v>
      </c>
      <c r="I38" s="7" t="s">
        <v>62</v>
      </c>
      <c r="J38" s="10"/>
      <c r="K38" s="7" t="s">
        <v>63</v>
      </c>
      <c r="L38" s="11" t="s">
        <v>193</v>
      </c>
      <c r="M38" s="10"/>
    </row>
    <row r="39" spans="1:13" ht="15.75" x14ac:dyDescent="0.25">
      <c r="A39" s="2" t="s">
        <v>194</v>
      </c>
      <c r="B39" s="5" t="s">
        <v>195</v>
      </c>
      <c r="C39" s="5" t="s">
        <v>35</v>
      </c>
      <c r="D39" s="5" t="s">
        <v>33</v>
      </c>
      <c r="E39" s="4" t="s">
        <v>0</v>
      </c>
      <c r="F39" s="7" t="s">
        <v>68</v>
      </c>
      <c r="G39" s="7" t="s">
        <v>60</v>
      </c>
      <c r="H39" s="7" t="s">
        <v>61</v>
      </c>
      <c r="I39" s="7" t="s">
        <v>62</v>
      </c>
      <c r="J39" s="10"/>
      <c r="K39" s="7" t="s">
        <v>63</v>
      </c>
      <c r="L39" s="9" t="s">
        <v>196</v>
      </c>
      <c r="M39" s="10"/>
    </row>
    <row r="40" spans="1:13" ht="15.75" x14ac:dyDescent="0.25">
      <c r="A40" s="2" t="s">
        <v>197</v>
      </c>
      <c r="B40" s="5" t="s">
        <v>198</v>
      </c>
      <c r="C40" s="5" t="s">
        <v>199</v>
      </c>
      <c r="D40" s="5" t="s">
        <v>10</v>
      </c>
      <c r="E40" s="4" t="s">
        <v>0</v>
      </c>
      <c r="F40" s="7" t="s">
        <v>68</v>
      </c>
      <c r="G40" s="7" t="s">
        <v>60</v>
      </c>
      <c r="H40" s="7" t="s">
        <v>61</v>
      </c>
      <c r="I40" s="7" t="s">
        <v>62</v>
      </c>
      <c r="J40" s="10"/>
      <c r="K40" s="7" t="s">
        <v>63</v>
      </c>
      <c r="L40" s="9" t="s">
        <v>200</v>
      </c>
      <c r="M40" s="10"/>
    </row>
    <row r="41" spans="1:13" ht="15.75" x14ac:dyDescent="0.25">
      <c r="A41" s="2" t="s">
        <v>201</v>
      </c>
      <c r="B41" s="5" t="s">
        <v>202</v>
      </c>
      <c r="C41" s="5" t="s">
        <v>203</v>
      </c>
      <c r="D41" s="5" t="s">
        <v>22</v>
      </c>
      <c r="E41" s="4" t="s">
        <v>0</v>
      </c>
      <c r="F41" s="10"/>
      <c r="G41" s="10"/>
      <c r="H41" s="10"/>
      <c r="I41" s="10"/>
      <c r="J41" s="10"/>
      <c r="K41" s="10"/>
      <c r="L41" s="10"/>
      <c r="M41" s="10"/>
    </row>
    <row r="42" spans="1:13" ht="15.75" x14ac:dyDescent="0.25">
      <c r="A42" s="13" t="s">
        <v>204</v>
      </c>
      <c r="B42" s="5" t="s">
        <v>205</v>
      </c>
      <c r="C42" s="5" t="s">
        <v>14</v>
      </c>
      <c r="D42" s="5" t="s">
        <v>14</v>
      </c>
      <c r="E42" s="4" t="s">
        <v>0</v>
      </c>
      <c r="F42" s="14"/>
      <c r="G42" s="14"/>
      <c r="H42" s="14"/>
      <c r="I42" s="14"/>
      <c r="J42" s="14"/>
      <c r="K42" s="14"/>
      <c r="L42" s="14"/>
      <c r="M42" s="14"/>
    </row>
    <row r="43" spans="1:13" ht="15.75" x14ac:dyDescent="0.25">
      <c r="A43" s="13" t="s">
        <v>206</v>
      </c>
      <c r="B43" s="5" t="s">
        <v>207</v>
      </c>
      <c r="C43" s="5" t="s">
        <v>22</v>
      </c>
      <c r="D43" s="5" t="s">
        <v>22</v>
      </c>
      <c r="E43" s="4" t="s">
        <v>0</v>
      </c>
      <c r="F43" s="14"/>
      <c r="G43" s="14"/>
      <c r="H43" s="14"/>
      <c r="I43" s="14"/>
      <c r="J43" s="14"/>
      <c r="K43" s="14"/>
      <c r="L43" s="14"/>
      <c r="M43" s="14"/>
    </row>
    <row r="44" spans="1:13" ht="15.75" x14ac:dyDescent="0.25">
      <c r="A44" s="13" t="s">
        <v>208</v>
      </c>
      <c r="B44" s="5" t="s">
        <v>209</v>
      </c>
      <c r="C44" s="5" t="s">
        <v>23</v>
      </c>
      <c r="D44" s="5" t="s">
        <v>22</v>
      </c>
      <c r="E44" s="4" t="s">
        <v>0</v>
      </c>
      <c r="F44" s="14"/>
      <c r="G44" s="14"/>
      <c r="H44" s="14"/>
      <c r="I44" s="14"/>
      <c r="J44" s="14"/>
      <c r="K44" s="14"/>
      <c r="L44" s="14"/>
      <c r="M44" s="14"/>
    </row>
    <row r="45" spans="1:13" ht="15.75" x14ac:dyDescent="0.25">
      <c r="A45" s="13" t="s">
        <v>210</v>
      </c>
      <c r="B45" s="5" t="s">
        <v>211</v>
      </c>
      <c r="C45" s="5" t="s">
        <v>10</v>
      </c>
      <c r="D45" s="5" t="s">
        <v>10</v>
      </c>
      <c r="E45" s="4" t="s">
        <v>0</v>
      </c>
      <c r="F45" s="14"/>
      <c r="G45" s="14"/>
      <c r="H45" s="14"/>
      <c r="I45" s="14"/>
      <c r="J45" s="14"/>
      <c r="K45" s="14"/>
      <c r="L45" s="14"/>
      <c r="M45" s="14"/>
    </row>
    <row r="46" spans="1:13" ht="15.75" x14ac:dyDescent="0.25">
      <c r="A46" s="14"/>
      <c r="B46" s="5" t="s">
        <v>212</v>
      </c>
      <c r="C46" s="5" t="s">
        <v>213</v>
      </c>
      <c r="D46" s="5" t="s">
        <v>14</v>
      </c>
      <c r="E46" s="4" t="s">
        <v>0</v>
      </c>
      <c r="F46" s="14"/>
      <c r="G46" s="14"/>
      <c r="H46" s="14"/>
      <c r="I46" s="14"/>
      <c r="J46" s="14"/>
      <c r="K46" s="14"/>
      <c r="L46" s="14"/>
      <c r="M46" s="14"/>
    </row>
    <row r="47" spans="1:13" ht="15.75" x14ac:dyDescent="0.25">
      <c r="A47" s="14"/>
      <c r="B47" s="5" t="s">
        <v>214</v>
      </c>
      <c r="C47" s="5" t="s">
        <v>215</v>
      </c>
      <c r="D47" s="5" t="s">
        <v>14</v>
      </c>
      <c r="E47" s="4" t="s">
        <v>0</v>
      </c>
      <c r="F47" s="14"/>
      <c r="G47" s="14"/>
      <c r="H47" s="14"/>
      <c r="I47" s="14"/>
      <c r="J47" s="14"/>
      <c r="K47" s="14"/>
      <c r="L47" s="14"/>
      <c r="M47" s="14"/>
    </row>
    <row r="48" spans="1:13" ht="15.75" x14ac:dyDescent="0.25">
      <c r="A48" s="14"/>
      <c r="B48" s="5" t="s">
        <v>216</v>
      </c>
      <c r="C48" s="5" t="s">
        <v>16</v>
      </c>
      <c r="D48" s="5" t="s">
        <v>14</v>
      </c>
      <c r="E48" s="4" t="s">
        <v>0</v>
      </c>
      <c r="F48" s="14"/>
      <c r="G48" s="14"/>
      <c r="H48" s="14"/>
      <c r="I48" s="14"/>
      <c r="J48" s="14"/>
      <c r="K48" s="14"/>
      <c r="L48" s="14"/>
      <c r="M48" s="14"/>
    </row>
    <row r="49" spans="1:13" ht="15.75" x14ac:dyDescent="0.25">
      <c r="A49" s="14"/>
      <c r="B49" s="5" t="s">
        <v>217</v>
      </c>
      <c r="C49" s="5" t="s">
        <v>13</v>
      </c>
      <c r="D49" s="5" t="s">
        <v>14</v>
      </c>
      <c r="E49" s="4" t="s">
        <v>0</v>
      </c>
      <c r="F49" s="14"/>
      <c r="G49" s="14"/>
      <c r="H49" s="14"/>
      <c r="I49" s="14"/>
      <c r="J49" s="14"/>
      <c r="K49" s="14"/>
      <c r="L49" s="14"/>
      <c r="M49" s="14"/>
    </row>
    <row r="50" spans="1:13" ht="15.75" x14ac:dyDescent="0.25">
      <c r="A50" s="14"/>
      <c r="B50" s="5" t="s">
        <v>218</v>
      </c>
      <c r="C50" s="5" t="s">
        <v>17</v>
      </c>
      <c r="D50" s="5" t="s">
        <v>14</v>
      </c>
      <c r="E50" s="4" t="s">
        <v>0</v>
      </c>
      <c r="F50" s="14"/>
      <c r="G50" s="14"/>
      <c r="H50" s="14"/>
      <c r="I50" s="14"/>
      <c r="J50" s="14"/>
      <c r="K50" s="14"/>
      <c r="L50" s="14"/>
      <c r="M50" s="14"/>
    </row>
    <row r="51" spans="1:13" ht="15.75" x14ac:dyDescent="0.25">
      <c r="A51" s="14"/>
      <c r="B51" s="5" t="s">
        <v>219</v>
      </c>
      <c r="C51" s="5" t="s">
        <v>220</v>
      </c>
      <c r="D51" s="5" t="s">
        <v>14</v>
      </c>
      <c r="E51" s="4" t="s">
        <v>0</v>
      </c>
      <c r="F51" s="14"/>
      <c r="G51" s="14"/>
      <c r="H51" s="14"/>
      <c r="I51" s="14"/>
      <c r="J51" s="14"/>
      <c r="K51" s="14"/>
      <c r="L51" s="14"/>
      <c r="M51" s="14"/>
    </row>
    <row r="52" spans="1:13" ht="15.75" x14ac:dyDescent="0.25">
      <c r="A52" s="14"/>
      <c r="B52" s="5" t="s">
        <v>221</v>
      </c>
      <c r="C52" s="5" t="s">
        <v>222</v>
      </c>
      <c r="D52" s="5" t="s">
        <v>14</v>
      </c>
      <c r="E52" s="4" t="s">
        <v>0</v>
      </c>
      <c r="F52" s="14"/>
      <c r="G52" s="14"/>
      <c r="H52" s="14"/>
      <c r="I52" s="14"/>
      <c r="J52" s="14"/>
      <c r="K52" s="14"/>
      <c r="L52" s="14"/>
      <c r="M52" s="14"/>
    </row>
    <row r="53" spans="1:13" ht="15.75" x14ac:dyDescent="0.25">
      <c r="A53" s="14"/>
      <c r="B53" s="5" t="s">
        <v>223</v>
      </c>
      <c r="C53" s="5" t="s">
        <v>19</v>
      </c>
      <c r="D53" s="5" t="s">
        <v>14</v>
      </c>
      <c r="E53" s="4" t="s">
        <v>0</v>
      </c>
      <c r="F53" s="14"/>
      <c r="G53" s="14"/>
      <c r="H53" s="14"/>
      <c r="I53" s="14"/>
      <c r="J53" s="14"/>
      <c r="K53" s="14"/>
      <c r="L53" s="14"/>
      <c r="M53" s="14"/>
    </row>
    <row r="54" spans="1:13" ht="15.75" x14ac:dyDescent="0.25">
      <c r="A54" s="14"/>
      <c r="B54" s="5" t="s">
        <v>224</v>
      </c>
      <c r="C54" s="5" t="s">
        <v>225</v>
      </c>
      <c r="D54" s="5" t="s">
        <v>14</v>
      </c>
      <c r="E54" s="4" t="s">
        <v>0</v>
      </c>
      <c r="F54" s="14"/>
      <c r="G54" s="14"/>
      <c r="H54" s="14"/>
      <c r="I54" s="14"/>
      <c r="J54" s="14"/>
      <c r="K54" s="14"/>
      <c r="L54" s="14"/>
      <c r="M54" s="14"/>
    </row>
    <row r="55" spans="1:13" ht="15.75" x14ac:dyDescent="0.25">
      <c r="A55" s="14"/>
      <c r="B55" s="5" t="s">
        <v>226</v>
      </c>
      <c r="C55" s="5" t="s">
        <v>18</v>
      </c>
      <c r="D55" s="5" t="s">
        <v>14</v>
      </c>
      <c r="E55" s="4" t="s">
        <v>0</v>
      </c>
      <c r="F55" s="14"/>
      <c r="G55" s="14"/>
      <c r="H55" s="14"/>
      <c r="I55" s="14"/>
      <c r="J55" s="14"/>
      <c r="K55" s="14"/>
      <c r="L55" s="14"/>
      <c r="M55" s="14"/>
    </row>
    <row r="56" spans="1:13" ht="15.75" x14ac:dyDescent="0.25">
      <c r="A56" s="14"/>
      <c r="B56" s="5" t="s">
        <v>227</v>
      </c>
      <c r="C56" s="5" t="s">
        <v>20</v>
      </c>
      <c r="D56" s="5" t="s">
        <v>14</v>
      </c>
      <c r="E56" s="4" t="s">
        <v>0</v>
      </c>
      <c r="F56" s="14"/>
      <c r="G56" s="14"/>
      <c r="H56" s="14"/>
      <c r="I56" s="14"/>
      <c r="J56" s="14"/>
      <c r="K56" s="14"/>
      <c r="L56" s="14"/>
      <c r="M56" s="14"/>
    </row>
    <row r="57" spans="1:13" ht="15.75" x14ac:dyDescent="0.25">
      <c r="A57" s="14"/>
      <c r="B57" s="5" t="s">
        <v>228</v>
      </c>
      <c r="C57" s="5" t="s">
        <v>229</v>
      </c>
      <c r="D57" s="5" t="s">
        <v>14</v>
      </c>
      <c r="E57" s="4" t="s">
        <v>0</v>
      </c>
      <c r="F57" s="14"/>
      <c r="G57" s="14"/>
      <c r="H57" s="14"/>
      <c r="I57" s="14"/>
      <c r="J57" s="14"/>
      <c r="K57" s="14"/>
      <c r="L57" s="14"/>
      <c r="M57" s="14"/>
    </row>
    <row r="58" spans="1:13" ht="15.75" x14ac:dyDescent="0.25">
      <c r="A58" s="14"/>
      <c r="B58" s="5" t="s">
        <v>230</v>
      </c>
      <c r="C58" s="5" t="s">
        <v>15</v>
      </c>
      <c r="D58" s="5" t="s">
        <v>14</v>
      </c>
      <c r="E58" s="4" t="s">
        <v>0</v>
      </c>
      <c r="F58" s="14"/>
      <c r="G58" s="14"/>
      <c r="H58" s="14"/>
      <c r="I58" s="14"/>
      <c r="J58" s="14"/>
      <c r="K58" s="14"/>
      <c r="L58" s="14"/>
      <c r="M58" s="14"/>
    </row>
    <row r="59" spans="1:13" ht="15.75" x14ac:dyDescent="0.25">
      <c r="A59" s="14"/>
      <c r="B59" s="5" t="s">
        <v>231</v>
      </c>
      <c r="C59" s="5" t="s">
        <v>21</v>
      </c>
      <c r="D59" s="5" t="s">
        <v>14</v>
      </c>
      <c r="E59" s="4" t="s">
        <v>0</v>
      </c>
      <c r="F59" s="14"/>
      <c r="G59" s="14"/>
      <c r="H59" s="14"/>
      <c r="I59" s="14"/>
      <c r="J59" s="14"/>
      <c r="K59" s="14"/>
      <c r="L59" s="14"/>
      <c r="M59" s="14"/>
    </row>
    <row r="60" spans="1:13" ht="15.75" x14ac:dyDescent="0.25">
      <c r="A60" s="14"/>
      <c r="B60" s="5" t="s">
        <v>232</v>
      </c>
      <c r="C60" s="5" t="s">
        <v>40</v>
      </c>
      <c r="D60" s="5" t="s">
        <v>33</v>
      </c>
      <c r="E60" s="4" t="s">
        <v>0</v>
      </c>
      <c r="F60" s="14"/>
      <c r="G60" s="14"/>
      <c r="H60" s="14"/>
      <c r="I60" s="14"/>
      <c r="J60" s="14"/>
      <c r="K60" s="14"/>
      <c r="L60" s="14"/>
      <c r="M60" s="14"/>
    </row>
    <row r="61" spans="1:13" ht="15.75" x14ac:dyDescent="0.25">
      <c r="A61" s="14"/>
      <c r="B61" s="5" t="s">
        <v>233</v>
      </c>
      <c r="C61" s="5" t="s">
        <v>39</v>
      </c>
      <c r="D61" s="5" t="s">
        <v>33</v>
      </c>
      <c r="E61" s="4" t="s">
        <v>0</v>
      </c>
      <c r="F61" s="14"/>
      <c r="G61" s="14"/>
      <c r="H61" s="14"/>
      <c r="I61" s="14"/>
      <c r="J61" s="14"/>
      <c r="K61" s="14"/>
      <c r="L61" s="14"/>
      <c r="M61" s="14"/>
    </row>
    <row r="62" spans="1:13" ht="15.75" x14ac:dyDescent="0.25">
      <c r="A62" s="14"/>
      <c r="B62" s="5" t="s">
        <v>234</v>
      </c>
      <c r="C62" s="5" t="s">
        <v>8</v>
      </c>
      <c r="D62" s="5" t="s">
        <v>10</v>
      </c>
      <c r="E62" s="4" t="s">
        <v>0</v>
      </c>
      <c r="F62" s="14"/>
      <c r="G62" s="14"/>
      <c r="H62" s="14"/>
      <c r="I62" s="14"/>
      <c r="J62" s="14"/>
      <c r="K62" s="14"/>
      <c r="L62" s="14"/>
      <c r="M62" s="14"/>
    </row>
    <row r="63" spans="1:13" ht="15.75" x14ac:dyDescent="0.25">
      <c r="A63" s="14"/>
      <c r="B63" s="5" t="s">
        <v>235</v>
      </c>
      <c r="C63" s="5" t="s">
        <v>11</v>
      </c>
      <c r="D63" s="5" t="s">
        <v>10</v>
      </c>
      <c r="E63" s="4" t="s">
        <v>0</v>
      </c>
      <c r="F63" s="14"/>
      <c r="G63" s="14"/>
      <c r="H63" s="14"/>
      <c r="I63" s="14"/>
      <c r="J63" s="14"/>
      <c r="K63" s="14"/>
      <c r="L63" s="14"/>
      <c r="M63" s="14"/>
    </row>
    <row r="64" spans="1:13" ht="15.75" x14ac:dyDescent="0.25">
      <c r="A64" s="14"/>
      <c r="B64" s="5" t="s">
        <v>236</v>
      </c>
      <c r="C64" s="5" t="s">
        <v>237</v>
      </c>
      <c r="D64" s="5" t="s">
        <v>22</v>
      </c>
      <c r="E64" s="4" t="s">
        <v>0</v>
      </c>
      <c r="F64" s="14"/>
      <c r="G64" s="14"/>
      <c r="H64" s="14"/>
      <c r="I64" s="14"/>
      <c r="J64" s="14"/>
      <c r="K64" s="14"/>
      <c r="L64" s="14"/>
      <c r="M64" s="14"/>
    </row>
    <row r="65" spans="1:13" ht="15.75" x14ac:dyDescent="0.25">
      <c r="A65" s="14"/>
      <c r="B65" s="5" t="s">
        <v>238</v>
      </c>
      <c r="C65" s="5" t="s">
        <v>239</v>
      </c>
      <c r="D65" s="5" t="s">
        <v>22</v>
      </c>
      <c r="E65" s="4" t="s">
        <v>0</v>
      </c>
      <c r="F65" s="14"/>
      <c r="G65" s="14"/>
      <c r="H65" s="14"/>
      <c r="I65" s="14"/>
      <c r="J65" s="14"/>
      <c r="K65" s="14"/>
      <c r="L65" s="14"/>
      <c r="M65" s="14"/>
    </row>
    <row r="66" spans="1:13" ht="15.75" x14ac:dyDescent="0.25">
      <c r="A66" s="14"/>
      <c r="B66" s="5" t="s">
        <v>240</v>
      </c>
      <c r="C66" s="5" t="s">
        <v>241</v>
      </c>
      <c r="D66" s="5" t="s">
        <v>10</v>
      </c>
      <c r="E66" s="4" t="s">
        <v>0</v>
      </c>
      <c r="F66" s="14"/>
      <c r="G66" s="14"/>
      <c r="H66" s="14"/>
      <c r="I66" s="14"/>
      <c r="J66" s="14"/>
      <c r="K66" s="14"/>
      <c r="L66" s="14"/>
      <c r="M66" s="14"/>
    </row>
    <row r="67" spans="1:13" ht="15.75" x14ac:dyDescent="0.25">
      <c r="A67" s="14"/>
      <c r="B67" s="5" t="s">
        <v>242</v>
      </c>
      <c r="C67" s="5" t="s">
        <v>243</v>
      </c>
      <c r="D67" s="5" t="s">
        <v>33</v>
      </c>
      <c r="E67" s="4" t="s">
        <v>0</v>
      </c>
      <c r="F67" s="14"/>
      <c r="G67" s="14"/>
      <c r="H67" s="14"/>
      <c r="I67" s="14"/>
      <c r="J67" s="14"/>
      <c r="K67" s="14"/>
      <c r="L67" s="14"/>
      <c r="M67" s="14"/>
    </row>
    <row r="68" spans="1:13" ht="15.75" x14ac:dyDescent="0.25">
      <c r="B68" s="5" t="s">
        <v>273</v>
      </c>
      <c r="C68" s="5" t="s">
        <v>274</v>
      </c>
      <c r="D68" s="5" t="s">
        <v>33</v>
      </c>
      <c r="E68" s="4" t="s">
        <v>0</v>
      </c>
    </row>
    <row r="69" spans="1:13" ht="15.75" x14ac:dyDescent="0.25">
      <c r="B69" s="5" t="s">
        <v>286</v>
      </c>
      <c r="C69" s="5" t="s">
        <v>287</v>
      </c>
      <c r="D69" s="5" t="s">
        <v>14</v>
      </c>
      <c r="E69" s="4" t="s">
        <v>0</v>
      </c>
    </row>
    <row r="70" spans="1:13" ht="15.75" x14ac:dyDescent="0.25">
      <c r="B70" s="5" t="s">
        <v>288</v>
      </c>
      <c r="C70" s="5" t="s">
        <v>289</v>
      </c>
      <c r="D70" s="5" t="s">
        <v>14</v>
      </c>
      <c r="E70" s="4" t="s">
        <v>0</v>
      </c>
    </row>
    <row r="71" spans="1:13" ht="15.75" x14ac:dyDescent="0.25">
      <c r="B71" s="5" t="s">
        <v>290</v>
      </c>
      <c r="C71" s="5" t="s">
        <v>291</v>
      </c>
      <c r="D71" s="5" t="s">
        <v>10</v>
      </c>
      <c r="E71" s="4" t="s">
        <v>0</v>
      </c>
    </row>
    <row r="72" spans="1:13" ht="15.75" x14ac:dyDescent="0.25">
      <c r="B72" s="5" t="s">
        <v>292</v>
      </c>
      <c r="C72" s="5" t="s">
        <v>293</v>
      </c>
      <c r="D72" s="5" t="s">
        <v>22</v>
      </c>
      <c r="E72" s="4" t="s">
        <v>0</v>
      </c>
    </row>
    <row r="73" spans="1:13" ht="15.75" x14ac:dyDescent="0.25">
      <c r="B73" s="5" t="s">
        <v>294</v>
      </c>
      <c r="C73" s="5" t="s">
        <v>295</v>
      </c>
      <c r="D73" s="5" t="s">
        <v>10</v>
      </c>
      <c r="E73" s="4" t="s">
        <v>0</v>
      </c>
    </row>
    <row r="74" spans="1:13" ht="15.75" x14ac:dyDescent="0.25">
      <c r="B74" s="5" t="s">
        <v>296</v>
      </c>
      <c r="C74" s="5" t="s">
        <v>297</v>
      </c>
      <c r="D74" s="5" t="s">
        <v>10</v>
      </c>
      <c r="E74" s="4" t="s">
        <v>0</v>
      </c>
    </row>
    <row r="75" spans="1:13" ht="15.75" x14ac:dyDescent="0.25">
      <c r="B75" s="5" t="s">
        <v>273</v>
      </c>
      <c r="C75" s="5" t="s">
        <v>274</v>
      </c>
      <c r="D75" s="5" t="s">
        <v>33</v>
      </c>
      <c r="E75" s="4" t="s">
        <v>0</v>
      </c>
    </row>
    <row r="76" spans="1:13" ht="15.75" x14ac:dyDescent="0.25">
      <c r="B76" s="5" t="s">
        <v>298</v>
      </c>
      <c r="C76" s="5" t="s">
        <v>299</v>
      </c>
      <c r="D76" s="5" t="s">
        <v>14</v>
      </c>
      <c r="E76" s="4" t="s">
        <v>0</v>
      </c>
    </row>
    <row r="77" spans="1:13" ht="15.75" x14ac:dyDescent="0.25">
      <c r="B77" s="5" t="s">
        <v>300</v>
      </c>
      <c r="C77" s="5" t="s">
        <v>33</v>
      </c>
      <c r="D77" s="5" t="s">
        <v>33</v>
      </c>
      <c r="E77" s="4" t="s">
        <v>0</v>
      </c>
    </row>
  </sheetData>
  <conditionalFormatting sqref="A24:A32">
    <cfRule type="duplicateValues" dxfId="58" priority="24"/>
    <cfRule type="duplicateValues" dxfId="57" priority="25"/>
  </conditionalFormatting>
  <conditionalFormatting sqref="B24">
    <cfRule type="duplicateValues" dxfId="56" priority="26"/>
  </conditionalFormatting>
  <conditionalFormatting sqref="B39:B60 C2:C7">
    <cfRule type="duplicateValues" dxfId="55" priority="28"/>
  </conditionalFormatting>
  <conditionalFormatting sqref="B40">
    <cfRule type="duplicateValues" dxfId="54" priority="20"/>
    <cfRule type="duplicateValues" dxfId="53" priority="21"/>
    <cfRule type="duplicateValues" dxfId="52" priority="22"/>
    <cfRule type="duplicateValues" dxfId="51" priority="23"/>
  </conditionalFormatting>
  <conditionalFormatting sqref="B46:B53">
    <cfRule type="cellIs" dxfId="50" priority="9" operator="equal">
      <formula>"RQ OFF"</formula>
    </cfRule>
    <cfRule type="cellIs" dxfId="49" priority="10" operator="equal">
      <formula>45944</formula>
    </cfRule>
    <cfRule type="cellIs" dxfId="48" priority="11" operator="equal">
      <formula>"off req"</formula>
    </cfRule>
    <cfRule type="cellIs" dxfId="47" priority="12" operator="equal">
      <formula>"off"</formula>
    </cfRule>
    <cfRule type="cellIs" dxfId="46" priority="17" operator="equal">
      <formula>"A.L"</formula>
    </cfRule>
    <cfRule type="cellIs" dxfId="45" priority="18" operator="equal">
      <formula>"COMP."</formula>
    </cfRule>
  </conditionalFormatting>
  <conditionalFormatting sqref="B46:B54">
    <cfRule type="duplicateValues" dxfId="44" priority="16"/>
  </conditionalFormatting>
  <conditionalFormatting sqref="B46:B56">
    <cfRule type="duplicateValues" dxfId="43" priority="14"/>
    <cfRule type="duplicateValues" dxfId="42" priority="15"/>
  </conditionalFormatting>
  <conditionalFormatting sqref="B46:B58">
    <cfRule type="duplicateValues" dxfId="41" priority="13"/>
    <cfRule type="duplicateValues" dxfId="40" priority="19"/>
  </conditionalFormatting>
  <conditionalFormatting sqref="B56">
    <cfRule type="cellIs" dxfId="39" priority="2" operator="equal">
      <formula>"RQ OFF"</formula>
    </cfRule>
    <cfRule type="cellIs" dxfId="38" priority="3" operator="equal">
      <formula>45944</formula>
    </cfRule>
    <cfRule type="cellIs" dxfId="37" priority="4" operator="equal">
      <formula>"off req"</formula>
    </cfRule>
    <cfRule type="cellIs" dxfId="36" priority="5" operator="equal">
      <formula>"off"</formula>
    </cfRule>
    <cfRule type="duplicateValues" dxfId="35" priority="6"/>
    <cfRule type="cellIs" dxfId="34" priority="7" operator="equal">
      <formula>"A.L"</formula>
    </cfRule>
    <cfRule type="cellIs" dxfId="33" priority="8" operator="equal">
      <formula>"COMP."</formula>
    </cfRule>
  </conditionalFormatting>
  <conditionalFormatting sqref="B64:C66">
    <cfRule type="duplicateValues" dxfId="32" priority="1"/>
  </conditionalFormatting>
  <conditionalFormatting sqref="C1:C60">
    <cfRule type="duplicateValues" dxfId="31" priority="30"/>
  </conditionalFormatting>
  <conditionalFormatting sqref="M24">
    <cfRule type="duplicateValues" dxfId="30" priority="27"/>
  </conditionalFormatting>
  <hyperlinks>
    <hyperlink ref="L7" r:id="rId1" xr:uid="{B5CA78C1-0396-4617-A292-819D46AEE425}"/>
    <hyperlink ref="L10" r:id="rId2" xr:uid="{50177D7D-1D3F-4D48-AE6F-D9A8CB5E144A}"/>
    <hyperlink ref="L8" r:id="rId3" xr:uid="{60292B68-F862-4EFA-A676-7CA8531E99F0}"/>
    <hyperlink ref="L33" r:id="rId4" xr:uid="{FB894A73-63F0-49BC-A48C-0903BD08C0D8}"/>
    <hyperlink ref="L9" r:id="rId5" xr:uid="{2B4E177C-3DA8-430E-BF23-8F92E0AC2CCE}"/>
    <hyperlink ref="L31" r:id="rId6" xr:uid="{33779958-7624-4DB5-AE66-719621FBE92B}"/>
    <hyperlink ref="L3" r:id="rId7" tooltip="mailto:ali.bahatsaeed@vodafone.com.eg" display="mailto:ali.bahatsaeed@vodafone.com.eg" xr:uid="{5207D6A8-A533-4F4D-97EE-D3E7DA20ABFC}"/>
    <hyperlink ref="L25" r:id="rId8" tooltip="mailto:aya.ezzatmahmoud@vodafone.com.eg" display="mailto:aya.ezzatmahmoud@vodafone.com.eg" xr:uid="{F135B61D-AD47-427F-9B1B-A684A2F762FA}"/>
    <hyperlink ref="L5" r:id="rId9" tooltip="mailto:ahmed.samehrizk@vodafone.com" display="mailto:ahmed.samehrizk@vodafone.com" xr:uid="{F6ABB90C-4E32-472F-BA87-228418A78D8B}"/>
    <hyperlink ref="L13" r:id="rId10" tooltip="mailto:farha.ashrafaboelmagd@vodafone.com.eg" display="mailto:farha.ashrafaboelmagd@vodafone.com.eg" xr:uid="{CB1AE0E4-7603-4472-B711-5CA27726A004}"/>
    <hyperlink ref="L16" r:id="rId11" tooltip="mailto:mariam.waleedmohamed@vodafone.com.eg" display="mailto:mariam.waleedmohamed@vodafone.com.eg" xr:uid="{80C80797-C8F0-4C89-BE62-B5A76E53AF3B}"/>
    <hyperlink ref="L29" r:id="rId12" tooltip="mailto:tarek.aymanahmed@vodafone.com.eg" display="mailto:tarek.aymanahmed@vodafone.com.eg" xr:uid="{9186DD11-1BF9-4650-9044-37F627271770}"/>
    <hyperlink ref="L34" r:id="rId13" xr:uid="{B658D454-21CF-4133-A3E9-45DF857EFC00}"/>
    <hyperlink ref="L35" r:id="rId14" xr:uid="{5E44F11D-CFCF-4196-9F93-427E6A53460B}"/>
    <hyperlink ref="L36" r:id="rId15" xr:uid="{D521D59D-1CC0-4D9D-A5F3-D23A47177116}"/>
    <hyperlink ref="L37" r:id="rId16" xr:uid="{0A1F04AE-8B0F-4CE3-BBEA-5C0FE4B77657}"/>
    <hyperlink ref="L38" r:id="rId17" xr:uid="{A73849FB-5F2B-448E-B9F1-AD400C866B26}"/>
    <hyperlink ref="L39" r:id="rId18" xr:uid="{0A81C317-9FC8-4F5D-A90B-D4192841B33E}"/>
    <hyperlink ref="L40" r:id="rId19" xr:uid="{E7D4F1AF-E2BE-4667-BD20-846FF9A48175}"/>
  </hyperlinks>
  <pageMargins left="0.7" right="0.7" top="0.75" bottom="0.75" header="0.3" footer="0.3"/>
  <pageSetup orientation="portrait" r:id="rId20"/>
  <headerFooter>
    <oddFooter>&amp;L_x000D_&amp;1#&amp;"Aptos"&amp;7&amp;K000000 C2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C28A-471F-40C7-A52E-FDE98E98EEC5}">
  <dimension ref="A1:M77"/>
  <sheetViews>
    <sheetView workbookViewId="0">
      <selection activeCell="C1" sqref="C1:C77"/>
    </sheetView>
  </sheetViews>
  <sheetFormatPr defaultRowHeight="15" x14ac:dyDescent="0.25"/>
  <cols>
    <col min="1" max="1" width="34.85546875" style="32" bestFit="1" customWidth="1"/>
    <col min="2" max="2" width="41" style="32" bestFit="1" customWidth="1"/>
    <col min="3" max="3" width="22.42578125" style="32" bestFit="1" customWidth="1"/>
    <col min="4" max="4" width="30.140625" style="32" bestFit="1" customWidth="1"/>
    <col min="5" max="5" width="25" style="32" bestFit="1" customWidth="1"/>
    <col min="6" max="6" width="12" style="32" bestFit="1" customWidth="1"/>
    <col min="7" max="7" width="5.5703125" style="32" bestFit="1" customWidth="1"/>
    <col min="8" max="8" width="10.140625" style="32" bestFit="1" customWidth="1"/>
    <col min="9" max="9" width="8.42578125" style="32" bestFit="1" customWidth="1"/>
    <col min="10" max="10" width="14.28515625" style="32" bestFit="1" customWidth="1"/>
    <col min="11" max="11" width="39.85546875" style="32" bestFit="1" customWidth="1"/>
    <col min="12" max="12" width="52.28515625" style="32" bestFit="1" customWidth="1"/>
    <col min="13" max="13" width="22.42578125" style="32" bestFit="1" customWidth="1"/>
    <col min="14" max="16384" width="9.140625" style="32"/>
  </cols>
  <sheetData>
    <row r="1" spans="1:13" ht="15.75" x14ac:dyDescent="0.25">
      <c r="A1" s="22" t="s">
        <v>46</v>
      </c>
      <c r="B1" s="22" t="s">
        <v>48</v>
      </c>
      <c r="C1" s="22" t="s">
        <v>47</v>
      </c>
      <c r="D1" s="22" t="s">
        <v>49</v>
      </c>
      <c r="E1" s="22" t="s">
        <v>50</v>
      </c>
      <c r="F1" s="22" t="s">
        <v>44</v>
      </c>
      <c r="G1" s="22" t="s">
        <v>51</v>
      </c>
      <c r="H1" s="22" t="s">
        <v>52</v>
      </c>
      <c r="I1" s="22" t="s">
        <v>53</v>
      </c>
      <c r="J1" s="22" t="s">
        <v>54</v>
      </c>
      <c r="K1" s="22" t="s">
        <v>55</v>
      </c>
      <c r="L1" s="22" t="s">
        <v>56</v>
      </c>
      <c r="M1" s="22" t="s">
        <v>47</v>
      </c>
    </row>
    <row r="2" spans="1:13" ht="15.75" x14ac:dyDescent="0.25">
      <c r="A2" s="23" t="s">
        <v>57</v>
      </c>
      <c r="B2" s="24" t="s">
        <v>41</v>
      </c>
      <c r="C2" s="24" t="s">
        <v>58</v>
      </c>
      <c r="D2" s="23" t="s">
        <v>33</v>
      </c>
      <c r="E2" s="23" t="s">
        <v>0</v>
      </c>
      <c r="F2" s="23" t="s">
        <v>59</v>
      </c>
      <c r="G2" s="23" t="s">
        <v>60</v>
      </c>
      <c r="H2" s="23" t="s">
        <v>61</v>
      </c>
      <c r="I2" s="23" t="s">
        <v>62</v>
      </c>
      <c r="J2" s="23">
        <v>1028671298</v>
      </c>
      <c r="K2" s="23" t="s">
        <v>63</v>
      </c>
      <c r="L2" s="23" t="s">
        <v>64</v>
      </c>
      <c r="M2" s="23" t="s">
        <v>58</v>
      </c>
    </row>
    <row r="3" spans="1:13" ht="15.75" x14ac:dyDescent="0.25">
      <c r="A3" s="23" t="s">
        <v>65</v>
      </c>
      <c r="B3" s="24" t="s">
        <v>67</v>
      </c>
      <c r="C3" s="24" t="s">
        <v>66</v>
      </c>
      <c r="D3" s="23" t="s">
        <v>33</v>
      </c>
      <c r="E3" s="23" t="s">
        <v>0</v>
      </c>
      <c r="F3" s="23" t="s">
        <v>68</v>
      </c>
      <c r="G3" s="23" t="s">
        <v>60</v>
      </c>
      <c r="H3" s="23" t="s">
        <v>61</v>
      </c>
      <c r="I3" s="23" t="s">
        <v>62</v>
      </c>
      <c r="J3" s="23">
        <v>1024811820</v>
      </c>
      <c r="K3" s="23" t="s">
        <v>63</v>
      </c>
      <c r="L3" s="25" t="s">
        <v>69</v>
      </c>
      <c r="M3" s="23" t="s">
        <v>66</v>
      </c>
    </row>
    <row r="4" spans="1:13" ht="15.75" x14ac:dyDescent="0.25">
      <c r="A4" s="23" t="s">
        <v>70</v>
      </c>
      <c r="B4" s="24" t="s">
        <v>72</v>
      </c>
      <c r="C4" s="24" t="s">
        <v>71</v>
      </c>
      <c r="D4" s="23" t="s">
        <v>33</v>
      </c>
      <c r="E4" s="23" t="s">
        <v>0</v>
      </c>
      <c r="F4" s="23" t="s">
        <v>59</v>
      </c>
      <c r="G4" s="23" t="s">
        <v>60</v>
      </c>
      <c r="H4" s="23" t="s">
        <v>61</v>
      </c>
      <c r="I4" s="23" t="s">
        <v>62</v>
      </c>
      <c r="J4" s="23">
        <v>1068648163</v>
      </c>
      <c r="K4" s="23" t="s">
        <v>63</v>
      </c>
      <c r="L4" s="23" t="s">
        <v>73</v>
      </c>
      <c r="M4" s="23" t="s">
        <v>71</v>
      </c>
    </row>
    <row r="5" spans="1:13" ht="15.75" x14ac:dyDescent="0.25">
      <c r="A5" s="23" t="s">
        <v>74</v>
      </c>
      <c r="B5" s="24" t="s">
        <v>76</v>
      </c>
      <c r="C5" s="24" t="s">
        <v>75</v>
      </c>
      <c r="D5" s="23" t="s">
        <v>33</v>
      </c>
      <c r="E5" s="23" t="s">
        <v>0</v>
      </c>
      <c r="F5" s="23" t="s">
        <v>68</v>
      </c>
      <c r="G5" s="23" t="s">
        <v>60</v>
      </c>
      <c r="H5" s="23" t="s">
        <v>61</v>
      </c>
      <c r="I5" s="23" t="s">
        <v>62</v>
      </c>
      <c r="J5" s="23">
        <v>1090816081</v>
      </c>
      <c r="K5" s="23" t="s">
        <v>63</v>
      </c>
      <c r="L5" s="25" t="s">
        <v>77</v>
      </c>
      <c r="M5" s="23" t="s">
        <v>75</v>
      </c>
    </row>
    <row r="6" spans="1:13" ht="15.75" x14ac:dyDescent="0.25">
      <c r="A6" s="23" t="s">
        <v>78</v>
      </c>
      <c r="B6" s="24" t="s">
        <v>80</v>
      </c>
      <c r="C6" s="24" t="s">
        <v>79</v>
      </c>
      <c r="D6" s="23" t="s">
        <v>33</v>
      </c>
      <c r="E6" s="23" t="s">
        <v>0</v>
      </c>
      <c r="F6" s="23" t="s">
        <v>68</v>
      </c>
      <c r="G6" s="23" t="s">
        <v>60</v>
      </c>
      <c r="H6" s="23" t="s">
        <v>61</v>
      </c>
      <c r="I6" s="23" t="s">
        <v>62</v>
      </c>
      <c r="J6" s="23">
        <v>1221559609</v>
      </c>
      <c r="K6" s="23" t="s">
        <v>63</v>
      </c>
      <c r="L6" s="23" t="s">
        <v>81</v>
      </c>
      <c r="M6" s="23" t="s">
        <v>79</v>
      </c>
    </row>
    <row r="7" spans="1:13" ht="15.75" x14ac:dyDescent="0.25">
      <c r="A7" s="15" t="s">
        <v>82</v>
      </c>
      <c r="B7" s="24" t="s">
        <v>84</v>
      </c>
      <c r="C7" s="24" t="s">
        <v>83</v>
      </c>
      <c r="D7" s="23" t="s">
        <v>33</v>
      </c>
      <c r="E7" s="23" t="s">
        <v>0</v>
      </c>
      <c r="F7" s="26" t="s">
        <v>68</v>
      </c>
      <c r="G7" s="26" t="s">
        <v>60</v>
      </c>
      <c r="H7" s="26" t="s">
        <v>61</v>
      </c>
      <c r="I7" s="26" t="s">
        <v>62</v>
      </c>
      <c r="J7" s="15">
        <v>1014370411</v>
      </c>
      <c r="K7" s="26" t="s">
        <v>63</v>
      </c>
      <c r="L7" s="15" t="s">
        <v>85</v>
      </c>
      <c r="M7" s="15" t="s">
        <v>83</v>
      </c>
    </row>
    <row r="8" spans="1:13" ht="15.75" x14ac:dyDescent="0.25">
      <c r="A8" s="15" t="s">
        <v>86</v>
      </c>
      <c r="B8" s="24" t="s">
        <v>38</v>
      </c>
      <c r="C8" s="24" t="s">
        <v>87</v>
      </c>
      <c r="D8" s="23" t="s">
        <v>33</v>
      </c>
      <c r="E8" s="23" t="s">
        <v>0</v>
      </c>
      <c r="F8" s="26" t="s">
        <v>68</v>
      </c>
      <c r="G8" s="26" t="s">
        <v>60</v>
      </c>
      <c r="H8" s="26" t="s">
        <v>61</v>
      </c>
      <c r="I8" s="26" t="s">
        <v>62</v>
      </c>
      <c r="J8" s="15">
        <v>1126752132</v>
      </c>
      <c r="K8" s="26" t="s">
        <v>63</v>
      </c>
      <c r="L8" s="15" t="s">
        <v>88</v>
      </c>
      <c r="M8" s="15" t="s">
        <v>87</v>
      </c>
    </row>
    <row r="9" spans="1:13" ht="15.75" x14ac:dyDescent="0.25">
      <c r="A9" s="15" t="s">
        <v>89</v>
      </c>
      <c r="B9" s="24" t="s">
        <v>37</v>
      </c>
      <c r="C9" s="24" t="s">
        <v>90</v>
      </c>
      <c r="D9" s="23" t="s">
        <v>33</v>
      </c>
      <c r="E9" s="23" t="s">
        <v>0</v>
      </c>
      <c r="F9" s="26" t="s">
        <v>68</v>
      </c>
      <c r="G9" s="26" t="s">
        <v>60</v>
      </c>
      <c r="H9" s="26" t="s">
        <v>61</v>
      </c>
      <c r="I9" s="26" t="s">
        <v>62</v>
      </c>
      <c r="J9" s="15">
        <v>1221731201</v>
      </c>
      <c r="K9" s="26" t="s">
        <v>63</v>
      </c>
      <c r="L9" s="15" t="s">
        <v>91</v>
      </c>
      <c r="M9" s="15" t="s">
        <v>90</v>
      </c>
    </row>
    <row r="10" spans="1:13" ht="15.75" x14ac:dyDescent="0.25">
      <c r="A10" s="15" t="s">
        <v>92</v>
      </c>
      <c r="B10" s="24" t="s">
        <v>36</v>
      </c>
      <c r="C10" s="24" t="s">
        <v>93</v>
      </c>
      <c r="D10" s="23" t="s">
        <v>33</v>
      </c>
      <c r="E10" s="23" t="s">
        <v>0</v>
      </c>
      <c r="F10" s="26" t="s">
        <v>68</v>
      </c>
      <c r="G10" s="26" t="s">
        <v>60</v>
      </c>
      <c r="H10" s="26" t="s">
        <v>61</v>
      </c>
      <c r="I10" s="26" t="s">
        <v>62</v>
      </c>
      <c r="J10" s="15">
        <v>1555187430</v>
      </c>
      <c r="K10" s="26" t="s">
        <v>63</v>
      </c>
      <c r="L10" s="15" t="s">
        <v>94</v>
      </c>
      <c r="M10" s="15" t="s">
        <v>93</v>
      </c>
    </row>
    <row r="11" spans="1:13" ht="15.75" x14ac:dyDescent="0.25">
      <c r="A11" s="23" t="s">
        <v>95</v>
      </c>
      <c r="B11" s="23" t="s">
        <v>97</v>
      </c>
      <c r="C11" s="23" t="s">
        <v>96</v>
      </c>
      <c r="D11" s="23" t="s">
        <v>22</v>
      </c>
      <c r="E11" s="23" t="s">
        <v>0</v>
      </c>
      <c r="F11" s="23" t="s">
        <v>59</v>
      </c>
      <c r="G11" s="23" t="s">
        <v>60</v>
      </c>
      <c r="H11" s="23" t="s">
        <v>61</v>
      </c>
      <c r="I11" s="23" t="s">
        <v>98</v>
      </c>
      <c r="J11" s="23">
        <v>1065210836</v>
      </c>
      <c r="K11" s="23" t="s">
        <v>63</v>
      </c>
      <c r="L11" s="23" t="s">
        <v>99</v>
      </c>
      <c r="M11" s="23" t="s">
        <v>96</v>
      </c>
    </row>
    <row r="12" spans="1:13" ht="15.75" x14ac:dyDescent="0.25">
      <c r="A12" s="23" t="s">
        <v>100</v>
      </c>
      <c r="B12" s="23" t="s">
        <v>24</v>
      </c>
      <c r="C12" s="23" t="s">
        <v>101</v>
      </c>
      <c r="D12" s="23" t="s">
        <v>22</v>
      </c>
      <c r="E12" s="23" t="s">
        <v>0</v>
      </c>
      <c r="F12" s="23" t="s">
        <v>59</v>
      </c>
      <c r="G12" s="23" t="s">
        <v>60</v>
      </c>
      <c r="H12" s="23" t="s">
        <v>61</v>
      </c>
      <c r="I12" s="23" t="s">
        <v>98</v>
      </c>
      <c r="J12" s="23">
        <v>1080946604</v>
      </c>
      <c r="K12" s="23" t="s">
        <v>63</v>
      </c>
      <c r="L12" s="23" t="s">
        <v>102</v>
      </c>
      <c r="M12" s="23" t="s">
        <v>101</v>
      </c>
    </row>
    <row r="13" spans="1:13" ht="15.75" x14ac:dyDescent="0.25">
      <c r="A13" s="23" t="s">
        <v>103</v>
      </c>
      <c r="B13" s="23" t="s">
        <v>30</v>
      </c>
      <c r="C13" s="23" t="s">
        <v>104</v>
      </c>
      <c r="D13" s="23" t="s">
        <v>22</v>
      </c>
      <c r="E13" s="23" t="s">
        <v>0</v>
      </c>
      <c r="F13" s="23" t="s">
        <v>68</v>
      </c>
      <c r="G13" s="23" t="s">
        <v>60</v>
      </c>
      <c r="H13" s="23" t="s">
        <v>61</v>
      </c>
      <c r="I13" s="23" t="s">
        <v>62</v>
      </c>
      <c r="J13" s="23">
        <v>1119093689</v>
      </c>
      <c r="K13" s="23" t="s">
        <v>63</v>
      </c>
      <c r="L13" s="25" t="s">
        <v>105</v>
      </c>
      <c r="M13" s="23" t="s">
        <v>104</v>
      </c>
    </row>
    <row r="14" spans="1:13" ht="15.75" x14ac:dyDescent="0.25">
      <c r="A14" s="23" t="s">
        <v>106</v>
      </c>
      <c r="B14" s="23" t="s">
        <v>108</v>
      </c>
      <c r="C14" s="23" t="s">
        <v>107</v>
      </c>
      <c r="D14" s="23" t="s">
        <v>22</v>
      </c>
      <c r="E14" s="23" t="s">
        <v>0</v>
      </c>
      <c r="F14" s="23" t="s">
        <v>68</v>
      </c>
      <c r="G14" s="23" t="s">
        <v>60</v>
      </c>
      <c r="H14" s="23" t="s">
        <v>61</v>
      </c>
      <c r="I14" s="23" t="s">
        <v>62</v>
      </c>
      <c r="J14" s="23">
        <v>1015163198</v>
      </c>
      <c r="K14" s="23" t="s">
        <v>63</v>
      </c>
      <c r="L14" s="23" t="s">
        <v>109</v>
      </c>
      <c r="M14" s="23" t="s">
        <v>107</v>
      </c>
    </row>
    <row r="15" spans="1:13" ht="15.75" x14ac:dyDescent="0.25">
      <c r="A15" s="23" t="s">
        <v>110</v>
      </c>
      <c r="B15" s="23" t="s">
        <v>27</v>
      </c>
      <c r="C15" s="23" t="s">
        <v>111</v>
      </c>
      <c r="D15" s="23" t="s">
        <v>22</v>
      </c>
      <c r="E15" s="23" t="s">
        <v>0</v>
      </c>
      <c r="F15" s="23" t="s">
        <v>68</v>
      </c>
      <c r="G15" s="23" t="s">
        <v>60</v>
      </c>
      <c r="H15" s="23" t="s">
        <v>61</v>
      </c>
      <c r="I15" s="23" t="s">
        <v>62</v>
      </c>
      <c r="J15" s="23">
        <v>1229307136</v>
      </c>
      <c r="K15" s="23" t="s">
        <v>63</v>
      </c>
      <c r="L15" s="23" t="s">
        <v>112</v>
      </c>
      <c r="M15" s="23" t="s">
        <v>111</v>
      </c>
    </row>
    <row r="16" spans="1:13" ht="15.75" x14ac:dyDescent="0.25">
      <c r="A16" s="23" t="s">
        <v>113</v>
      </c>
      <c r="B16" s="23" t="s">
        <v>115</v>
      </c>
      <c r="C16" s="23" t="s">
        <v>114</v>
      </c>
      <c r="D16" s="23" t="s">
        <v>22</v>
      </c>
      <c r="E16" s="23" t="s">
        <v>0</v>
      </c>
      <c r="F16" s="23" t="s">
        <v>68</v>
      </c>
      <c r="G16" s="23" t="s">
        <v>60</v>
      </c>
      <c r="H16" s="23" t="s">
        <v>61</v>
      </c>
      <c r="I16" s="23" t="s">
        <v>62</v>
      </c>
      <c r="J16" s="23">
        <v>1552599351</v>
      </c>
      <c r="K16" s="23" t="s">
        <v>63</v>
      </c>
      <c r="L16" s="25" t="s">
        <v>116</v>
      </c>
      <c r="M16" s="23" t="s">
        <v>114</v>
      </c>
    </row>
    <row r="17" spans="1:13" ht="15.75" x14ac:dyDescent="0.25">
      <c r="A17" s="23" t="s">
        <v>117</v>
      </c>
      <c r="B17" s="23" t="s">
        <v>119</v>
      </c>
      <c r="C17" s="23" t="s">
        <v>118</v>
      </c>
      <c r="D17" s="23" t="s">
        <v>22</v>
      </c>
      <c r="E17" s="23" t="s">
        <v>0</v>
      </c>
      <c r="F17" s="23" t="s">
        <v>68</v>
      </c>
      <c r="G17" s="23" t="s">
        <v>60</v>
      </c>
      <c r="H17" s="23" t="s">
        <v>61</v>
      </c>
      <c r="I17" s="23" t="s">
        <v>62</v>
      </c>
      <c r="J17" s="23">
        <v>1116971828</v>
      </c>
      <c r="K17" s="23" t="s">
        <v>63</v>
      </c>
      <c r="L17" s="23" t="s">
        <v>120</v>
      </c>
      <c r="M17" s="23" t="s">
        <v>118</v>
      </c>
    </row>
    <row r="18" spans="1:13" ht="15.75" x14ac:dyDescent="0.25">
      <c r="A18" s="23" t="s">
        <v>121</v>
      </c>
      <c r="B18" s="23" t="s">
        <v>29</v>
      </c>
      <c r="C18" s="23" t="s">
        <v>122</v>
      </c>
      <c r="D18" s="23" t="s">
        <v>22</v>
      </c>
      <c r="E18" s="23" t="s">
        <v>0</v>
      </c>
      <c r="F18" s="23" t="s">
        <v>68</v>
      </c>
      <c r="G18" s="23" t="s">
        <v>60</v>
      </c>
      <c r="H18" s="23" t="s">
        <v>61</v>
      </c>
      <c r="I18" s="23" t="s">
        <v>62</v>
      </c>
      <c r="J18" s="23">
        <v>1069779886</v>
      </c>
      <c r="K18" s="23" t="s">
        <v>63</v>
      </c>
      <c r="L18" s="23" t="s">
        <v>123</v>
      </c>
      <c r="M18" s="23" t="s">
        <v>122</v>
      </c>
    </row>
    <row r="19" spans="1:13" ht="15.75" x14ac:dyDescent="0.25">
      <c r="A19" s="23" t="s">
        <v>124</v>
      </c>
      <c r="B19" s="23" t="s">
        <v>126</v>
      </c>
      <c r="C19" s="23" t="s">
        <v>125</v>
      </c>
      <c r="D19" s="23" t="s">
        <v>22</v>
      </c>
      <c r="E19" s="23" t="s">
        <v>0</v>
      </c>
      <c r="F19" s="23" t="s">
        <v>68</v>
      </c>
      <c r="G19" s="23" t="s">
        <v>60</v>
      </c>
      <c r="H19" s="23" t="s">
        <v>61</v>
      </c>
      <c r="I19" s="23" t="s">
        <v>62</v>
      </c>
      <c r="J19" s="23">
        <v>1014629259</v>
      </c>
      <c r="K19" s="23" t="s">
        <v>63</v>
      </c>
      <c r="L19" s="23" t="s">
        <v>127</v>
      </c>
      <c r="M19" s="23" t="s">
        <v>125</v>
      </c>
    </row>
    <row r="20" spans="1:13" ht="15.75" x14ac:dyDescent="0.25">
      <c r="A20" s="23" t="s">
        <v>128</v>
      </c>
      <c r="B20" s="23" t="s">
        <v>130</v>
      </c>
      <c r="C20" s="23" t="s">
        <v>129</v>
      </c>
      <c r="D20" s="23" t="s">
        <v>22</v>
      </c>
      <c r="E20" s="23" t="s">
        <v>0</v>
      </c>
      <c r="F20" s="23" t="s">
        <v>131</v>
      </c>
      <c r="G20" s="23" t="s">
        <v>60</v>
      </c>
      <c r="H20" s="23" t="s">
        <v>61</v>
      </c>
      <c r="I20" s="23" t="s">
        <v>98</v>
      </c>
      <c r="J20" s="23">
        <v>1001017533</v>
      </c>
      <c r="K20" s="23" t="s">
        <v>63</v>
      </c>
      <c r="L20" s="23" t="s">
        <v>132</v>
      </c>
      <c r="M20" s="23" t="s">
        <v>129</v>
      </c>
    </row>
    <row r="21" spans="1:13" ht="15.75" x14ac:dyDescent="0.25">
      <c r="A21" s="23" t="s">
        <v>133</v>
      </c>
      <c r="B21" s="23" t="s">
        <v>28</v>
      </c>
      <c r="C21" s="23" t="s">
        <v>134</v>
      </c>
      <c r="D21" s="23" t="s">
        <v>22</v>
      </c>
      <c r="E21" s="23" t="s">
        <v>0</v>
      </c>
      <c r="F21" s="23" t="s">
        <v>131</v>
      </c>
      <c r="G21" s="23" t="s">
        <v>60</v>
      </c>
      <c r="H21" s="23" t="s">
        <v>61</v>
      </c>
      <c r="I21" s="23" t="s">
        <v>62</v>
      </c>
      <c r="J21" s="23">
        <v>1278305847</v>
      </c>
      <c r="K21" s="23" t="s">
        <v>63</v>
      </c>
      <c r="L21" s="23" t="s">
        <v>135</v>
      </c>
      <c r="M21" s="23" t="s">
        <v>134</v>
      </c>
    </row>
    <row r="22" spans="1:13" ht="15.75" x14ac:dyDescent="0.25">
      <c r="A22" s="23" t="s">
        <v>136</v>
      </c>
      <c r="B22" s="23" t="s">
        <v>32</v>
      </c>
      <c r="C22" s="23" t="s">
        <v>137</v>
      </c>
      <c r="D22" s="23" t="s">
        <v>22</v>
      </c>
      <c r="E22" s="23" t="s">
        <v>0</v>
      </c>
      <c r="F22" s="23" t="s">
        <v>68</v>
      </c>
      <c r="G22" s="23" t="s">
        <v>60</v>
      </c>
      <c r="H22" s="23" t="s">
        <v>61</v>
      </c>
      <c r="I22" s="23" t="s">
        <v>62</v>
      </c>
      <c r="J22" s="23">
        <v>1069779886</v>
      </c>
      <c r="K22" s="23" t="s">
        <v>63</v>
      </c>
      <c r="L22" s="23" t="s">
        <v>138</v>
      </c>
      <c r="M22" s="23" t="s">
        <v>137</v>
      </c>
    </row>
    <row r="23" spans="1:13" ht="15.75" x14ac:dyDescent="0.25">
      <c r="A23" s="26" t="s">
        <v>128</v>
      </c>
      <c r="B23" s="23" t="s">
        <v>139</v>
      </c>
      <c r="C23" s="23" t="s">
        <v>129</v>
      </c>
      <c r="D23" s="23" t="s">
        <v>22</v>
      </c>
      <c r="E23" s="23" t="s">
        <v>0</v>
      </c>
      <c r="F23" s="26" t="s">
        <v>131</v>
      </c>
      <c r="G23" s="26" t="s">
        <v>60</v>
      </c>
      <c r="H23" s="26" t="s">
        <v>61</v>
      </c>
      <c r="I23" s="26" t="s">
        <v>98</v>
      </c>
      <c r="J23" s="26">
        <v>1001017533</v>
      </c>
      <c r="K23" s="26" t="s">
        <v>63</v>
      </c>
      <c r="L23" s="26" t="s">
        <v>132</v>
      </c>
      <c r="M23" s="26" t="s">
        <v>129</v>
      </c>
    </row>
    <row r="24" spans="1:13" ht="15.75" x14ac:dyDescent="0.25">
      <c r="A24" s="23" t="s">
        <v>140</v>
      </c>
      <c r="B24" s="23" t="s">
        <v>142</v>
      </c>
      <c r="C24" s="23" t="s">
        <v>141</v>
      </c>
      <c r="D24" s="23" t="s">
        <v>10</v>
      </c>
      <c r="E24" s="23" t="s">
        <v>0</v>
      </c>
      <c r="F24" s="23" t="s">
        <v>68</v>
      </c>
      <c r="G24" s="23" t="s">
        <v>60</v>
      </c>
      <c r="H24" s="23" t="s">
        <v>61</v>
      </c>
      <c r="I24" s="23" t="s">
        <v>62</v>
      </c>
      <c r="J24" s="23">
        <v>1062132517</v>
      </c>
      <c r="K24" s="23" t="s">
        <v>63</v>
      </c>
      <c r="L24" s="23" t="s">
        <v>143</v>
      </c>
      <c r="M24" s="23" t="s">
        <v>141</v>
      </c>
    </row>
    <row r="25" spans="1:13" ht="15.75" x14ac:dyDescent="0.25">
      <c r="A25" s="23" t="s">
        <v>144</v>
      </c>
      <c r="B25" s="23" t="s">
        <v>26</v>
      </c>
      <c r="C25" s="23" t="s">
        <v>145</v>
      </c>
      <c r="D25" s="23" t="s">
        <v>22</v>
      </c>
      <c r="E25" s="23" t="s">
        <v>0</v>
      </c>
      <c r="F25" s="23" t="s">
        <v>68</v>
      </c>
      <c r="G25" s="23" t="s">
        <v>60</v>
      </c>
      <c r="H25" s="23" t="s">
        <v>61</v>
      </c>
      <c r="I25" s="23" t="s">
        <v>62</v>
      </c>
      <c r="J25" s="23">
        <v>1016937937</v>
      </c>
      <c r="K25" s="23" t="s">
        <v>63</v>
      </c>
      <c r="L25" s="25" t="s">
        <v>146</v>
      </c>
      <c r="M25" s="23" t="s">
        <v>145</v>
      </c>
    </row>
    <row r="26" spans="1:13" ht="15.75" x14ac:dyDescent="0.25">
      <c r="A26" s="23" t="s">
        <v>147</v>
      </c>
      <c r="B26" s="23" t="s">
        <v>149</v>
      </c>
      <c r="C26" s="23" t="s">
        <v>148</v>
      </c>
      <c r="D26" s="23" t="s">
        <v>10</v>
      </c>
      <c r="E26" s="23" t="s">
        <v>0</v>
      </c>
      <c r="F26" s="23" t="s">
        <v>131</v>
      </c>
      <c r="G26" s="23" t="s">
        <v>60</v>
      </c>
      <c r="H26" s="23" t="s">
        <v>61</v>
      </c>
      <c r="I26" s="23" t="s">
        <v>62</v>
      </c>
      <c r="J26" s="23">
        <v>1003595311</v>
      </c>
      <c r="K26" s="23" t="s">
        <v>63</v>
      </c>
      <c r="L26" s="23" t="s">
        <v>150</v>
      </c>
      <c r="M26" s="23" t="s">
        <v>148</v>
      </c>
    </row>
    <row r="27" spans="1:13" ht="15.75" x14ac:dyDescent="0.25">
      <c r="A27" s="23" t="s">
        <v>151</v>
      </c>
      <c r="B27" s="23" t="s">
        <v>25</v>
      </c>
      <c r="C27" s="23" t="s">
        <v>152</v>
      </c>
      <c r="D27" s="23" t="s">
        <v>22</v>
      </c>
      <c r="E27" s="23" t="s">
        <v>0</v>
      </c>
      <c r="F27" s="23" t="s">
        <v>68</v>
      </c>
      <c r="G27" s="23" t="s">
        <v>60</v>
      </c>
      <c r="H27" s="23" t="s">
        <v>61</v>
      </c>
      <c r="I27" s="23" t="s">
        <v>62</v>
      </c>
      <c r="J27" s="23">
        <v>1146425174</v>
      </c>
      <c r="K27" s="23" t="s">
        <v>63</v>
      </c>
      <c r="L27" s="23" t="s">
        <v>153</v>
      </c>
      <c r="M27" s="23" t="s">
        <v>152</v>
      </c>
    </row>
    <row r="28" spans="1:13" ht="15.75" x14ac:dyDescent="0.25">
      <c r="A28" s="23" t="s">
        <v>154</v>
      </c>
      <c r="B28" s="23" t="s">
        <v>31</v>
      </c>
      <c r="C28" s="23" t="s">
        <v>155</v>
      </c>
      <c r="D28" s="23" t="s">
        <v>22</v>
      </c>
      <c r="E28" s="23" t="s">
        <v>0</v>
      </c>
      <c r="F28" s="23" t="s">
        <v>68</v>
      </c>
      <c r="G28" s="23" t="s">
        <v>60</v>
      </c>
      <c r="H28" s="23" t="s">
        <v>61</v>
      </c>
      <c r="I28" s="23" t="s">
        <v>98</v>
      </c>
      <c r="J28" s="23">
        <v>1015584162</v>
      </c>
      <c r="K28" s="23" t="s">
        <v>63</v>
      </c>
      <c r="L28" s="23" t="s">
        <v>156</v>
      </c>
      <c r="M28" s="23" t="s">
        <v>155</v>
      </c>
    </row>
    <row r="29" spans="1:13" ht="15.75" x14ac:dyDescent="0.25">
      <c r="A29" s="23" t="s">
        <v>157</v>
      </c>
      <c r="B29" s="23" t="s">
        <v>12</v>
      </c>
      <c r="C29" s="23" t="s">
        <v>158</v>
      </c>
      <c r="D29" s="23" t="s">
        <v>10</v>
      </c>
      <c r="E29" s="23" t="s">
        <v>0</v>
      </c>
      <c r="F29" s="23" t="s">
        <v>68</v>
      </c>
      <c r="G29" s="23" t="s">
        <v>60</v>
      </c>
      <c r="H29" s="23" t="s">
        <v>61</v>
      </c>
      <c r="I29" s="23" t="s">
        <v>62</v>
      </c>
      <c r="J29" s="23">
        <v>1027238025</v>
      </c>
      <c r="K29" s="23" t="s">
        <v>63</v>
      </c>
      <c r="L29" s="25" t="s">
        <v>159</v>
      </c>
      <c r="M29" s="23" t="s">
        <v>158</v>
      </c>
    </row>
    <row r="30" spans="1:13" ht="15.75" x14ac:dyDescent="0.25">
      <c r="A30" s="23" t="s">
        <v>160</v>
      </c>
      <c r="B30" s="23" t="s">
        <v>162</v>
      </c>
      <c r="C30" s="23" t="s">
        <v>161</v>
      </c>
      <c r="D30" s="23" t="s">
        <v>10</v>
      </c>
      <c r="E30" s="23" t="s">
        <v>0</v>
      </c>
      <c r="F30" s="23" t="s">
        <v>68</v>
      </c>
      <c r="G30" s="23" t="s">
        <v>60</v>
      </c>
      <c r="H30" s="23" t="s">
        <v>61</v>
      </c>
      <c r="I30" s="23" t="s">
        <v>62</v>
      </c>
      <c r="J30" s="23">
        <v>1090884061</v>
      </c>
      <c r="K30" s="23" t="s">
        <v>63</v>
      </c>
      <c r="L30" s="23" t="s">
        <v>163</v>
      </c>
      <c r="M30" s="23" t="s">
        <v>161</v>
      </c>
    </row>
    <row r="31" spans="1:13" ht="15.75" x14ac:dyDescent="0.25">
      <c r="A31" s="15" t="s">
        <v>164</v>
      </c>
      <c r="B31" s="23" t="s">
        <v>166</v>
      </c>
      <c r="C31" s="23" t="s">
        <v>165</v>
      </c>
      <c r="D31" s="23" t="s">
        <v>10</v>
      </c>
      <c r="E31" s="23" t="s">
        <v>0</v>
      </c>
      <c r="F31" s="26" t="s">
        <v>68</v>
      </c>
      <c r="G31" s="26" t="s">
        <v>60</v>
      </c>
      <c r="H31" s="26" t="s">
        <v>61</v>
      </c>
      <c r="I31" s="26" t="s">
        <v>62</v>
      </c>
      <c r="J31" s="15">
        <v>1008012864</v>
      </c>
      <c r="K31" s="26" t="s">
        <v>63</v>
      </c>
      <c r="L31" s="15" t="s">
        <v>167</v>
      </c>
      <c r="M31" s="15" t="s">
        <v>165</v>
      </c>
    </row>
    <row r="32" spans="1:13" ht="15.75" x14ac:dyDescent="0.25">
      <c r="A32" s="15" t="s">
        <v>168</v>
      </c>
      <c r="B32" s="23" t="s">
        <v>6</v>
      </c>
      <c r="C32" s="23" t="s">
        <v>169</v>
      </c>
      <c r="D32" s="23" t="s">
        <v>10</v>
      </c>
      <c r="E32" s="23" t="s">
        <v>0</v>
      </c>
      <c r="F32" s="26" t="s">
        <v>68</v>
      </c>
      <c r="G32" s="26" t="s">
        <v>60</v>
      </c>
      <c r="H32" s="26" t="s">
        <v>61</v>
      </c>
      <c r="I32" s="26" t="s">
        <v>62</v>
      </c>
      <c r="J32" s="15">
        <v>1557981792</v>
      </c>
      <c r="K32" s="26" t="s">
        <v>63</v>
      </c>
      <c r="L32" s="15" t="s">
        <v>170</v>
      </c>
      <c r="M32" s="15" t="s">
        <v>169</v>
      </c>
    </row>
    <row r="33" spans="1:13" ht="15.75" x14ac:dyDescent="0.25">
      <c r="A33" s="15" t="s">
        <v>171</v>
      </c>
      <c r="B33" s="23" t="s">
        <v>173</v>
      </c>
      <c r="C33" s="27" t="s">
        <v>172</v>
      </c>
      <c r="D33" s="23" t="s">
        <v>10</v>
      </c>
      <c r="E33" s="23" t="s">
        <v>0</v>
      </c>
      <c r="F33" s="26" t="s">
        <v>68</v>
      </c>
      <c r="G33" s="26" t="s">
        <v>60</v>
      </c>
      <c r="H33" s="26" t="s">
        <v>61</v>
      </c>
      <c r="I33" s="26" t="s">
        <v>62</v>
      </c>
      <c r="J33" s="15">
        <v>1050122437</v>
      </c>
      <c r="K33" s="26" t="s">
        <v>63</v>
      </c>
      <c r="L33" s="15" t="s">
        <v>174</v>
      </c>
      <c r="M33" s="15" t="s">
        <v>175</v>
      </c>
    </row>
    <row r="34" spans="1:13" ht="15.75" x14ac:dyDescent="0.25">
      <c r="A34" s="15" t="s">
        <v>176</v>
      </c>
      <c r="B34" s="23" t="s">
        <v>178</v>
      </c>
      <c r="C34" s="23" t="s">
        <v>177</v>
      </c>
      <c r="D34" s="23" t="s">
        <v>22</v>
      </c>
      <c r="E34" s="23" t="s">
        <v>0</v>
      </c>
      <c r="F34" s="26" t="s">
        <v>68</v>
      </c>
      <c r="G34" s="26" t="s">
        <v>60</v>
      </c>
      <c r="H34" s="26" t="s">
        <v>61</v>
      </c>
      <c r="I34" s="26" t="s">
        <v>62</v>
      </c>
      <c r="J34" s="15">
        <v>1011759074</v>
      </c>
      <c r="K34" s="26" t="s">
        <v>63</v>
      </c>
      <c r="L34" s="28" t="s">
        <v>179</v>
      </c>
      <c r="M34" s="1"/>
    </row>
    <row r="35" spans="1:13" ht="15.75" x14ac:dyDescent="0.25">
      <c r="A35" s="1" t="s">
        <v>180</v>
      </c>
      <c r="B35" s="23" t="s">
        <v>182</v>
      </c>
      <c r="C35" s="23" t="s">
        <v>181</v>
      </c>
      <c r="D35" s="23" t="s">
        <v>22</v>
      </c>
      <c r="E35" s="23" t="s">
        <v>0</v>
      </c>
      <c r="F35" s="26" t="s">
        <v>68</v>
      </c>
      <c r="G35" s="26" t="s">
        <v>60</v>
      </c>
      <c r="H35" s="26" t="s">
        <v>61</v>
      </c>
      <c r="I35" s="26" t="s">
        <v>62</v>
      </c>
      <c r="J35" s="1"/>
      <c r="K35" s="26" t="s">
        <v>63</v>
      </c>
      <c r="L35" s="29" t="s">
        <v>183</v>
      </c>
      <c r="M35" s="1"/>
    </row>
    <row r="36" spans="1:13" ht="15.75" x14ac:dyDescent="0.25">
      <c r="A36" s="1" t="s">
        <v>184</v>
      </c>
      <c r="B36" s="24" t="s">
        <v>34</v>
      </c>
      <c r="C36" s="30" t="s">
        <v>185</v>
      </c>
      <c r="D36" s="23" t="s">
        <v>33</v>
      </c>
      <c r="E36" s="23" t="s">
        <v>0</v>
      </c>
      <c r="F36" s="26" t="s">
        <v>68</v>
      </c>
      <c r="G36" s="26" t="s">
        <v>60</v>
      </c>
      <c r="H36" s="26" t="s">
        <v>61</v>
      </c>
      <c r="I36" s="26" t="s">
        <v>62</v>
      </c>
      <c r="J36" s="15">
        <v>1023410812</v>
      </c>
      <c r="K36" s="26" t="s">
        <v>63</v>
      </c>
      <c r="L36" s="28" t="s">
        <v>186</v>
      </c>
      <c r="M36" s="1"/>
    </row>
    <row r="37" spans="1:13" ht="15.75" x14ac:dyDescent="0.25">
      <c r="A37" s="15" t="s">
        <v>187</v>
      </c>
      <c r="B37" s="23" t="s">
        <v>189</v>
      </c>
      <c r="C37" s="23" t="s">
        <v>188</v>
      </c>
      <c r="D37" s="23" t="s">
        <v>10</v>
      </c>
      <c r="E37" s="23" t="s">
        <v>0</v>
      </c>
      <c r="F37" s="26" t="s">
        <v>68</v>
      </c>
      <c r="G37" s="26" t="s">
        <v>60</v>
      </c>
      <c r="H37" s="26" t="s">
        <v>61</v>
      </c>
      <c r="I37" s="26" t="s">
        <v>62</v>
      </c>
      <c r="J37" s="1"/>
      <c r="K37" s="26" t="s">
        <v>63</v>
      </c>
      <c r="L37" s="28" t="s">
        <v>190</v>
      </c>
      <c r="M37" s="1"/>
    </row>
    <row r="38" spans="1:13" ht="15.75" x14ac:dyDescent="0.25">
      <c r="A38" s="15" t="s">
        <v>191</v>
      </c>
      <c r="B38" s="23" t="s">
        <v>9</v>
      </c>
      <c r="C38" s="23" t="s">
        <v>192</v>
      </c>
      <c r="D38" s="23" t="s">
        <v>10</v>
      </c>
      <c r="E38" s="23" t="s">
        <v>0</v>
      </c>
      <c r="F38" s="26" t="s">
        <v>68</v>
      </c>
      <c r="G38" s="26" t="s">
        <v>60</v>
      </c>
      <c r="H38" s="26" t="s">
        <v>61</v>
      </c>
      <c r="I38" s="26" t="s">
        <v>62</v>
      </c>
      <c r="J38" s="1"/>
      <c r="K38" s="26" t="s">
        <v>63</v>
      </c>
      <c r="L38" s="29" t="s">
        <v>193</v>
      </c>
      <c r="M38" s="1"/>
    </row>
    <row r="39" spans="1:13" ht="15.75" x14ac:dyDescent="0.25">
      <c r="A39" s="15" t="s">
        <v>194</v>
      </c>
      <c r="B39" s="24" t="s">
        <v>35</v>
      </c>
      <c r="C39" s="24" t="s">
        <v>195</v>
      </c>
      <c r="D39" s="24" t="s">
        <v>33</v>
      </c>
      <c r="E39" s="23" t="s">
        <v>0</v>
      </c>
      <c r="F39" s="26" t="s">
        <v>68</v>
      </c>
      <c r="G39" s="26" t="s">
        <v>60</v>
      </c>
      <c r="H39" s="26" t="s">
        <v>61</v>
      </c>
      <c r="I39" s="26" t="s">
        <v>62</v>
      </c>
      <c r="J39" s="1"/>
      <c r="K39" s="26" t="s">
        <v>63</v>
      </c>
      <c r="L39" s="28" t="s">
        <v>196</v>
      </c>
      <c r="M39" s="1"/>
    </row>
    <row r="40" spans="1:13" ht="15.75" x14ac:dyDescent="0.25">
      <c r="A40" s="15" t="s">
        <v>197</v>
      </c>
      <c r="B40" s="24" t="s">
        <v>199</v>
      </c>
      <c r="C40" s="24" t="s">
        <v>198</v>
      </c>
      <c r="D40" s="24" t="s">
        <v>10</v>
      </c>
      <c r="E40" s="23" t="s">
        <v>0</v>
      </c>
      <c r="F40" s="26" t="s">
        <v>68</v>
      </c>
      <c r="G40" s="26" t="s">
        <v>60</v>
      </c>
      <c r="H40" s="26" t="s">
        <v>61</v>
      </c>
      <c r="I40" s="26" t="s">
        <v>62</v>
      </c>
      <c r="J40" s="1"/>
      <c r="K40" s="26" t="s">
        <v>63</v>
      </c>
      <c r="L40" s="28" t="s">
        <v>200</v>
      </c>
      <c r="M40" s="1"/>
    </row>
    <row r="41" spans="1:13" ht="15.75" x14ac:dyDescent="0.25">
      <c r="A41" s="15" t="s">
        <v>201</v>
      </c>
      <c r="B41" s="24" t="s">
        <v>203</v>
      </c>
      <c r="C41" s="24" t="s">
        <v>202</v>
      </c>
      <c r="D41" s="24" t="s">
        <v>22</v>
      </c>
      <c r="E41" s="23" t="s">
        <v>0</v>
      </c>
      <c r="F41" s="1"/>
      <c r="G41" s="1"/>
      <c r="H41" s="1"/>
      <c r="I41" s="1"/>
      <c r="J41" s="1"/>
      <c r="K41" s="1"/>
      <c r="L41" s="1"/>
      <c r="M41" s="1"/>
    </row>
    <row r="42" spans="1:13" ht="15.75" x14ac:dyDescent="0.25">
      <c r="A42" s="31" t="s">
        <v>204</v>
      </c>
      <c r="B42" s="24" t="s">
        <v>14</v>
      </c>
      <c r="C42" s="24" t="s">
        <v>205</v>
      </c>
      <c r="D42" s="24" t="s">
        <v>14</v>
      </c>
      <c r="E42" s="23" t="s">
        <v>0</v>
      </c>
    </row>
    <row r="43" spans="1:13" ht="15.75" x14ac:dyDescent="0.25">
      <c r="A43" s="31" t="s">
        <v>206</v>
      </c>
      <c r="B43" s="24" t="s">
        <v>22</v>
      </c>
      <c r="C43" s="24" t="s">
        <v>207</v>
      </c>
      <c r="D43" s="24" t="s">
        <v>22</v>
      </c>
      <c r="E43" s="23" t="s">
        <v>0</v>
      </c>
    </row>
    <row r="44" spans="1:13" ht="15.75" x14ac:dyDescent="0.25">
      <c r="A44" s="31" t="s">
        <v>208</v>
      </c>
      <c r="B44" s="24" t="s">
        <v>23</v>
      </c>
      <c r="C44" s="24" t="s">
        <v>209</v>
      </c>
      <c r="D44" s="24" t="s">
        <v>22</v>
      </c>
      <c r="E44" s="23" t="s">
        <v>0</v>
      </c>
    </row>
    <row r="45" spans="1:13" ht="15.75" x14ac:dyDescent="0.25">
      <c r="A45" s="31" t="s">
        <v>210</v>
      </c>
      <c r="B45" s="24" t="s">
        <v>10</v>
      </c>
      <c r="C45" s="24" t="s">
        <v>211</v>
      </c>
      <c r="D45" s="24" t="s">
        <v>10</v>
      </c>
      <c r="E45" s="23" t="s">
        <v>0</v>
      </c>
    </row>
    <row r="46" spans="1:13" ht="15.75" x14ac:dyDescent="0.25">
      <c r="B46" s="24" t="s">
        <v>213</v>
      </c>
      <c r="C46" s="24" t="s">
        <v>212</v>
      </c>
      <c r="D46" s="24" t="s">
        <v>14</v>
      </c>
      <c r="E46" s="23" t="s">
        <v>0</v>
      </c>
    </row>
    <row r="47" spans="1:13" ht="15.75" x14ac:dyDescent="0.25">
      <c r="B47" s="24" t="s">
        <v>215</v>
      </c>
      <c r="C47" s="24" t="s">
        <v>214</v>
      </c>
      <c r="D47" s="24" t="s">
        <v>14</v>
      </c>
      <c r="E47" s="23" t="s">
        <v>0</v>
      </c>
    </row>
    <row r="48" spans="1:13" ht="15.75" x14ac:dyDescent="0.25">
      <c r="B48" s="24" t="s">
        <v>16</v>
      </c>
      <c r="C48" s="24" t="s">
        <v>216</v>
      </c>
      <c r="D48" s="24" t="s">
        <v>14</v>
      </c>
      <c r="E48" s="23" t="s">
        <v>0</v>
      </c>
    </row>
    <row r="49" spans="2:5" ht="15.75" x14ac:dyDescent="0.25">
      <c r="B49" s="24" t="s">
        <v>13</v>
      </c>
      <c r="C49" s="24" t="s">
        <v>217</v>
      </c>
      <c r="D49" s="24" t="s">
        <v>14</v>
      </c>
      <c r="E49" s="23" t="s">
        <v>0</v>
      </c>
    </row>
    <row r="50" spans="2:5" ht="15.75" x14ac:dyDescent="0.25">
      <c r="B50" s="24" t="s">
        <v>17</v>
      </c>
      <c r="C50" s="24" t="s">
        <v>218</v>
      </c>
      <c r="D50" s="24" t="s">
        <v>14</v>
      </c>
      <c r="E50" s="23" t="s">
        <v>0</v>
      </c>
    </row>
    <row r="51" spans="2:5" ht="15.75" x14ac:dyDescent="0.25">
      <c r="B51" s="24" t="s">
        <v>220</v>
      </c>
      <c r="C51" s="24" t="s">
        <v>219</v>
      </c>
      <c r="D51" s="24" t="s">
        <v>14</v>
      </c>
      <c r="E51" s="23" t="s">
        <v>0</v>
      </c>
    </row>
    <row r="52" spans="2:5" ht="15.75" x14ac:dyDescent="0.25">
      <c r="B52" s="24" t="s">
        <v>222</v>
      </c>
      <c r="C52" s="24" t="s">
        <v>221</v>
      </c>
      <c r="D52" s="24" t="s">
        <v>14</v>
      </c>
      <c r="E52" s="23" t="s">
        <v>0</v>
      </c>
    </row>
    <row r="53" spans="2:5" ht="15.75" x14ac:dyDescent="0.25">
      <c r="B53" s="24" t="s">
        <v>19</v>
      </c>
      <c r="C53" s="24" t="s">
        <v>223</v>
      </c>
      <c r="D53" s="24" t="s">
        <v>14</v>
      </c>
      <c r="E53" s="23" t="s">
        <v>0</v>
      </c>
    </row>
    <row r="54" spans="2:5" ht="15.75" x14ac:dyDescent="0.25">
      <c r="B54" s="24" t="s">
        <v>225</v>
      </c>
      <c r="C54" s="24" t="s">
        <v>224</v>
      </c>
      <c r="D54" s="24" t="s">
        <v>14</v>
      </c>
      <c r="E54" s="23" t="s">
        <v>0</v>
      </c>
    </row>
    <row r="55" spans="2:5" ht="15.75" x14ac:dyDescent="0.25">
      <c r="B55" s="24" t="s">
        <v>18</v>
      </c>
      <c r="C55" s="24" t="s">
        <v>226</v>
      </c>
      <c r="D55" s="24" t="s">
        <v>14</v>
      </c>
      <c r="E55" s="23" t="s">
        <v>0</v>
      </c>
    </row>
    <row r="56" spans="2:5" ht="15.75" x14ac:dyDescent="0.25">
      <c r="B56" s="24" t="s">
        <v>20</v>
      </c>
      <c r="C56" s="24" t="s">
        <v>227</v>
      </c>
      <c r="D56" s="24" t="s">
        <v>14</v>
      </c>
      <c r="E56" s="23" t="s">
        <v>0</v>
      </c>
    </row>
    <row r="57" spans="2:5" ht="15.75" x14ac:dyDescent="0.25">
      <c r="B57" s="24" t="s">
        <v>229</v>
      </c>
      <c r="C57" s="24" t="s">
        <v>228</v>
      </c>
      <c r="D57" s="24" t="s">
        <v>14</v>
      </c>
      <c r="E57" s="23" t="s">
        <v>0</v>
      </c>
    </row>
    <row r="58" spans="2:5" ht="15.75" x14ac:dyDescent="0.25">
      <c r="B58" s="24" t="s">
        <v>15</v>
      </c>
      <c r="C58" s="24" t="s">
        <v>230</v>
      </c>
      <c r="D58" s="24" t="s">
        <v>14</v>
      </c>
      <c r="E58" s="23" t="s">
        <v>0</v>
      </c>
    </row>
    <row r="59" spans="2:5" ht="15.75" x14ac:dyDescent="0.25">
      <c r="B59" s="24" t="s">
        <v>21</v>
      </c>
      <c r="C59" s="24" t="s">
        <v>231</v>
      </c>
      <c r="D59" s="24" t="s">
        <v>14</v>
      </c>
      <c r="E59" s="23" t="s">
        <v>0</v>
      </c>
    </row>
    <row r="60" spans="2:5" ht="15.75" x14ac:dyDescent="0.25">
      <c r="B60" s="24" t="s">
        <v>40</v>
      </c>
      <c r="C60" s="24" t="s">
        <v>232</v>
      </c>
      <c r="D60" s="24" t="s">
        <v>33</v>
      </c>
      <c r="E60" s="23" t="s">
        <v>0</v>
      </c>
    </row>
    <row r="61" spans="2:5" ht="15.75" x14ac:dyDescent="0.25">
      <c r="B61" s="24" t="s">
        <v>39</v>
      </c>
      <c r="C61" s="24" t="s">
        <v>233</v>
      </c>
      <c r="D61" s="24" t="s">
        <v>33</v>
      </c>
      <c r="E61" s="23" t="s">
        <v>0</v>
      </c>
    </row>
    <row r="62" spans="2:5" ht="15.75" x14ac:dyDescent="0.25">
      <c r="B62" s="24" t="s">
        <v>8</v>
      </c>
      <c r="C62" s="24" t="s">
        <v>234</v>
      </c>
      <c r="D62" s="24" t="s">
        <v>10</v>
      </c>
      <c r="E62" s="23" t="s">
        <v>0</v>
      </c>
    </row>
    <row r="63" spans="2:5" ht="15.75" x14ac:dyDescent="0.25">
      <c r="B63" s="24" t="s">
        <v>11</v>
      </c>
      <c r="C63" s="24" t="s">
        <v>235</v>
      </c>
      <c r="D63" s="24" t="s">
        <v>10</v>
      </c>
      <c r="E63" s="23" t="s">
        <v>0</v>
      </c>
    </row>
    <row r="64" spans="2:5" ht="15.75" x14ac:dyDescent="0.25">
      <c r="B64" s="24" t="s">
        <v>237</v>
      </c>
      <c r="C64" s="24" t="s">
        <v>236</v>
      </c>
      <c r="D64" s="24" t="s">
        <v>22</v>
      </c>
      <c r="E64" s="23" t="s">
        <v>0</v>
      </c>
    </row>
    <row r="65" spans="2:5" ht="15.75" x14ac:dyDescent="0.25">
      <c r="B65" s="24" t="s">
        <v>239</v>
      </c>
      <c r="C65" s="24" t="s">
        <v>238</v>
      </c>
      <c r="D65" s="24" t="s">
        <v>22</v>
      </c>
      <c r="E65" s="23" t="s">
        <v>0</v>
      </c>
    </row>
    <row r="66" spans="2:5" ht="15.75" x14ac:dyDescent="0.25">
      <c r="B66" s="24" t="s">
        <v>241</v>
      </c>
      <c r="C66" s="24" t="s">
        <v>240</v>
      </c>
      <c r="D66" s="24" t="s">
        <v>10</v>
      </c>
      <c r="E66" s="23" t="s">
        <v>0</v>
      </c>
    </row>
    <row r="67" spans="2:5" ht="15.75" x14ac:dyDescent="0.25">
      <c r="B67" s="24" t="s">
        <v>243</v>
      </c>
      <c r="C67" s="24" t="s">
        <v>242</v>
      </c>
      <c r="D67" s="24" t="s">
        <v>33</v>
      </c>
      <c r="E67" s="23" t="s">
        <v>0</v>
      </c>
    </row>
    <row r="68" spans="2:5" ht="15.75" x14ac:dyDescent="0.25">
      <c r="B68" s="24" t="s">
        <v>274</v>
      </c>
      <c r="C68" s="24" t="s">
        <v>273</v>
      </c>
      <c r="D68" s="24" t="s">
        <v>33</v>
      </c>
      <c r="E68" s="23" t="s">
        <v>0</v>
      </c>
    </row>
    <row r="69" spans="2:5" ht="15.75" x14ac:dyDescent="0.25">
      <c r="B69" s="24" t="s">
        <v>287</v>
      </c>
      <c r="C69" s="24" t="s">
        <v>286</v>
      </c>
      <c r="D69" s="24" t="s">
        <v>14</v>
      </c>
      <c r="E69" s="23" t="s">
        <v>0</v>
      </c>
    </row>
    <row r="70" spans="2:5" ht="15.75" x14ac:dyDescent="0.25">
      <c r="B70" s="24" t="s">
        <v>289</v>
      </c>
      <c r="C70" s="24" t="s">
        <v>288</v>
      </c>
      <c r="D70" s="24" t="s">
        <v>14</v>
      </c>
      <c r="E70" s="23" t="s">
        <v>0</v>
      </c>
    </row>
    <row r="71" spans="2:5" ht="15.75" x14ac:dyDescent="0.25">
      <c r="B71" s="24" t="s">
        <v>291</v>
      </c>
      <c r="C71" s="24" t="s">
        <v>290</v>
      </c>
      <c r="D71" s="24" t="s">
        <v>10</v>
      </c>
      <c r="E71" s="23" t="s">
        <v>0</v>
      </c>
    </row>
    <row r="72" spans="2:5" ht="15.75" x14ac:dyDescent="0.25">
      <c r="B72" s="24" t="s">
        <v>293</v>
      </c>
      <c r="C72" s="24" t="s">
        <v>292</v>
      </c>
      <c r="D72" s="24" t="s">
        <v>22</v>
      </c>
      <c r="E72" s="23" t="s">
        <v>0</v>
      </c>
    </row>
    <row r="73" spans="2:5" ht="15.75" x14ac:dyDescent="0.25">
      <c r="B73" s="24" t="s">
        <v>295</v>
      </c>
      <c r="C73" s="24" t="s">
        <v>294</v>
      </c>
      <c r="D73" s="24" t="s">
        <v>10</v>
      </c>
      <c r="E73" s="23" t="s">
        <v>0</v>
      </c>
    </row>
    <row r="74" spans="2:5" ht="15.75" x14ac:dyDescent="0.25">
      <c r="B74" s="24" t="s">
        <v>297</v>
      </c>
      <c r="C74" s="24" t="s">
        <v>296</v>
      </c>
      <c r="D74" s="24" t="s">
        <v>10</v>
      </c>
      <c r="E74" s="23" t="s">
        <v>0</v>
      </c>
    </row>
    <row r="75" spans="2:5" ht="15.75" x14ac:dyDescent="0.25">
      <c r="B75" s="24" t="s">
        <v>274</v>
      </c>
      <c r="C75" s="24" t="s">
        <v>273</v>
      </c>
      <c r="D75" s="24" t="s">
        <v>33</v>
      </c>
      <c r="E75" s="23" t="s">
        <v>0</v>
      </c>
    </row>
    <row r="76" spans="2:5" ht="15.75" x14ac:dyDescent="0.25">
      <c r="B76" s="24" t="s">
        <v>299</v>
      </c>
      <c r="C76" s="24" t="s">
        <v>298</v>
      </c>
      <c r="D76" s="24" t="s">
        <v>14</v>
      </c>
      <c r="E76" s="23" t="s">
        <v>0</v>
      </c>
    </row>
    <row r="77" spans="2:5" ht="15.75" x14ac:dyDescent="0.25">
      <c r="B77" s="24" t="s">
        <v>33</v>
      </c>
      <c r="C77" s="24" t="s">
        <v>300</v>
      </c>
      <c r="D77" s="24" t="s">
        <v>33</v>
      </c>
      <c r="E77" s="23" t="s">
        <v>0</v>
      </c>
    </row>
  </sheetData>
  <conditionalFormatting sqref="A24:A32">
    <cfRule type="duplicateValues" dxfId="29" priority="50"/>
    <cfRule type="duplicateValues" dxfId="28" priority="51"/>
  </conditionalFormatting>
  <conditionalFormatting sqref="B1:B60">
    <cfRule type="duplicateValues" dxfId="27" priority="26"/>
  </conditionalFormatting>
  <conditionalFormatting sqref="B64:C66">
    <cfRule type="duplicateValues" dxfId="26" priority="1"/>
  </conditionalFormatting>
  <conditionalFormatting sqref="C24">
    <cfRule type="duplicateValues" dxfId="25" priority="24"/>
  </conditionalFormatting>
  <conditionalFormatting sqref="C39:C60 B2:B7">
    <cfRule type="duplicateValues" dxfId="24" priority="25"/>
  </conditionalFormatting>
  <conditionalFormatting sqref="C40">
    <cfRule type="duplicateValues" dxfId="23" priority="20"/>
    <cfRule type="duplicateValues" dxfId="22" priority="21"/>
    <cfRule type="duplicateValues" dxfId="21" priority="22"/>
    <cfRule type="duplicateValues" dxfId="20" priority="23"/>
  </conditionalFormatting>
  <conditionalFormatting sqref="C46:C53">
    <cfRule type="cellIs" dxfId="19" priority="9" operator="equal">
      <formula>"RQ OFF"</formula>
    </cfRule>
    <cfRule type="cellIs" dxfId="18" priority="10" operator="equal">
      <formula>45944</formula>
    </cfRule>
    <cfRule type="cellIs" dxfId="17" priority="11" operator="equal">
      <formula>"off req"</formula>
    </cfRule>
    <cfRule type="cellIs" dxfId="16" priority="12" operator="equal">
      <formula>"off"</formula>
    </cfRule>
    <cfRule type="cellIs" dxfId="15" priority="17" operator="equal">
      <formula>"A.L"</formula>
    </cfRule>
    <cfRule type="cellIs" dxfId="14" priority="18" operator="equal">
      <formula>"COMP."</formula>
    </cfRule>
  </conditionalFormatting>
  <conditionalFormatting sqref="C46:C54">
    <cfRule type="duplicateValues" dxfId="13" priority="16"/>
  </conditionalFormatting>
  <conditionalFormatting sqref="C46:C56">
    <cfRule type="duplicateValues" dxfId="12" priority="14"/>
    <cfRule type="duplicateValues" dxfId="11" priority="15"/>
  </conditionalFormatting>
  <conditionalFormatting sqref="C46:C58">
    <cfRule type="duplicateValues" dxfId="10" priority="13"/>
    <cfRule type="duplicateValues" dxfId="9" priority="19"/>
  </conditionalFormatting>
  <conditionalFormatting sqref="C56">
    <cfRule type="cellIs" dxfId="8" priority="2" operator="equal">
      <formula>"RQ OFF"</formula>
    </cfRule>
    <cfRule type="cellIs" dxfId="7" priority="3" operator="equal">
      <formula>45944</formula>
    </cfRule>
    <cfRule type="cellIs" dxfId="6" priority="4" operator="equal">
      <formula>"off req"</formula>
    </cfRule>
    <cfRule type="cellIs" dxfId="5" priority="5" operator="equal">
      <formula>"off"</formula>
    </cfRule>
    <cfRule type="duplicateValues" dxfId="4" priority="6"/>
    <cfRule type="cellIs" dxfId="3" priority="7" operator="equal">
      <formula>"A.L"</formula>
    </cfRule>
    <cfRule type="cellIs" dxfId="2" priority="8" operator="equal">
      <formula>"COMP."</formula>
    </cfRule>
  </conditionalFormatting>
  <conditionalFormatting sqref="M24">
    <cfRule type="duplicateValues" dxfId="1" priority="53"/>
  </conditionalFormatting>
  <hyperlinks>
    <hyperlink ref="L7" r:id="rId1" xr:uid="{3C2CD6E6-3A47-4A45-BBA6-36A8DB9B8F01}"/>
    <hyperlink ref="L10" r:id="rId2" xr:uid="{509AB6F2-4DB7-4532-B76B-7E0809A29E75}"/>
    <hyperlink ref="L8" r:id="rId3" xr:uid="{CF8B80F2-9197-44D1-9C22-BE44C3136849}"/>
    <hyperlink ref="L33" r:id="rId4" xr:uid="{1D1BEE93-5015-4FA0-9939-4706DBEDE2FE}"/>
    <hyperlink ref="L9" r:id="rId5" xr:uid="{EF850069-94CC-4467-9BF6-663162FBB0E5}"/>
    <hyperlink ref="L31" r:id="rId6" xr:uid="{F3394644-1589-45B3-9869-D4317EBF9C9A}"/>
    <hyperlink ref="L3" r:id="rId7" tooltip="mailto:ali.bahatsaeed@vodafone.com.eg" display="mailto:ali.bahatsaeed@vodafone.com.eg" xr:uid="{485B0A12-1B68-43E2-9739-D3AF472352D7}"/>
    <hyperlink ref="L25" r:id="rId8" tooltip="mailto:aya.ezzatmahmoud@vodafone.com.eg" display="mailto:aya.ezzatmahmoud@vodafone.com.eg" xr:uid="{6F05A5F4-1838-4412-8344-9E5149ED6129}"/>
    <hyperlink ref="L5" r:id="rId9" tooltip="mailto:ahmed.samehrizk@vodafone.com" display="mailto:ahmed.samehrizk@vodafone.com" xr:uid="{DC359AE9-3AE7-43C4-B4E8-CE201E21427E}"/>
    <hyperlink ref="L13" r:id="rId10" tooltip="mailto:farha.ashrafaboelmagd@vodafone.com.eg" display="mailto:farha.ashrafaboelmagd@vodafone.com.eg" xr:uid="{CF93F952-BEBC-4A9E-96E6-BFEDFE6B6D5A}"/>
    <hyperlink ref="L16" r:id="rId11" tooltip="mailto:mariam.waleedmohamed@vodafone.com.eg" display="mailto:mariam.waleedmohamed@vodafone.com.eg" xr:uid="{265720D2-ED10-420D-881E-1210F74E9622}"/>
    <hyperlink ref="L29" r:id="rId12" tooltip="mailto:tarek.aymanahmed@vodafone.com.eg" display="mailto:tarek.aymanahmed@vodafone.com.eg" xr:uid="{9F6829DB-3D52-49F1-A77A-3D971672A397}"/>
    <hyperlink ref="L34" r:id="rId13" xr:uid="{588AE60A-1C62-4B9D-8F42-13C9E3269A4C}"/>
    <hyperlink ref="L35" r:id="rId14" xr:uid="{98AF878C-6E3C-4122-8F87-DB1D5027DDB4}"/>
    <hyperlink ref="L36" r:id="rId15" xr:uid="{29554356-0BDC-4E08-AD28-36E9C0FF5F46}"/>
    <hyperlink ref="L37" r:id="rId16" xr:uid="{C3074745-3631-435C-B32C-3ED9FB0ACD5F}"/>
    <hyperlink ref="L38" r:id="rId17" xr:uid="{1D7D6215-26F9-4524-A9E2-5D61F8047E20}"/>
    <hyperlink ref="L39" r:id="rId18" xr:uid="{4D294ABA-D2CE-4D11-8FA5-143599A12E23}"/>
    <hyperlink ref="L40" r:id="rId19" xr:uid="{7F68DBB0-0D5D-484E-B332-9631A39F43B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11FD83DB2DD4C8DD7D88A58F8A010" ma:contentTypeVersion="7" ma:contentTypeDescription="Create a new document." ma:contentTypeScope="" ma:versionID="2826af2b66f481173ed04f2a4a933dd6">
  <xsd:schema xmlns:xsd="http://www.w3.org/2001/XMLSchema" xmlns:xs="http://www.w3.org/2001/XMLSchema" xmlns:p="http://schemas.microsoft.com/office/2006/metadata/properties" xmlns:ns1="http://schemas.microsoft.com/sharepoint/v3" xmlns:ns3="8c7f5391-0bf5-4441-be7c-884f8350bd4f" targetNamespace="http://schemas.microsoft.com/office/2006/metadata/properties" ma:root="true" ma:fieldsID="eee07380e29901d688b2cd9a9d7ff49c" ns1:_="" ns3:_="">
    <xsd:import namespace="http://schemas.microsoft.com/sharepoint/v3"/>
    <xsd:import namespace="8c7f5391-0bf5-4441-be7c-884f8350bd4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f5391-0bf5-4441-be7c-884f8350bd4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8c7f5391-0bf5-4441-be7c-884f8350bd4f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A1D3D56-45A0-4AA1-BF4F-1EF1B9A671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c7f5391-0bf5-4441-be7c-884f8350bd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C55D3C-792B-4227-B089-D20845DD66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A81FD6-DC6A-4FA2-A589-6CA44FE3CC12}">
  <ds:schemaRefs>
    <ds:schemaRef ds:uri="http://purl.org/dc/dcmitype/"/>
    <ds:schemaRef ds:uri="8c7f5391-0bf5-4441-be7c-884f8350bd4f"/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Sheet6</vt:lpstr>
      <vt:lpstr>NPS</vt:lpstr>
      <vt:lpstr>NPS row data (Rizk structure)</vt:lpstr>
      <vt:lpstr>HC for display name </vt:lpstr>
      <vt:lpstr>HC for user 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Sameh-Rizk, Vodafone</dc:creator>
  <cp:keywords/>
  <dc:description/>
  <cp:lastModifiedBy>Ahmed Sameh-Rizk, Vodafone</cp:lastModifiedBy>
  <cp:revision/>
  <dcterms:created xsi:type="dcterms:W3CDTF">2026-04-27T07:01:20Z</dcterms:created>
  <dcterms:modified xsi:type="dcterms:W3CDTF">2026-05-18T21:40:31Z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0x01010071D11FD83DB2DD4C8DD7D88A58F8A010</vt:lpwstr>
  </property>
  <property fmtid="{D5CDD505-2E9C-101B-9397-08002B2CF9AE}" pid="3" name="MSIP_Label_7f373536-36c5-4fd9-8140-7ddebb8b4638_Enabled">
    <vt:lpwstr>true</vt:lpwstr>
  </property>
  <property fmtid="{D5CDD505-2E9C-101B-9397-08002B2CF9AE}" pid="4" name="MSIP_Label_7f373536-36c5-4fd9-8140-7ddebb8b4638_SetDate">
    <vt:lpwstr>2026-05-11T14:06:42Z</vt:lpwstr>
  </property>
  <property fmtid="{D5CDD505-2E9C-101B-9397-08002B2CF9AE}" pid="5" name="MSIP_Label_7f373536-36c5-4fd9-8140-7ddebb8b4638_Method">
    <vt:lpwstr>Standard</vt:lpwstr>
  </property>
  <property fmtid="{D5CDD505-2E9C-101B-9397-08002B2CF9AE}" pid="6" name="MSIP_Label_7f373536-36c5-4fd9-8140-7ddebb8b4638_Name">
    <vt:lpwstr>C2 General</vt:lpwstr>
  </property>
  <property fmtid="{D5CDD505-2E9C-101B-9397-08002B2CF9AE}" pid="7" name="MSIP_Label_7f373536-36c5-4fd9-8140-7ddebb8b4638_SiteId">
    <vt:lpwstr>28d54ec7-2221-4717-acb0-7f8c37359048</vt:lpwstr>
  </property>
  <property fmtid="{D5CDD505-2E9C-101B-9397-08002B2CF9AE}" pid="8" name="MSIP_Label_7f373536-36c5-4fd9-8140-7ddebb8b4638_ActionId">
    <vt:lpwstr>bcc1a193-0cec-4c22-b8de-559284c20bf5</vt:lpwstr>
  </property>
  <property fmtid="{D5CDD505-2E9C-101B-9397-08002B2CF9AE}" pid="9" name="MSIP_Label_7f373536-36c5-4fd9-8140-7ddebb8b4638_ContentBits">
    <vt:lpwstr>2</vt:lpwstr>
  </property>
  <property fmtid="{D5CDD505-2E9C-101B-9397-08002B2CF9AE}" pid="10" name="MSIP_Label_7f373536-36c5-4fd9-8140-7ddebb8b4638_Tag">
    <vt:lpwstr>10, 3, 0, 2</vt:lpwstr>
  </property>
</Properties>
</file>