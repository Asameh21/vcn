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.Samad\2025\Nov\Truckers and salary\Dec\VF-Cash Red\"/>
    </mc:Choice>
  </mc:AlternateContent>
  <xr:revisionPtr revIDLastSave="0" documentId="8_{0797D6C0-2982-4B25-B8E4-93654B44DDBB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FL" sheetId="1" r:id="rId1"/>
    <sheet name="Conformance" sheetId="12" r:id="rId2"/>
    <sheet name="Tardy tracker" sheetId="14" r:id="rId3"/>
    <sheet name="Summary" sheetId="3" r:id="rId4"/>
    <sheet name="Total" sheetId="13" state="hidden" r:id="rId5"/>
    <sheet name="PIV" sheetId="11" state="hidden" r:id="rId6"/>
  </sheets>
  <definedNames>
    <definedName name="_xlnm._FilterDatabase" localSheetId="1" hidden="1">Conformance!$A$3:$AO$42</definedName>
    <definedName name="_xlnm._FilterDatabase" localSheetId="0" hidden="1">FL!$A$3:$AX$52</definedName>
    <definedName name="_xlnm._FilterDatabase" localSheetId="2" hidden="1">'Tardy tracker'!$B$3:$AK$3</definedName>
  </definedNames>
  <calcPr calcId="191029"/>
  <pivotCaches>
    <pivotCache cacheId="66" r:id="rId7"/>
    <pivotCache cacheId="69" r:id="rId8"/>
    <pivotCache cacheId="72" r:id="rId9"/>
  </pivotCaches>
</workbook>
</file>

<file path=xl/calcChain.xml><?xml version="1.0" encoding="utf-8"?>
<calcChain xmlns="http://schemas.openxmlformats.org/spreadsheetml/2006/main">
  <c r="A3" i="13" l="1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4" i="3"/>
  <c r="A5" i="3"/>
  <c r="A6" i="3"/>
  <c r="A7" i="3"/>
  <c r="A8" i="3"/>
  <c r="A9" i="3"/>
  <c r="A3" i="3"/>
  <c r="B35" i="13" l="1"/>
  <c r="C35" i="13"/>
  <c r="D35" i="13"/>
  <c r="E35" i="13"/>
  <c r="B36" i="13"/>
  <c r="C36" i="13"/>
  <c r="D36" i="13"/>
  <c r="E36" i="13"/>
  <c r="B28" i="13"/>
  <c r="C28" i="13"/>
  <c r="D28" i="13"/>
  <c r="E28" i="13"/>
  <c r="B29" i="13"/>
  <c r="C29" i="13"/>
  <c r="D29" i="13"/>
  <c r="E29" i="13"/>
  <c r="B30" i="13"/>
  <c r="C30" i="13"/>
  <c r="D30" i="13"/>
  <c r="E30" i="13"/>
  <c r="B31" i="13"/>
  <c r="C31" i="13"/>
  <c r="D31" i="13"/>
  <c r="E31" i="13"/>
  <c r="B32" i="13"/>
  <c r="C32" i="13"/>
  <c r="D32" i="13"/>
  <c r="E32" i="13"/>
  <c r="B33" i="13"/>
  <c r="C33" i="13"/>
  <c r="D33" i="13"/>
  <c r="E33" i="13"/>
  <c r="B34" i="13"/>
  <c r="C34" i="13"/>
  <c r="D34" i="13"/>
  <c r="E34" i="13"/>
  <c r="K4" i="3" l="1"/>
  <c r="K5" i="3"/>
  <c r="K6" i="3"/>
  <c r="K7" i="3"/>
  <c r="K8" i="3"/>
  <c r="K9" i="3"/>
  <c r="K3" i="3"/>
  <c r="J4" i="3"/>
  <c r="J5" i="3"/>
  <c r="J6" i="3"/>
  <c r="J7" i="3"/>
  <c r="J8" i="3"/>
  <c r="J9" i="3"/>
  <c r="J3" i="3"/>
  <c r="I4" i="3"/>
  <c r="I5" i="3"/>
  <c r="I6" i="3"/>
  <c r="I7" i="3"/>
  <c r="I8" i="3"/>
  <c r="I9" i="3"/>
  <c r="I3" i="3"/>
  <c r="G4" i="3"/>
  <c r="G5" i="3"/>
  <c r="G6" i="3"/>
  <c r="G7" i="3"/>
  <c r="G8" i="3"/>
  <c r="G9" i="3"/>
  <c r="G3" i="3"/>
  <c r="F4" i="3"/>
  <c r="F5" i="3"/>
  <c r="F6" i="3"/>
  <c r="F7" i="3"/>
  <c r="F8" i="3"/>
  <c r="F9" i="3"/>
  <c r="F3" i="3"/>
  <c r="E8" i="3"/>
  <c r="E7" i="3"/>
  <c r="E6" i="3"/>
  <c r="E5" i="3"/>
  <c r="E4" i="3"/>
  <c r="E3" i="3"/>
  <c r="E9" i="3"/>
  <c r="B4" i="13" l="1"/>
  <c r="C4" i="13"/>
  <c r="D4" i="13"/>
  <c r="E4" i="13"/>
  <c r="B5" i="13"/>
  <c r="C5" i="13"/>
  <c r="D5" i="13"/>
  <c r="E5" i="13"/>
  <c r="B6" i="13"/>
  <c r="C6" i="13"/>
  <c r="D6" i="13"/>
  <c r="E6" i="13"/>
  <c r="B7" i="13"/>
  <c r="C7" i="13"/>
  <c r="D7" i="13"/>
  <c r="E7" i="13"/>
  <c r="B8" i="13"/>
  <c r="C8" i="13"/>
  <c r="D8" i="13"/>
  <c r="E8" i="13"/>
  <c r="B9" i="13"/>
  <c r="C9" i="13"/>
  <c r="D9" i="13"/>
  <c r="E9" i="13"/>
  <c r="B10" i="13"/>
  <c r="C10" i="13"/>
  <c r="D10" i="13"/>
  <c r="E10" i="13"/>
  <c r="B11" i="13"/>
  <c r="C11" i="13"/>
  <c r="D11" i="13"/>
  <c r="E11" i="13"/>
  <c r="B12" i="13"/>
  <c r="C12" i="13"/>
  <c r="D12" i="13"/>
  <c r="E12" i="13"/>
  <c r="B13" i="13"/>
  <c r="C13" i="13"/>
  <c r="D13" i="13"/>
  <c r="E13" i="13"/>
  <c r="B14" i="13"/>
  <c r="C14" i="13"/>
  <c r="D14" i="13"/>
  <c r="E14" i="13"/>
  <c r="B15" i="13"/>
  <c r="C15" i="13"/>
  <c r="D15" i="13"/>
  <c r="E15" i="13"/>
  <c r="B16" i="13"/>
  <c r="C16" i="13"/>
  <c r="D16" i="13"/>
  <c r="E16" i="13"/>
  <c r="B17" i="13"/>
  <c r="C17" i="13"/>
  <c r="D17" i="13"/>
  <c r="E17" i="13"/>
  <c r="B18" i="13"/>
  <c r="C18" i="13"/>
  <c r="D18" i="13"/>
  <c r="E18" i="13"/>
  <c r="B19" i="13"/>
  <c r="C19" i="13"/>
  <c r="D19" i="13"/>
  <c r="E19" i="13"/>
  <c r="B20" i="13"/>
  <c r="C20" i="13"/>
  <c r="D20" i="13"/>
  <c r="E20" i="13"/>
  <c r="B21" i="13"/>
  <c r="C21" i="13"/>
  <c r="D21" i="13"/>
  <c r="E21" i="13"/>
  <c r="B22" i="13"/>
  <c r="C22" i="13"/>
  <c r="D22" i="13"/>
  <c r="E22" i="13"/>
  <c r="B23" i="13"/>
  <c r="C23" i="13"/>
  <c r="D23" i="13"/>
  <c r="E23" i="13"/>
  <c r="B24" i="13"/>
  <c r="C24" i="13"/>
  <c r="D24" i="13"/>
  <c r="E24" i="13"/>
  <c r="B25" i="13"/>
  <c r="C25" i="13"/>
  <c r="D25" i="13"/>
  <c r="E25" i="13"/>
  <c r="B26" i="13"/>
  <c r="C26" i="13"/>
  <c r="D26" i="13"/>
  <c r="E26" i="13"/>
  <c r="B27" i="13"/>
  <c r="C27" i="13"/>
  <c r="D27" i="13"/>
  <c r="E27" i="13"/>
  <c r="E3" i="13"/>
  <c r="D3" i="13"/>
  <c r="C3" i="13"/>
  <c r="B3" i="13"/>
  <c r="C21" i="3" l="1"/>
  <c r="B21" i="3"/>
  <c r="D21" i="3" l="1"/>
  <c r="K44" i="3"/>
  <c r="J44" i="3"/>
  <c r="I44" i="3"/>
  <c r="H44" i="3"/>
  <c r="G44" i="3"/>
  <c r="F44" i="3"/>
  <c r="E44" i="3"/>
  <c r="D44" i="3"/>
  <c r="C44" i="3"/>
  <c r="B44" i="3"/>
  <c r="K43" i="3"/>
  <c r="J43" i="3"/>
  <c r="I43" i="3"/>
  <c r="H43" i="3"/>
  <c r="G43" i="3"/>
  <c r="F43" i="3"/>
  <c r="E43" i="3"/>
  <c r="D43" i="3"/>
  <c r="C43" i="3"/>
  <c r="B43" i="3"/>
  <c r="E21" i="3" l="1"/>
  <c r="L43" i="3"/>
  <c r="L44" i="3"/>
  <c r="F21" i="3" l="1"/>
  <c r="G21" i="3" l="1"/>
  <c r="H21" i="3" l="1"/>
  <c r="I21" i="3" l="1"/>
  <c r="J21" i="3" l="1"/>
  <c r="B4" i="3"/>
  <c r="C4" i="3"/>
  <c r="D4" i="3"/>
  <c r="H4" i="3"/>
  <c r="B8" i="3"/>
  <c r="C8" i="3"/>
  <c r="D8" i="3"/>
  <c r="H8" i="3"/>
  <c r="K21" i="3" l="1"/>
  <c r="L4" i="3"/>
  <c r="L8" i="3"/>
  <c r="L21" i="3" l="1"/>
  <c r="B5" i="3"/>
  <c r="C5" i="3"/>
  <c r="D5" i="3"/>
  <c r="H5" i="3"/>
  <c r="M21" i="3" l="1"/>
  <c r="L5" i="3"/>
  <c r="N21" i="3" l="1"/>
  <c r="O21" i="3" l="1"/>
  <c r="P21" i="3" l="1"/>
  <c r="Q21" i="3" l="1"/>
  <c r="B7" i="3"/>
  <c r="C7" i="3"/>
  <c r="D7" i="3"/>
  <c r="H7" i="3"/>
  <c r="R21" i="3" l="1"/>
  <c r="L7" i="3"/>
  <c r="S21" i="3" l="1"/>
  <c r="T21" i="3" l="1"/>
  <c r="U21" i="3" l="1"/>
  <c r="V21" i="3" l="1"/>
  <c r="B3" i="3"/>
  <c r="C3" i="3"/>
  <c r="D3" i="3"/>
  <c r="H3" i="3"/>
  <c r="B6" i="3"/>
  <c r="C6" i="3"/>
  <c r="D6" i="3"/>
  <c r="H6" i="3"/>
  <c r="B9" i="3"/>
  <c r="C9" i="3"/>
  <c r="D9" i="3"/>
  <c r="H9" i="3"/>
  <c r="B42" i="3"/>
  <c r="B45" i="3" s="1"/>
  <c r="C42" i="3"/>
  <c r="C45" i="3" s="1"/>
  <c r="D42" i="3"/>
  <c r="D45" i="3" s="1"/>
  <c r="E42" i="3"/>
  <c r="E45" i="3" s="1"/>
  <c r="F42" i="3"/>
  <c r="G42" i="3"/>
  <c r="G45" i="3" s="1"/>
  <c r="H42" i="3"/>
  <c r="H45" i="3" s="1"/>
  <c r="I42" i="3"/>
  <c r="I45" i="3" s="1"/>
  <c r="J42" i="3"/>
  <c r="J45" i="3" s="1"/>
  <c r="K42" i="3"/>
  <c r="K45" i="3" s="1"/>
  <c r="W21" i="3" l="1"/>
  <c r="X31" i="3"/>
  <c r="X27" i="3"/>
  <c r="X23" i="3"/>
  <c r="X32" i="3"/>
  <c r="X28" i="3"/>
  <c r="X24" i="3"/>
  <c r="X29" i="3"/>
  <c r="X25" i="3"/>
  <c r="X30" i="3"/>
  <c r="X26" i="3"/>
  <c r="X22" i="3"/>
  <c r="P31" i="3"/>
  <c r="P27" i="3"/>
  <c r="P23" i="3"/>
  <c r="P32" i="3"/>
  <c r="P28" i="3"/>
  <c r="P24" i="3"/>
  <c r="P29" i="3"/>
  <c r="P25" i="3"/>
  <c r="P30" i="3"/>
  <c r="P26" i="3"/>
  <c r="P22" i="3"/>
  <c r="H31" i="3"/>
  <c r="H27" i="3"/>
  <c r="H23" i="3"/>
  <c r="H32" i="3"/>
  <c r="H28" i="3"/>
  <c r="H24" i="3"/>
  <c r="H29" i="3"/>
  <c r="H25" i="3"/>
  <c r="H30" i="3"/>
  <c r="H26" i="3"/>
  <c r="H22" i="3"/>
  <c r="W31" i="3"/>
  <c r="W27" i="3"/>
  <c r="W23" i="3"/>
  <c r="W32" i="3"/>
  <c r="W28" i="3"/>
  <c r="W24" i="3"/>
  <c r="W29" i="3"/>
  <c r="W25" i="3"/>
  <c r="W26" i="3"/>
  <c r="W30" i="3"/>
  <c r="W22" i="3"/>
  <c r="O31" i="3"/>
  <c r="O27" i="3"/>
  <c r="O23" i="3"/>
  <c r="O32" i="3"/>
  <c r="O28" i="3"/>
  <c r="O24" i="3"/>
  <c r="O29" i="3"/>
  <c r="O25" i="3"/>
  <c r="O26" i="3"/>
  <c r="O30" i="3"/>
  <c r="O22" i="3"/>
  <c r="G31" i="3"/>
  <c r="G27" i="3"/>
  <c r="G23" i="3"/>
  <c r="G32" i="3"/>
  <c r="G28" i="3"/>
  <c r="G24" i="3"/>
  <c r="G29" i="3"/>
  <c r="G25" i="3"/>
  <c r="G26" i="3"/>
  <c r="G30" i="3"/>
  <c r="G22" i="3"/>
  <c r="Y32" i="3"/>
  <c r="Y28" i="3"/>
  <c r="Y24" i="3"/>
  <c r="Y29" i="3"/>
  <c r="Y25" i="3"/>
  <c r="Y30" i="3"/>
  <c r="Y26" i="3"/>
  <c r="Y22" i="3"/>
  <c r="Y23" i="3"/>
  <c r="Y27" i="3"/>
  <c r="Y31" i="3"/>
  <c r="V30" i="3"/>
  <c r="V26" i="3"/>
  <c r="V22" i="3"/>
  <c r="V31" i="3"/>
  <c r="V27" i="3"/>
  <c r="V23" i="3"/>
  <c r="V32" i="3"/>
  <c r="V28" i="3"/>
  <c r="V24" i="3"/>
  <c r="V29" i="3"/>
  <c r="V25" i="3"/>
  <c r="N30" i="3"/>
  <c r="N26" i="3"/>
  <c r="N22" i="3"/>
  <c r="N31" i="3"/>
  <c r="N27" i="3"/>
  <c r="N23" i="3"/>
  <c r="N32" i="3"/>
  <c r="N28" i="3"/>
  <c r="N24" i="3"/>
  <c r="N29" i="3"/>
  <c r="N25" i="3"/>
  <c r="F30" i="3"/>
  <c r="F26" i="3"/>
  <c r="F22" i="3"/>
  <c r="F31" i="3"/>
  <c r="F27" i="3"/>
  <c r="F23" i="3"/>
  <c r="F32" i="3"/>
  <c r="F28" i="3"/>
  <c r="F24" i="3"/>
  <c r="F29" i="3"/>
  <c r="F25" i="3"/>
  <c r="M30" i="3"/>
  <c r="M26" i="3"/>
  <c r="M22" i="3"/>
  <c r="M31" i="3"/>
  <c r="M27" i="3"/>
  <c r="M23" i="3"/>
  <c r="M32" i="3"/>
  <c r="M28" i="3"/>
  <c r="M24" i="3"/>
  <c r="M25" i="3"/>
  <c r="M29" i="3"/>
  <c r="E30" i="3"/>
  <c r="E26" i="3"/>
  <c r="E22" i="3"/>
  <c r="E31" i="3"/>
  <c r="E27" i="3"/>
  <c r="E23" i="3"/>
  <c r="E32" i="3"/>
  <c r="E28" i="3"/>
  <c r="E24" i="3"/>
  <c r="E29" i="3"/>
  <c r="E25" i="3"/>
  <c r="T29" i="3"/>
  <c r="T25" i="3"/>
  <c r="T30" i="3"/>
  <c r="T26" i="3"/>
  <c r="T22" i="3"/>
  <c r="T31" i="3"/>
  <c r="T27" i="3"/>
  <c r="T23" i="3"/>
  <c r="T32" i="3"/>
  <c r="T28" i="3"/>
  <c r="T24" i="3"/>
  <c r="L29" i="3"/>
  <c r="L25" i="3"/>
  <c r="L30" i="3"/>
  <c r="L26" i="3"/>
  <c r="L22" i="3"/>
  <c r="L31" i="3"/>
  <c r="L27" i="3"/>
  <c r="L23" i="3"/>
  <c r="L32" i="3"/>
  <c r="L28" i="3"/>
  <c r="L24" i="3"/>
  <c r="D29" i="3"/>
  <c r="D25" i="3"/>
  <c r="D30" i="3"/>
  <c r="D26" i="3"/>
  <c r="D22" i="3"/>
  <c r="D31" i="3"/>
  <c r="D27" i="3"/>
  <c r="D23" i="3"/>
  <c r="D32" i="3"/>
  <c r="D28" i="3"/>
  <c r="D24" i="3"/>
  <c r="Q32" i="3"/>
  <c r="Q28" i="3"/>
  <c r="Q24" i="3"/>
  <c r="Q29" i="3"/>
  <c r="Q25" i="3"/>
  <c r="Q30" i="3"/>
  <c r="Q26" i="3"/>
  <c r="Q22" i="3"/>
  <c r="Q23" i="3"/>
  <c r="Q27" i="3"/>
  <c r="Q31" i="3"/>
  <c r="S29" i="3"/>
  <c r="S25" i="3"/>
  <c r="S30" i="3"/>
  <c r="S26" i="3"/>
  <c r="S22" i="3"/>
  <c r="S31" i="3"/>
  <c r="S27" i="3"/>
  <c r="S23" i="3"/>
  <c r="S24" i="3"/>
  <c r="S28" i="3"/>
  <c r="S32" i="3"/>
  <c r="K29" i="3"/>
  <c r="K25" i="3"/>
  <c r="K30" i="3"/>
  <c r="K26" i="3"/>
  <c r="K22" i="3"/>
  <c r="K31" i="3"/>
  <c r="K27" i="3"/>
  <c r="K23" i="3"/>
  <c r="K24" i="3"/>
  <c r="K28" i="3"/>
  <c r="K32" i="3"/>
  <c r="C29" i="3"/>
  <c r="C25" i="3"/>
  <c r="C30" i="3"/>
  <c r="C26" i="3"/>
  <c r="C22" i="3"/>
  <c r="C31" i="3"/>
  <c r="C27" i="3"/>
  <c r="C28" i="3"/>
  <c r="C24" i="3"/>
  <c r="C32" i="3"/>
  <c r="C23" i="3"/>
  <c r="I32" i="3"/>
  <c r="I28" i="3"/>
  <c r="I24" i="3"/>
  <c r="I29" i="3"/>
  <c r="I25" i="3"/>
  <c r="I30" i="3"/>
  <c r="I26" i="3"/>
  <c r="I31" i="3"/>
  <c r="I22" i="3"/>
  <c r="I27" i="3"/>
  <c r="I23" i="3"/>
  <c r="U30" i="3"/>
  <c r="U26" i="3"/>
  <c r="U22" i="3"/>
  <c r="U31" i="3"/>
  <c r="U27" i="3"/>
  <c r="U23" i="3"/>
  <c r="U32" i="3"/>
  <c r="U28" i="3"/>
  <c r="U24" i="3"/>
  <c r="U25" i="3"/>
  <c r="U29" i="3"/>
  <c r="R32" i="3"/>
  <c r="R28" i="3"/>
  <c r="R24" i="3"/>
  <c r="R29" i="3"/>
  <c r="R25" i="3"/>
  <c r="R30" i="3"/>
  <c r="R26" i="3"/>
  <c r="R22" i="3"/>
  <c r="R31" i="3"/>
  <c r="R27" i="3"/>
  <c r="R23" i="3"/>
  <c r="J32" i="3"/>
  <c r="J28" i="3"/>
  <c r="J24" i="3"/>
  <c r="J29" i="3"/>
  <c r="J25" i="3"/>
  <c r="J30" i="3"/>
  <c r="J26" i="3"/>
  <c r="J22" i="3"/>
  <c r="J31" i="3"/>
  <c r="J27" i="3"/>
  <c r="J23" i="3"/>
  <c r="B28" i="3"/>
  <c r="B29" i="3"/>
  <c r="B30" i="3"/>
  <c r="B31" i="3"/>
  <c r="B24" i="3"/>
  <c r="B32" i="3"/>
  <c r="B26" i="3"/>
  <c r="B22" i="3"/>
  <c r="B27" i="3"/>
  <c r="B23" i="3"/>
  <c r="B25" i="3"/>
  <c r="L6" i="3"/>
  <c r="E10" i="3"/>
  <c r="I10" i="3"/>
  <c r="K10" i="3"/>
  <c r="G10" i="3"/>
  <c r="C10" i="3"/>
  <c r="L42" i="3"/>
  <c r="H10" i="3"/>
  <c r="D10" i="3"/>
  <c r="J10" i="3"/>
  <c r="L3" i="3"/>
  <c r="B10" i="3"/>
  <c r="L9" i="3"/>
  <c r="F45" i="3"/>
  <c r="L45" i="3" s="1"/>
  <c r="F10" i="3"/>
  <c r="X21" i="3" l="1"/>
  <c r="U33" i="3"/>
  <c r="K33" i="3"/>
  <c r="Q33" i="3"/>
  <c r="I33" i="3"/>
  <c r="L33" i="3"/>
  <c r="M33" i="3"/>
  <c r="O33" i="3"/>
  <c r="V33" i="3"/>
  <c r="P33" i="3"/>
  <c r="C33" i="3"/>
  <c r="T33" i="3"/>
  <c r="J33" i="3"/>
  <c r="S33" i="3"/>
  <c r="F33" i="3"/>
  <c r="W33" i="3"/>
  <c r="D33" i="3"/>
  <c r="Y33" i="3"/>
  <c r="X33" i="3"/>
  <c r="E33" i="3"/>
  <c r="G33" i="3"/>
  <c r="R33" i="3"/>
  <c r="N33" i="3"/>
  <c r="H33" i="3"/>
  <c r="B33" i="3"/>
  <c r="L10" i="3"/>
  <c r="Z32" i="3" l="1"/>
  <c r="Z31" i="3"/>
  <c r="Z28" i="3"/>
  <c r="Z27" i="3"/>
  <c r="Z29" i="3"/>
  <c r="Z24" i="3"/>
  <c r="Z23" i="3"/>
  <c r="Z30" i="3"/>
  <c r="Z22" i="3"/>
  <c r="Z25" i="3"/>
  <c r="Z26" i="3"/>
  <c r="Y21" i="3"/>
  <c r="Z33" i="3" l="1"/>
  <c r="AA30" i="3"/>
  <c r="AA32" i="3"/>
  <c r="AA26" i="3"/>
  <c r="AA25" i="3"/>
  <c r="AA22" i="3"/>
  <c r="AA31" i="3"/>
  <c r="AA27" i="3"/>
  <c r="AA23" i="3"/>
  <c r="AA28" i="3"/>
  <c r="AA29" i="3"/>
  <c r="AA24" i="3"/>
  <c r="Z21" i="3"/>
  <c r="AB25" i="3" l="1"/>
  <c r="AB28" i="3"/>
  <c r="AB30" i="3"/>
  <c r="AB24" i="3"/>
  <c r="AB29" i="3"/>
  <c r="AB26" i="3"/>
  <c r="AB22" i="3"/>
  <c r="AB32" i="3"/>
  <c r="AB31" i="3"/>
  <c r="AB27" i="3"/>
  <c r="AB23" i="3"/>
  <c r="AA33" i="3"/>
  <c r="AA21" i="3"/>
  <c r="R1" i="13" l="1"/>
  <c r="AB33" i="3"/>
  <c r="AB21" i="3"/>
  <c r="AC27" i="3"/>
  <c r="AC23" i="3"/>
  <c r="AC32" i="3"/>
  <c r="AC28" i="3"/>
  <c r="AC30" i="3"/>
  <c r="AC24" i="3"/>
  <c r="AC26" i="3"/>
  <c r="AC25" i="3"/>
  <c r="AC22" i="3"/>
  <c r="AC29" i="3"/>
  <c r="AC31" i="3"/>
  <c r="R35" i="13" l="1"/>
  <c r="S35" i="13" s="1"/>
  <c r="R31" i="13"/>
  <c r="S31" i="13" s="1"/>
  <c r="R32" i="13"/>
  <c r="S32" i="13" s="1"/>
  <c r="R34" i="13"/>
  <c r="S34" i="13" s="1"/>
  <c r="R30" i="13"/>
  <c r="S30" i="13" s="1"/>
  <c r="R28" i="13"/>
  <c r="S28" i="13" s="1"/>
  <c r="R36" i="13"/>
  <c r="S36" i="13" s="1"/>
  <c r="R29" i="13"/>
  <c r="S29" i="13" s="1"/>
  <c r="R33" i="13"/>
  <c r="S33" i="13" s="1"/>
  <c r="R27" i="13"/>
  <c r="S27" i="13" s="1"/>
  <c r="R10" i="13"/>
  <c r="S10" i="13" s="1"/>
  <c r="R18" i="13"/>
  <c r="S18" i="13" s="1"/>
  <c r="R13" i="13"/>
  <c r="S13" i="13" s="1"/>
  <c r="R6" i="13"/>
  <c r="S6" i="13" s="1"/>
  <c r="R23" i="13"/>
  <c r="S23" i="13" s="1"/>
  <c r="R12" i="13"/>
  <c r="S12" i="13" s="1"/>
  <c r="R26" i="13"/>
  <c r="S26" i="13" s="1"/>
  <c r="R20" i="13"/>
  <c r="S20" i="13" s="1"/>
  <c r="R5" i="13"/>
  <c r="S5" i="13" s="1"/>
  <c r="R4" i="13"/>
  <c r="S4" i="13" s="1"/>
  <c r="R19" i="13"/>
  <c r="S19" i="13" s="1"/>
  <c r="R14" i="13"/>
  <c r="S14" i="13" s="1"/>
  <c r="R16" i="13"/>
  <c r="S16" i="13" s="1"/>
  <c r="R11" i="13"/>
  <c r="S11" i="13" s="1"/>
  <c r="R9" i="13"/>
  <c r="S9" i="13" s="1"/>
  <c r="R7" i="13"/>
  <c r="S7" i="13" s="1"/>
  <c r="R15" i="13"/>
  <c r="S15" i="13" s="1"/>
  <c r="R17" i="13"/>
  <c r="S17" i="13" s="1"/>
  <c r="R8" i="13"/>
  <c r="S8" i="13" s="1"/>
  <c r="R25" i="13"/>
  <c r="S25" i="13" s="1"/>
  <c r="R22" i="13"/>
  <c r="S22" i="13" s="1"/>
  <c r="R3" i="13"/>
  <c r="S3" i="13" s="1"/>
  <c r="R24" i="13"/>
  <c r="S24" i="13" s="1"/>
  <c r="R21" i="13"/>
  <c r="S21" i="13" s="1"/>
  <c r="AC33" i="3"/>
  <c r="AC21" i="3"/>
  <c r="AD32" i="3"/>
  <c r="AD28" i="3"/>
  <c r="AD30" i="3"/>
  <c r="AD24" i="3"/>
  <c r="AD26" i="3"/>
  <c r="AD29" i="3"/>
  <c r="AD22" i="3"/>
  <c r="AD25" i="3"/>
  <c r="AD23" i="3"/>
  <c r="AD31" i="3"/>
  <c r="AD27" i="3"/>
  <c r="G1" i="13" l="1"/>
  <c r="L1" i="13"/>
  <c r="N1" i="13"/>
  <c r="K1" i="13"/>
  <c r="H1" i="13"/>
  <c r="Q1" i="13"/>
  <c r="I1" i="13"/>
  <c r="J1" i="13"/>
  <c r="P1" i="13"/>
  <c r="O1" i="13"/>
  <c r="M1" i="13"/>
  <c r="F1" i="13"/>
  <c r="AD33" i="3"/>
  <c r="AD21" i="3"/>
  <c r="AE23" i="3"/>
  <c r="AE30" i="3"/>
  <c r="AE32" i="3"/>
  <c r="AE25" i="3"/>
  <c r="AE22" i="3"/>
  <c r="AE28" i="3"/>
  <c r="AE27" i="3"/>
  <c r="AE24" i="3"/>
  <c r="AE29" i="3"/>
  <c r="AE26" i="3"/>
  <c r="AE31" i="3"/>
  <c r="AF31" i="3"/>
  <c r="AF30" i="3"/>
  <c r="AF27" i="3"/>
  <c r="AF26" i="3"/>
  <c r="AF23" i="3"/>
  <c r="AF22" i="3"/>
  <c r="AF32" i="3"/>
  <c r="AF28" i="3"/>
  <c r="AF24" i="3"/>
  <c r="AF29" i="3"/>
  <c r="AF25" i="3"/>
  <c r="AG28" i="3" l="1"/>
  <c r="AG29" i="3"/>
  <c r="AG27" i="3"/>
  <c r="I32" i="13"/>
  <c r="I31" i="13"/>
  <c r="I30" i="13"/>
  <c r="I28" i="13"/>
  <c r="I33" i="13"/>
  <c r="I29" i="13"/>
  <c r="I36" i="13"/>
  <c r="I35" i="13"/>
  <c r="I34" i="13"/>
  <c r="I17" i="13"/>
  <c r="I16" i="13"/>
  <c r="I6" i="13"/>
  <c r="I20" i="13"/>
  <c r="I26" i="13"/>
  <c r="I11" i="13"/>
  <c r="I4" i="13"/>
  <c r="I23" i="13"/>
  <c r="I10" i="13"/>
  <c r="I21" i="13"/>
  <c r="I7" i="13"/>
  <c r="I14" i="13"/>
  <c r="I9" i="13"/>
  <c r="I22" i="13"/>
  <c r="I13" i="13"/>
  <c r="I24" i="13"/>
  <c r="I15" i="13"/>
  <c r="I25" i="13"/>
  <c r="I3" i="13"/>
  <c r="I8" i="13"/>
  <c r="I27" i="13"/>
  <c r="I19" i="13"/>
  <c r="I18" i="13"/>
  <c r="I5" i="13"/>
  <c r="I12" i="13"/>
  <c r="Q29" i="13"/>
  <c r="Q28" i="13"/>
  <c r="Q36" i="13"/>
  <c r="Q31" i="13"/>
  <c r="Q34" i="13"/>
  <c r="Q30" i="13"/>
  <c r="Q33" i="13"/>
  <c r="Q32" i="13"/>
  <c r="Q35" i="13"/>
  <c r="Q17" i="13"/>
  <c r="Q16" i="13"/>
  <c r="Q6" i="13"/>
  <c r="Q20" i="13"/>
  <c r="Q11" i="13"/>
  <c r="Q26" i="13"/>
  <c r="Q4" i="13"/>
  <c r="Q21" i="13"/>
  <c r="Q7" i="13"/>
  <c r="Q22" i="13"/>
  <c r="Q14" i="13"/>
  <c r="Q13" i="13"/>
  <c r="Q9" i="13"/>
  <c r="Q24" i="13"/>
  <c r="Q15" i="13"/>
  <c r="Q3" i="13"/>
  <c r="Q8" i="13"/>
  <c r="Q25" i="13"/>
  <c r="Q27" i="13"/>
  <c r="Q19" i="13"/>
  <c r="Q23" i="13"/>
  <c r="Q10" i="13"/>
  <c r="Q18" i="13"/>
  <c r="Q5" i="13"/>
  <c r="Q12" i="13"/>
  <c r="H32" i="13"/>
  <c r="H36" i="13"/>
  <c r="H35" i="13"/>
  <c r="H31" i="13"/>
  <c r="H28" i="13"/>
  <c r="H34" i="13"/>
  <c r="H30" i="13"/>
  <c r="H29" i="13"/>
  <c r="H33" i="13"/>
  <c r="H16" i="13"/>
  <c r="H17" i="13"/>
  <c r="H6" i="13"/>
  <c r="H20" i="13"/>
  <c r="H26" i="13"/>
  <c r="H11" i="13"/>
  <c r="H4" i="13"/>
  <c r="H15" i="13"/>
  <c r="H23" i="13"/>
  <c r="H21" i="13"/>
  <c r="H25" i="13"/>
  <c r="H19" i="13"/>
  <c r="H9" i="13"/>
  <c r="H10" i="13"/>
  <c r="H24" i="13"/>
  <c r="H7" i="13"/>
  <c r="H3" i="13"/>
  <c r="H8" i="13"/>
  <c r="H13" i="13"/>
  <c r="H22" i="13"/>
  <c r="H27" i="13"/>
  <c r="H14" i="13"/>
  <c r="H18" i="13"/>
  <c r="H12" i="13"/>
  <c r="H5" i="13"/>
  <c r="AG31" i="3"/>
  <c r="F33" i="13"/>
  <c r="F31" i="13"/>
  <c r="F29" i="13"/>
  <c r="F36" i="13"/>
  <c r="F34" i="13"/>
  <c r="F35" i="13"/>
  <c r="F28" i="13"/>
  <c r="F30" i="13"/>
  <c r="F32" i="13"/>
  <c r="F17" i="13"/>
  <c r="F16" i="13"/>
  <c r="F6" i="13"/>
  <c r="F20" i="13"/>
  <c r="F11" i="13"/>
  <c r="F26" i="13"/>
  <c r="F4" i="13"/>
  <c r="F22" i="13"/>
  <c r="F15" i="13"/>
  <c r="F10" i="13"/>
  <c r="F23" i="13"/>
  <c r="F21" i="13"/>
  <c r="F25" i="13"/>
  <c r="F14" i="13"/>
  <c r="F24" i="13"/>
  <c r="F19" i="13"/>
  <c r="F9" i="13"/>
  <c r="F7" i="13"/>
  <c r="F3" i="13"/>
  <c r="F13" i="13"/>
  <c r="F8" i="13"/>
  <c r="F27" i="13"/>
  <c r="F18" i="13"/>
  <c r="F5" i="13"/>
  <c r="F12" i="13"/>
  <c r="K35" i="13"/>
  <c r="K28" i="13"/>
  <c r="K32" i="13"/>
  <c r="K29" i="13"/>
  <c r="K31" i="13"/>
  <c r="K30" i="13"/>
  <c r="K34" i="13"/>
  <c r="K36" i="13"/>
  <c r="K33" i="13"/>
  <c r="K16" i="13"/>
  <c r="K17" i="13"/>
  <c r="K20" i="13"/>
  <c r="K6" i="13"/>
  <c r="K11" i="13"/>
  <c r="K26" i="13"/>
  <c r="K4" i="13"/>
  <c r="K14" i="13"/>
  <c r="K22" i="13"/>
  <c r="K9" i="13"/>
  <c r="K15" i="13"/>
  <c r="K24" i="13"/>
  <c r="K3" i="13"/>
  <c r="K25" i="13"/>
  <c r="K8" i="13"/>
  <c r="K19" i="13"/>
  <c r="K27" i="13"/>
  <c r="K10" i="13"/>
  <c r="K7" i="13"/>
  <c r="K23" i="13"/>
  <c r="K21" i="13"/>
  <c r="K13" i="13"/>
  <c r="K18" i="13"/>
  <c r="K12" i="13"/>
  <c r="K5" i="13"/>
  <c r="M29" i="13"/>
  <c r="M30" i="13"/>
  <c r="M34" i="13"/>
  <c r="M33" i="13"/>
  <c r="M31" i="13"/>
  <c r="M36" i="13"/>
  <c r="M32" i="13"/>
  <c r="M28" i="13"/>
  <c r="M35" i="13"/>
  <c r="M17" i="13"/>
  <c r="M16" i="13"/>
  <c r="M20" i="13"/>
  <c r="M6" i="13"/>
  <c r="M11" i="13"/>
  <c r="M26" i="13"/>
  <c r="M4" i="13"/>
  <c r="M22" i="13"/>
  <c r="M8" i="13"/>
  <c r="M15" i="13"/>
  <c r="M27" i="13"/>
  <c r="M25" i="13"/>
  <c r="M21" i="13"/>
  <c r="M19" i="13"/>
  <c r="M14" i="13"/>
  <c r="M23" i="13"/>
  <c r="M10" i="13"/>
  <c r="M9" i="13"/>
  <c r="M7" i="13"/>
  <c r="M24" i="13"/>
  <c r="M13" i="13"/>
  <c r="M3" i="13"/>
  <c r="M18" i="13"/>
  <c r="M5" i="13"/>
  <c r="M12" i="13"/>
  <c r="N35" i="13"/>
  <c r="N30" i="13"/>
  <c r="N32" i="13"/>
  <c r="N34" i="13"/>
  <c r="N31" i="13"/>
  <c r="N33" i="13"/>
  <c r="N36" i="13"/>
  <c r="N28" i="13"/>
  <c r="N29" i="13"/>
  <c r="N17" i="13"/>
  <c r="N16" i="13"/>
  <c r="N20" i="13"/>
  <c r="N6" i="13"/>
  <c r="N11" i="13"/>
  <c r="N26" i="13"/>
  <c r="N4" i="13"/>
  <c r="N24" i="13"/>
  <c r="N15" i="13"/>
  <c r="N23" i="13"/>
  <c r="N22" i="13"/>
  <c r="N10" i="13"/>
  <c r="N27" i="13"/>
  <c r="N21" i="13"/>
  <c r="N25" i="13"/>
  <c r="N19" i="13"/>
  <c r="N9" i="13"/>
  <c r="N7" i="13"/>
  <c r="N3" i="13"/>
  <c r="N14" i="13"/>
  <c r="N13" i="13"/>
  <c r="N8" i="13"/>
  <c r="N18" i="13"/>
  <c r="N12" i="13"/>
  <c r="N5" i="13"/>
  <c r="P28" i="13"/>
  <c r="P34" i="13"/>
  <c r="P35" i="13"/>
  <c r="P31" i="13"/>
  <c r="P29" i="13"/>
  <c r="P33" i="13"/>
  <c r="P32" i="13"/>
  <c r="P36" i="13"/>
  <c r="P30" i="13"/>
  <c r="P17" i="13"/>
  <c r="P16" i="13"/>
  <c r="P6" i="13"/>
  <c r="P20" i="13"/>
  <c r="P11" i="13"/>
  <c r="P26" i="13"/>
  <c r="P4" i="13"/>
  <c r="P21" i="13"/>
  <c r="P25" i="13"/>
  <c r="P14" i="13"/>
  <c r="P19" i="13"/>
  <c r="P9" i="13"/>
  <c r="P10" i="13"/>
  <c r="P24" i="13"/>
  <c r="P7" i="13"/>
  <c r="P3" i="13"/>
  <c r="P13" i="13"/>
  <c r="P8" i="13"/>
  <c r="P22" i="13"/>
  <c r="P27" i="13"/>
  <c r="P15" i="13"/>
  <c r="P23" i="13"/>
  <c r="P18" i="13"/>
  <c r="P5" i="13"/>
  <c r="P12" i="13"/>
  <c r="G36" i="13"/>
  <c r="G30" i="13"/>
  <c r="G34" i="13"/>
  <c r="G33" i="13"/>
  <c r="G32" i="13"/>
  <c r="G35" i="13"/>
  <c r="G28" i="13"/>
  <c r="G29" i="13"/>
  <c r="G31" i="13"/>
  <c r="G17" i="13"/>
  <c r="G16" i="13"/>
  <c r="G6" i="13"/>
  <c r="G20" i="13"/>
  <c r="G26" i="13"/>
  <c r="G11" i="13"/>
  <c r="G4" i="13"/>
  <c r="G15" i="13"/>
  <c r="G23" i="13"/>
  <c r="G21" i="13"/>
  <c r="G25" i="13"/>
  <c r="G14" i="13"/>
  <c r="G19" i="13"/>
  <c r="G9" i="13"/>
  <c r="G10" i="13"/>
  <c r="G24" i="13"/>
  <c r="G7" i="13"/>
  <c r="G3" i="13"/>
  <c r="G13" i="13"/>
  <c r="G8" i="13"/>
  <c r="G22" i="13"/>
  <c r="G27" i="13"/>
  <c r="G18" i="13"/>
  <c r="G12" i="13"/>
  <c r="G5" i="13"/>
  <c r="O36" i="13"/>
  <c r="O32" i="13"/>
  <c r="O31" i="13"/>
  <c r="O29" i="13"/>
  <c r="O35" i="13"/>
  <c r="O28" i="13"/>
  <c r="O30" i="13"/>
  <c r="O33" i="13"/>
  <c r="O34" i="13"/>
  <c r="O16" i="13"/>
  <c r="O17" i="13"/>
  <c r="O20" i="13"/>
  <c r="O6" i="13"/>
  <c r="O26" i="13"/>
  <c r="O11" i="13"/>
  <c r="O4" i="13"/>
  <c r="O21" i="13"/>
  <c r="O9" i="13"/>
  <c r="O25" i="13"/>
  <c r="O14" i="13"/>
  <c r="O19" i="13"/>
  <c r="O10" i="13"/>
  <c r="O24" i="13"/>
  <c r="O7" i="13"/>
  <c r="O3" i="13"/>
  <c r="O27" i="13"/>
  <c r="O13" i="13"/>
  <c r="O8" i="13"/>
  <c r="O22" i="13"/>
  <c r="O15" i="13"/>
  <c r="O23" i="13"/>
  <c r="O18" i="13"/>
  <c r="O12" i="13"/>
  <c r="O5" i="13"/>
  <c r="L35" i="13"/>
  <c r="L34" i="13"/>
  <c r="L33" i="13"/>
  <c r="L36" i="13"/>
  <c r="L32" i="13"/>
  <c r="L28" i="13"/>
  <c r="L31" i="13"/>
  <c r="L29" i="13"/>
  <c r="L30" i="13"/>
  <c r="L17" i="13"/>
  <c r="L16" i="13"/>
  <c r="L20" i="13"/>
  <c r="L6" i="13"/>
  <c r="L11" i="13"/>
  <c r="L26" i="13"/>
  <c r="L4" i="13"/>
  <c r="L14" i="13"/>
  <c r="L22" i="13"/>
  <c r="L9" i="13"/>
  <c r="L15" i="13"/>
  <c r="L24" i="13"/>
  <c r="L3" i="13"/>
  <c r="L25" i="13"/>
  <c r="L8" i="13"/>
  <c r="L19" i="13"/>
  <c r="L7" i="13"/>
  <c r="L27" i="13"/>
  <c r="L10" i="13"/>
  <c r="L23" i="13"/>
  <c r="L21" i="13"/>
  <c r="L13" i="13"/>
  <c r="L18" i="13"/>
  <c r="L12" i="13"/>
  <c r="L5" i="13"/>
  <c r="J32" i="13"/>
  <c r="J28" i="13"/>
  <c r="J36" i="13"/>
  <c r="J29" i="13"/>
  <c r="J35" i="13"/>
  <c r="J31" i="13"/>
  <c r="J30" i="13"/>
  <c r="J34" i="13"/>
  <c r="J33" i="13"/>
  <c r="J16" i="13"/>
  <c r="J17" i="13"/>
  <c r="J6" i="13"/>
  <c r="J20" i="13"/>
  <c r="J11" i="13"/>
  <c r="J26" i="13"/>
  <c r="J4" i="13"/>
  <c r="J24" i="13"/>
  <c r="J21" i="13"/>
  <c r="J13" i="13"/>
  <c r="J10" i="13"/>
  <c r="J14" i="13"/>
  <c r="J27" i="13"/>
  <c r="J15" i="13"/>
  <c r="J9" i="13"/>
  <c r="J3" i="13"/>
  <c r="J25" i="13"/>
  <c r="J22" i="13"/>
  <c r="J8" i="13"/>
  <c r="J19" i="13"/>
  <c r="J23" i="13"/>
  <c r="J7" i="13"/>
  <c r="J18" i="13"/>
  <c r="J12" i="13"/>
  <c r="J5" i="13"/>
  <c r="AG25" i="3"/>
  <c r="AG30" i="3"/>
  <c r="AG22" i="3"/>
  <c r="AE33" i="3"/>
  <c r="AF33" i="3"/>
  <c r="AE21" i="3"/>
  <c r="AG26" i="3"/>
  <c r="AG23" i="3"/>
  <c r="AG24" i="3"/>
  <c r="AG33" i="3" l="1"/>
  <c r="AF21" i="3"/>
  <c r="AG32" i="3"/>
</calcChain>
</file>

<file path=xl/sharedStrings.xml><?xml version="1.0" encoding="utf-8"?>
<sst xmlns="http://schemas.openxmlformats.org/spreadsheetml/2006/main" count="3618" uniqueCount="165">
  <si>
    <t>Summary</t>
  </si>
  <si>
    <t>Attended</t>
  </si>
  <si>
    <t>No Show</t>
  </si>
  <si>
    <t>OFF</t>
  </si>
  <si>
    <t>Displayname</t>
  </si>
  <si>
    <t>Username</t>
  </si>
  <si>
    <t>Leader</t>
  </si>
  <si>
    <t>UPL</t>
  </si>
  <si>
    <t>Annual</t>
  </si>
  <si>
    <t>Bereavement</t>
  </si>
  <si>
    <t>App Issue</t>
  </si>
  <si>
    <t>Team Leader</t>
  </si>
  <si>
    <t>Grand Total</t>
  </si>
  <si>
    <t>Sum of No Show</t>
  </si>
  <si>
    <t>Sum of Annual</t>
  </si>
  <si>
    <t>Sum of Bereavement</t>
  </si>
  <si>
    <t>Sum of UPL</t>
  </si>
  <si>
    <t>Sum of App Issue</t>
  </si>
  <si>
    <t>Total</t>
  </si>
  <si>
    <t>Sum of OFF</t>
  </si>
  <si>
    <t>Monthly Attendance Tracker</t>
  </si>
  <si>
    <t>Compensation</t>
  </si>
  <si>
    <t>Absenteeism%</t>
  </si>
  <si>
    <t>Sum of Compensation</t>
  </si>
  <si>
    <t>Sum of Attended</t>
  </si>
  <si>
    <t>Scheduled</t>
  </si>
  <si>
    <t>Task</t>
  </si>
  <si>
    <t>Res</t>
  </si>
  <si>
    <t>Sick</t>
  </si>
  <si>
    <t>Sum of Sick</t>
  </si>
  <si>
    <t>SPV</t>
  </si>
  <si>
    <t>Resignation</t>
  </si>
  <si>
    <t>Sum of Resignation</t>
  </si>
  <si>
    <t>Training</t>
  </si>
  <si>
    <t>Suspension</t>
  </si>
  <si>
    <t>Row Labels</t>
  </si>
  <si>
    <t>Sum of Suspension</t>
  </si>
  <si>
    <t>Monthly Conformance Tracker</t>
  </si>
  <si>
    <t>(blank)</t>
  </si>
  <si>
    <t>Missing</t>
  </si>
  <si>
    <t>Type</t>
  </si>
  <si>
    <t>Ahmed Hamed-Mohamed</t>
  </si>
  <si>
    <t>Desouky Ramadan-Mohamed</t>
  </si>
  <si>
    <t>Kareem Mohamed-AbdElMetaal</t>
  </si>
  <si>
    <t>Conformance Per H</t>
  </si>
  <si>
    <t>Conformance Per D</t>
  </si>
  <si>
    <t>V22HRassoul</t>
  </si>
  <si>
    <t>Hend Yousry-AbdElRassoul</t>
  </si>
  <si>
    <t>V23MGelil</t>
  </si>
  <si>
    <t>Mohamed Ali-AbdElGelil</t>
  </si>
  <si>
    <t>V24OMahmoud</t>
  </si>
  <si>
    <t>Omar Emad-Mahmoud</t>
  </si>
  <si>
    <t>V24AHassan6</t>
  </si>
  <si>
    <t>Aya Mohamed-Hassan</t>
  </si>
  <si>
    <t xml:space="preserve">Nada AbdElAzim -Ahmed </t>
  </si>
  <si>
    <t>V22MAshrafy</t>
  </si>
  <si>
    <t>Merna Ashraf-Ashrafy</t>
  </si>
  <si>
    <t>V24SAhmed28</t>
  </si>
  <si>
    <t>Salma Taha-Ahmed</t>
  </si>
  <si>
    <t>V24AKelany</t>
  </si>
  <si>
    <t>AbdElRahman Adel-ElKelany</t>
  </si>
  <si>
    <t>V24OSamea</t>
  </si>
  <si>
    <t xml:space="preserve">Omnia Salah-AbdElSamea </t>
  </si>
  <si>
    <t>V24AMohamed142</t>
  </si>
  <si>
    <t>Ahmed Hany-Mohamed</t>
  </si>
  <si>
    <t>V24KKhalek1</t>
  </si>
  <si>
    <t>Khaled Waleed-AbdElKhalek</t>
  </si>
  <si>
    <t>V25RFarag3</t>
  </si>
  <si>
    <t xml:space="preserve">Rawan Ayman-Farag </t>
  </si>
  <si>
    <t>V25ASamir2</t>
  </si>
  <si>
    <t>AbdElRahman Mohamed-Samir</t>
  </si>
  <si>
    <t>V25SZekry</t>
  </si>
  <si>
    <t>Safaa Safwat-Zekry</t>
  </si>
  <si>
    <t>V24OMohamed10</t>
  </si>
  <si>
    <t>Osama Magdy-Mohamed</t>
  </si>
  <si>
    <t>V25TAhmed3</t>
  </si>
  <si>
    <t>Tarek Ayman-Ahmed</t>
  </si>
  <si>
    <t>V25ARizk</t>
  </si>
  <si>
    <t>Ahmed Sameh-Rizk</t>
  </si>
  <si>
    <t>V25YMohamed24</t>
  </si>
  <si>
    <t>Yasmine Waleed-Mohamed</t>
  </si>
  <si>
    <t>V25NSaeed1</t>
  </si>
  <si>
    <t>Nouran AbdAllah-Saeed</t>
  </si>
  <si>
    <t>V25JRazek</t>
  </si>
  <si>
    <t>Jana HossamElDin-AbdElRazek</t>
  </si>
  <si>
    <t>V25OAzab</t>
  </si>
  <si>
    <t>Omnia Wageeh-ElAzab</t>
  </si>
  <si>
    <t>V25MHassanien</t>
  </si>
  <si>
    <t>Mohamed Adel-Hassanien</t>
  </si>
  <si>
    <t>V25OMahmoud1</t>
  </si>
  <si>
    <t>Ola Essam-Mahmoud</t>
  </si>
  <si>
    <t>V25YMohamed7</t>
  </si>
  <si>
    <t>Youssef Hamdy-Mohamed</t>
  </si>
  <si>
    <t>V25AHussein9</t>
  </si>
  <si>
    <t>Ahmed Khaled-Hussein</t>
  </si>
  <si>
    <t>V24ASaeed11</t>
  </si>
  <si>
    <t>Ali Bahat-Saeed</t>
  </si>
  <si>
    <t>V25BHassan3</t>
  </si>
  <si>
    <t>Bassant Salah-Hassan</t>
  </si>
  <si>
    <t>V25MHamdy1</t>
  </si>
  <si>
    <t>Mohada Mohamed-Hamdy</t>
  </si>
  <si>
    <t>V25AMahmoud45</t>
  </si>
  <si>
    <t>Aya Ezzat-Mahmoud</t>
  </si>
  <si>
    <t>Mohamed Ahmed-Nagy</t>
  </si>
  <si>
    <t>VF-Cash Red</t>
  </si>
  <si>
    <t>NM Tardy</t>
  </si>
  <si>
    <t>Tardy</t>
  </si>
  <si>
    <t>Monthly Tardy Tracker</t>
  </si>
  <si>
    <t>V25IZakaria</t>
  </si>
  <si>
    <t>Islam Gamal-Zakaria</t>
  </si>
  <si>
    <t>Nesting</t>
  </si>
  <si>
    <t>V25AAziz28</t>
  </si>
  <si>
    <t>AbdAllah Shaker-AbdElAziz</t>
  </si>
  <si>
    <t>V25HAhmed43</t>
  </si>
  <si>
    <t>Hatem Ibrahim-Ahmed</t>
  </si>
  <si>
    <t>V25AEwis2</t>
  </si>
  <si>
    <t>Ahmed Magdy-Ewis</t>
  </si>
  <si>
    <t>V25AEldemerdash</t>
  </si>
  <si>
    <t>Anas Mohamed-Eldemerdash</t>
  </si>
  <si>
    <t>V25SSagheer</t>
  </si>
  <si>
    <t>Samir Hosny-Sagheer</t>
  </si>
  <si>
    <t>V25FMagd</t>
  </si>
  <si>
    <t>Farha Ashraf-AboElMagd</t>
  </si>
  <si>
    <t>V25NMawla1</t>
  </si>
  <si>
    <t>Nesreen Emad-AbdElMawla</t>
  </si>
  <si>
    <t>V25MAhmed108</t>
  </si>
  <si>
    <t>Mohamed Yasser-Ahmed</t>
  </si>
  <si>
    <t>V25MMohamed278</t>
  </si>
  <si>
    <t>Mariam Waleed-Mohamed</t>
  </si>
  <si>
    <t>V25AFadeel2</t>
  </si>
  <si>
    <t>AbdElRhman Hesham-AbdElFadeel</t>
  </si>
  <si>
    <t>V25HGamal2</t>
  </si>
  <si>
    <t>Hany Ibrahim-Gamal</t>
  </si>
  <si>
    <t>Mohamed Ahmed Nagy</t>
  </si>
  <si>
    <t>V25SMohamed145</t>
  </si>
  <si>
    <t>Salma Wael-Mohamed</t>
  </si>
  <si>
    <t>V25BShenawy</t>
  </si>
  <si>
    <t>Badr Medhat-ElShenawy</t>
  </si>
  <si>
    <t>V25YMetwally2</t>
  </si>
  <si>
    <t>Yara Ibrahim-ElMetwally</t>
  </si>
  <si>
    <t>V25AHassan63</t>
  </si>
  <si>
    <t>Alaa Mahmoud-Hassan</t>
  </si>
  <si>
    <t>V25YRehim4</t>
  </si>
  <si>
    <t>Yasmine Samer-AbdElRehim</t>
  </si>
  <si>
    <t>V25IGhonimy</t>
  </si>
  <si>
    <t>Ibrahim Ahmed-Ghonimy</t>
  </si>
  <si>
    <t>V25SSayed67</t>
  </si>
  <si>
    <t>Sherif Madbouly-Sayed</t>
  </si>
  <si>
    <t>V25MSalah21</t>
  </si>
  <si>
    <t>Mohamed Gamil-Salah</t>
  </si>
  <si>
    <t>V25MMohamed279</t>
  </si>
  <si>
    <t>Mohamed Adel-Mohamed</t>
  </si>
  <si>
    <t>-</t>
  </si>
  <si>
    <t>Fri</t>
  </si>
  <si>
    <t>Sat</t>
  </si>
  <si>
    <t>Sun</t>
  </si>
  <si>
    <t>Mon</t>
  </si>
  <si>
    <t>Tue</t>
  </si>
  <si>
    <t>Wed</t>
  </si>
  <si>
    <t>Thu</t>
  </si>
  <si>
    <t>Off</t>
  </si>
  <si>
    <t>Suspended</t>
  </si>
  <si>
    <t>off</t>
  </si>
  <si>
    <t>App issue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</si>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</sst>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_-* #,##0.00\-;_-* &quot;-&quot;??_-;_-@_-"/>
    <numFmt numFmtId="165" formatCode="[$-409]d\-mmm;@"/>
    <numFmt numFmtId="166" formatCode="ddd"/>
    <numFmt numFmtId="167" formatCode="_-* #,##0.00_-;\-* #,##0.00_-;_-* &quot;-&quot;??_-;_-@_-"/>
    <numFmt numFmtId="168" formatCode="h:mm:ss;@"/>
    <numFmt numFmtId="169" formatCode="[h]:mm:ss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u val="double"/>
      <sz val="18"/>
      <color theme="0"/>
      <name val="Candara"/>
      <family val="2"/>
    </font>
    <font>
      <sz val="11"/>
      <color indexed="8"/>
      <name val="Calibri"/>
      <family val="2"/>
    </font>
    <font>
      <b/>
      <sz val="18"/>
      <color rgb="FFFFFFFF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sz val="12"/>
      <color rgb="FFFFFFFF"/>
      <name val="Calibri"/>
      <family val="2"/>
    </font>
    <font>
      <b/>
      <sz val="18"/>
      <color theme="0"/>
      <name val="Calibri"/>
      <family val="2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4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11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2" fillId="0" borderId="0" xfId="0" applyFont="1"/>
    <xf numFmtId="0" fontId="6" fillId="2" borderId="0" xfId="0" applyFont="1" applyFill="1"/>
    <xf numFmtId="0" fontId="0" fillId="0" borderId="0" xfId="0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5" fillId="0" borderId="0" xfId="0" applyFont="1" applyFill="1" applyBorder="1"/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2" fillId="0" borderId="0" xfId="0" applyNumberFormat="1" applyFont="1"/>
    <xf numFmtId="14" fontId="2" fillId="0" borderId="0" xfId="2" applyNumberFormat="1" applyFont="1"/>
    <xf numFmtId="0" fontId="8" fillId="5" borderId="1" xfId="0" applyFont="1" applyFill="1" applyBorder="1" applyAlignment="1">
      <alignment horizontal="center" vertical="center"/>
    </xf>
    <xf numFmtId="9" fontId="8" fillId="5" borderId="1" xfId="2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6" fontId="10" fillId="5" borderId="3" xfId="0" applyNumberFormat="1" applyFont="1" applyFill="1" applyBorder="1" applyAlignment="1">
      <alignment horizontal="center" vertical="center"/>
    </xf>
    <xf numFmtId="9" fontId="10" fillId="5" borderId="3" xfId="2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165" fontId="19" fillId="6" borderId="4" xfId="0" applyNumberFormat="1" applyFont="1" applyFill="1" applyBorder="1" applyAlignment="1">
      <alignment horizontal="center" vertical="center"/>
    </xf>
    <xf numFmtId="169" fontId="17" fillId="6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Border="1"/>
    <xf numFmtId="0" fontId="0" fillId="0" borderId="0" xfId="0" applyBorder="1" applyAlignment="1">
      <alignment horizontal="left"/>
    </xf>
    <xf numFmtId="168" fontId="16" fillId="4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5" fillId="0" borderId="1" xfId="0" applyFont="1" applyFill="1" applyBorder="1"/>
    <xf numFmtId="0" fontId="9" fillId="0" borderId="0" xfId="0" applyFont="1" applyFill="1" applyBorder="1" applyAlignment="1">
      <alignment horizontal="center" vertical="center"/>
    </xf>
    <xf numFmtId="169" fontId="17" fillId="6" borderId="7" xfId="0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21" fillId="0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/>
    </xf>
    <xf numFmtId="9" fontId="8" fillId="5" borderId="3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5" fillId="5" borderId="10" xfId="0" applyNumberFormat="1" applyFont="1" applyFill="1" applyBorder="1" applyAlignment="1">
      <alignment horizontal="center" vertical="center"/>
    </xf>
    <xf numFmtId="166" fontId="5" fillId="5" borderId="11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12" fillId="5" borderId="7" xfId="1" applyFont="1" applyFill="1" applyBorder="1" applyAlignment="1" applyProtection="1">
      <alignment horizontal="center" vertical="center"/>
    </xf>
    <xf numFmtId="0" fontId="12" fillId="5" borderId="8" xfId="1" applyFont="1" applyFill="1" applyBorder="1" applyAlignment="1" applyProtection="1">
      <alignment horizontal="center" vertical="center"/>
    </xf>
    <xf numFmtId="0" fontId="12" fillId="5" borderId="9" xfId="1" applyFont="1" applyFill="1" applyBorder="1" applyAlignment="1" applyProtection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2" fillId="5" borderId="4" xfId="1" applyFont="1" applyFill="1" applyBorder="1" applyAlignment="1" applyProtection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</cellXfs>
  <cellStyles count="144">
    <cellStyle name="=C:\WINNT\SYSTEM32\COMMAND.COM" xfId="15" xr:uid="{00000000-0005-0000-0000-000000000000}"/>
    <cellStyle name="Comma 2" xfId="10" xr:uid="{00000000-0005-0000-0000-000001000000}"/>
    <cellStyle name="Comma 23" xfId="9" xr:uid="{00000000-0005-0000-0000-000002000000}"/>
    <cellStyle name="Comma 3" xfId="11" xr:uid="{00000000-0005-0000-0000-000003000000}"/>
    <cellStyle name="Comma 3 2" xfId="27" xr:uid="{00000000-0005-0000-0000-000004000000}"/>
    <cellStyle name="Comma 3 2 2" xfId="35" xr:uid="{00000000-0005-0000-0000-000005000000}"/>
    <cellStyle name="Comma 3 2 2 2" xfId="51" xr:uid="{00000000-0005-0000-0000-000006000000}"/>
    <cellStyle name="Comma 3 2 2 2 2" xfId="115" xr:uid="{00000000-0005-0000-0000-000007000000}"/>
    <cellStyle name="Comma 3 2 2 3" xfId="100" xr:uid="{00000000-0005-0000-0000-000008000000}"/>
    <cellStyle name="Comma 3 2 3" xfId="50" xr:uid="{00000000-0005-0000-0000-000009000000}"/>
    <cellStyle name="Comma 3 2 3 2" xfId="114" xr:uid="{00000000-0005-0000-0000-00000A000000}"/>
    <cellStyle name="Comma 3 2 4" xfId="92" xr:uid="{00000000-0005-0000-0000-00000B000000}"/>
    <cellStyle name="Comma 3 3" xfId="24" xr:uid="{00000000-0005-0000-0000-00000C000000}"/>
    <cellStyle name="Comma 3 3 2" xfId="52" xr:uid="{00000000-0005-0000-0000-00000D000000}"/>
    <cellStyle name="Comma 3 3 2 2" xfId="116" xr:uid="{00000000-0005-0000-0000-00000E000000}"/>
    <cellStyle name="Comma 3 3 3" xfId="89" xr:uid="{00000000-0005-0000-0000-00000F000000}"/>
    <cellStyle name="Comma 3 4" xfId="32" xr:uid="{00000000-0005-0000-0000-000010000000}"/>
    <cellStyle name="Comma 3 4 2" xfId="53" xr:uid="{00000000-0005-0000-0000-000011000000}"/>
    <cellStyle name="Comma 3 4 2 2" xfId="117" xr:uid="{00000000-0005-0000-0000-000012000000}"/>
    <cellStyle name="Comma 3 4 3" xfId="97" xr:uid="{00000000-0005-0000-0000-000013000000}"/>
    <cellStyle name="Comma 3 5" xfId="40" xr:uid="{00000000-0005-0000-0000-000014000000}"/>
    <cellStyle name="Comma 3 5 2" xfId="54" xr:uid="{00000000-0005-0000-0000-000015000000}"/>
    <cellStyle name="Comma 3 5 2 2" xfId="118" xr:uid="{00000000-0005-0000-0000-000016000000}"/>
    <cellStyle name="Comma 3 5 3" xfId="105" xr:uid="{00000000-0005-0000-0000-000017000000}"/>
    <cellStyle name="Comma 3 6" xfId="49" xr:uid="{00000000-0005-0000-0000-000018000000}"/>
    <cellStyle name="Comma 3 6 2" xfId="113" xr:uid="{00000000-0005-0000-0000-000019000000}"/>
    <cellStyle name="Comma 3 7" xfId="82" xr:uid="{00000000-0005-0000-0000-00001A000000}"/>
    <cellStyle name="Hyperlink" xfId="1" builtinId="8"/>
    <cellStyle name="Normal" xfId="0" builtinId="0"/>
    <cellStyle name="Normal 10" xfId="4" xr:uid="{00000000-0005-0000-0000-00001D000000}"/>
    <cellStyle name="Normal 10 2" xfId="17" xr:uid="{00000000-0005-0000-0000-00001E000000}"/>
    <cellStyle name="Normal 10 8" xfId="5" xr:uid="{00000000-0005-0000-0000-00001F000000}"/>
    <cellStyle name="Normal 14" xfId="3" xr:uid="{00000000-0005-0000-0000-000020000000}"/>
    <cellStyle name="Normal 2" xfId="6" xr:uid="{00000000-0005-0000-0000-000021000000}"/>
    <cellStyle name="Normal 2 2" xfId="12" xr:uid="{00000000-0005-0000-0000-000022000000}"/>
    <cellStyle name="Normal 2 2 10" xfId="81" xr:uid="{00000000-0005-0000-0000-000023000000}"/>
    <cellStyle name="Normal 2 2 2" xfId="18" xr:uid="{00000000-0005-0000-0000-000024000000}"/>
    <cellStyle name="Normal 2 3" xfId="19" xr:uid="{00000000-0005-0000-0000-000025000000}"/>
    <cellStyle name="Normal 2 4" xfId="79" xr:uid="{00000000-0005-0000-0000-000026000000}"/>
    <cellStyle name="Normal 2 4 2" xfId="143" xr:uid="{00000000-0005-0000-0000-000027000000}"/>
    <cellStyle name="Normal 2_247 HC" xfId="20" xr:uid="{00000000-0005-0000-0000-000028000000}"/>
    <cellStyle name="Normal 3 2" xfId="13" xr:uid="{00000000-0005-0000-0000-000029000000}"/>
    <cellStyle name="Normal 3 2 10" xfId="33" xr:uid="{00000000-0005-0000-0000-00002A000000}"/>
    <cellStyle name="Normal 3 2 10 2" xfId="55" xr:uid="{00000000-0005-0000-0000-00002B000000}"/>
    <cellStyle name="Normal 3 2 10 2 2" xfId="119" xr:uid="{00000000-0005-0000-0000-00002C000000}"/>
    <cellStyle name="Normal 3 2 10 3" xfId="98" xr:uid="{00000000-0005-0000-0000-00002D000000}"/>
    <cellStyle name="Normal 3 2 11" xfId="39" xr:uid="{00000000-0005-0000-0000-00002E000000}"/>
    <cellStyle name="Normal 3 2 11 2" xfId="56" xr:uid="{00000000-0005-0000-0000-00002F000000}"/>
    <cellStyle name="Normal 3 2 11 2 2" xfId="120" xr:uid="{00000000-0005-0000-0000-000030000000}"/>
    <cellStyle name="Normal 3 2 11 3" xfId="104" xr:uid="{00000000-0005-0000-0000-000031000000}"/>
    <cellStyle name="Normal 3 2 12" xfId="41" xr:uid="{00000000-0005-0000-0000-000032000000}"/>
    <cellStyle name="Normal 3 2 12 2" xfId="57" xr:uid="{00000000-0005-0000-0000-000033000000}"/>
    <cellStyle name="Normal 3 2 12 2 2" xfId="121" xr:uid="{00000000-0005-0000-0000-000034000000}"/>
    <cellStyle name="Normal 3 2 12 3" xfId="106" xr:uid="{00000000-0005-0000-0000-000035000000}"/>
    <cellStyle name="Normal 3 2 13" xfId="48" xr:uid="{00000000-0005-0000-0000-000036000000}"/>
    <cellStyle name="Normal 3 2 13 2" xfId="83" xr:uid="{00000000-0005-0000-0000-000037000000}"/>
    <cellStyle name="Normal 3 2 2" xfId="14" xr:uid="{00000000-0005-0000-0000-000038000000}"/>
    <cellStyle name="Normal 3 2 2 2" xfId="26" xr:uid="{00000000-0005-0000-0000-000039000000}"/>
    <cellStyle name="Normal 3 2 2 2 2" xfId="59" xr:uid="{00000000-0005-0000-0000-00003A000000}"/>
    <cellStyle name="Normal 3 2 2 2 2 2" xfId="123" xr:uid="{00000000-0005-0000-0000-00003B000000}"/>
    <cellStyle name="Normal 3 2 2 2 3" xfId="91" xr:uid="{00000000-0005-0000-0000-00003C000000}"/>
    <cellStyle name="Normal 3 2 2 3" xfId="34" xr:uid="{00000000-0005-0000-0000-00003D000000}"/>
    <cellStyle name="Normal 3 2 2 3 2" xfId="60" xr:uid="{00000000-0005-0000-0000-00003E000000}"/>
    <cellStyle name="Normal 3 2 2 3 2 2" xfId="124" xr:uid="{00000000-0005-0000-0000-00003F000000}"/>
    <cellStyle name="Normal 3 2 2 3 3" xfId="99" xr:uid="{00000000-0005-0000-0000-000040000000}"/>
    <cellStyle name="Normal 3 2 2 4" xfId="42" xr:uid="{00000000-0005-0000-0000-000041000000}"/>
    <cellStyle name="Normal 3 2 2 4 2" xfId="61" xr:uid="{00000000-0005-0000-0000-000042000000}"/>
    <cellStyle name="Normal 3 2 2 4 2 2" xfId="125" xr:uid="{00000000-0005-0000-0000-000043000000}"/>
    <cellStyle name="Normal 3 2 2 4 3" xfId="107" xr:uid="{00000000-0005-0000-0000-000044000000}"/>
    <cellStyle name="Normal 3 2 2 5" xfId="58" xr:uid="{00000000-0005-0000-0000-000045000000}"/>
    <cellStyle name="Normal 3 2 2 5 2" xfId="122" xr:uid="{00000000-0005-0000-0000-000046000000}"/>
    <cellStyle name="Normal 3 2 2 6" xfId="84" xr:uid="{00000000-0005-0000-0000-000047000000}"/>
    <cellStyle name="Normal 3 2 3" xfId="16" xr:uid="{00000000-0005-0000-0000-000048000000}"/>
    <cellStyle name="Normal 3 2 3 2" xfId="28" xr:uid="{00000000-0005-0000-0000-000049000000}"/>
    <cellStyle name="Normal 3 2 3 2 2" xfId="63" xr:uid="{00000000-0005-0000-0000-00004A000000}"/>
    <cellStyle name="Normal 3 2 3 2 2 2" xfId="127" xr:uid="{00000000-0005-0000-0000-00004B000000}"/>
    <cellStyle name="Normal 3 2 3 2 3" xfId="93" xr:uid="{00000000-0005-0000-0000-00004C000000}"/>
    <cellStyle name="Normal 3 2 3 3" xfId="36" xr:uid="{00000000-0005-0000-0000-00004D000000}"/>
    <cellStyle name="Normal 3 2 3 3 2" xfId="64" xr:uid="{00000000-0005-0000-0000-00004E000000}"/>
    <cellStyle name="Normal 3 2 3 3 2 2" xfId="128" xr:uid="{00000000-0005-0000-0000-00004F000000}"/>
    <cellStyle name="Normal 3 2 3 3 3" xfId="101" xr:uid="{00000000-0005-0000-0000-000050000000}"/>
    <cellStyle name="Normal 3 2 3 4" xfId="43" xr:uid="{00000000-0005-0000-0000-000051000000}"/>
    <cellStyle name="Normal 3 2 3 4 2" xfId="65" xr:uid="{00000000-0005-0000-0000-000052000000}"/>
    <cellStyle name="Normal 3 2 3 4 2 2" xfId="129" xr:uid="{00000000-0005-0000-0000-000053000000}"/>
    <cellStyle name="Normal 3 2 3 4 3" xfId="108" xr:uid="{00000000-0005-0000-0000-000054000000}"/>
    <cellStyle name="Normal 3 2 3 5" xfId="62" xr:uid="{00000000-0005-0000-0000-000055000000}"/>
    <cellStyle name="Normal 3 2 3 5 2" xfId="126" xr:uid="{00000000-0005-0000-0000-000056000000}"/>
    <cellStyle name="Normal 3 2 3 6" xfId="85" xr:uid="{00000000-0005-0000-0000-000057000000}"/>
    <cellStyle name="Normal 3 2 4" xfId="21" xr:uid="{00000000-0005-0000-0000-000058000000}"/>
    <cellStyle name="Normal 3 2 4 2" xfId="29" xr:uid="{00000000-0005-0000-0000-000059000000}"/>
    <cellStyle name="Normal 3 2 4 2 2" xfId="67" xr:uid="{00000000-0005-0000-0000-00005A000000}"/>
    <cellStyle name="Normal 3 2 4 2 2 2" xfId="131" xr:uid="{00000000-0005-0000-0000-00005B000000}"/>
    <cellStyle name="Normal 3 2 4 2 3" xfId="94" xr:uid="{00000000-0005-0000-0000-00005C000000}"/>
    <cellStyle name="Normal 3 2 4 3" xfId="37" xr:uid="{00000000-0005-0000-0000-00005D000000}"/>
    <cellStyle name="Normal 3 2 4 3 2" xfId="68" xr:uid="{00000000-0005-0000-0000-00005E000000}"/>
    <cellStyle name="Normal 3 2 4 3 2 2" xfId="132" xr:uid="{00000000-0005-0000-0000-00005F000000}"/>
    <cellStyle name="Normal 3 2 4 3 3" xfId="102" xr:uid="{00000000-0005-0000-0000-000060000000}"/>
    <cellStyle name="Normal 3 2 4 4" xfId="44" xr:uid="{00000000-0005-0000-0000-000061000000}"/>
    <cellStyle name="Normal 3 2 4 4 2" xfId="69" xr:uid="{00000000-0005-0000-0000-000062000000}"/>
    <cellStyle name="Normal 3 2 4 4 2 2" xfId="133" xr:uid="{00000000-0005-0000-0000-000063000000}"/>
    <cellStyle name="Normal 3 2 4 4 3" xfId="109" xr:uid="{00000000-0005-0000-0000-000064000000}"/>
    <cellStyle name="Normal 3 2 4 5" xfId="66" xr:uid="{00000000-0005-0000-0000-000065000000}"/>
    <cellStyle name="Normal 3 2 4 5 2" xfId="130" xr:uid="{00000000-0005-0000-0000-000066000000}"/>
    <cellStyle name="Normal 3 2 4 6" xfId="86" xr:uid="{00000000-0005-0000-0000-000067000000}"/>
    <cellStyle name="Normal 3 2 5" xfId="22" xr:uid="{00000000-0005-0000-0000-000068000000}"/>
    <cellStyle name="Normal 3 2 5 2" xfId="38" xr:uid="{00000000-0005-0000-0000-000069000000}"/>
    <cellStyle name="Normal 3 2 5 2 2" xfId="71" xr:uid="{00000000-0005-0000-0000-00006A000000}"/>
    <cellStyle name="Normal 3 2 5 2 2 2" xfId="135" xr:uid="{00000000-0005-0000-0000-00006B000000}"/>
    <cellStyle name="Normal 3 2 5 2 3" xfId="103" xr:uid="{00000000-0005-0000-0000-00006C000000}"/>
    <cellStyle name="Normal 3 2 5 3" xfId="45" xr:uid="{00000000-0005-0000-0000-00006D000000}"/>
    <cellStyle name="Normal 3 2 5 3 2" xfId="72" xr:uid="{00000000-0005-0000-0000-00006E000000}"/>
    <cellStyle name="Normal 3 2 5 3 2 2" xfId="136" xr:uid="{00000000-0005-0000-0000-00006F000000}"/>
    <cellStyle name="Normal 3 2 5 3 3" xfId="110" xr:uid="{00000000-0005-0000-0000-000070000000}"/>
    <cellStyle name="Normal 3 2 5 4" xfId="70" xr:uid="{00000000-0005-0000-0000-000071000000}"/>
    <cellStyle name="Normal 3 2 5 4 2" xfId="134" xr:uid="{00000000-0005-0000-0000-000072000000}"/>
    <cellStyle name="Normal 3 2 5 5" xfId="87" xr:uid="{00000000-0005-0000-0000-000073000000}"/>
    <cellStyle name="Normal 3 2 6" xfId="23" xr:uid="{00000000-0005-0000-0000-000074000000}"/>
    <cellStyle name="Normal 3 2 6 2" xfId="46" xr:uid="{00000000-0005-0000-0000-000075000000}"/>
    <cellStyle name="Normal 3 2 6 2 2" xfId="74" xr:uid="{00000000-0005-0000-0000-000076000000}"/>
    <cellStyle name="Normal 3 2 6 2 2 2" xfId="138" xr:uid="{00000000-0005-0000-0000-000077000000}"/>
    <cellStyle name="Normal 3 2 6 2 3" xfId="111" xr:uid="{00000000-0005-0000-0000-000078000000}"/>
    <cellStyle name="Normal 3 2 6 3" xfId="73" xr:uid="{00000000-0005-0000-0000-000079000000}"/>
    <cellStyle name="Normal 3 2 6 3 2" xfId="137" xr:uid="{00000000-0005-0000-0000-00007A000000}"/>
    <cellStyle name="Normal 3 2 6 4" xfId="88" xr:uid="{00000000-0005-0000-0000-00007B000000}"/>
    <cellStyle name="Normal 3 2 7" xfId="25" xr:uid="{00000000-0005-0000-0000-00007C000000}"/>
    <cellStyle name="Normal 3 2 7 2" xfId="47" xr:uid="{00000000-0005-0000-0000-00007D000000}"/>
    <cellStyle name="Normal 3 2 7 2 2" xfId="76" xr:uid="{00000000-0005-0000-0000-00007E000000}"/>
    <cellStyle name="Normal 3 2 7 2 2 2" xfId="140" xr:uid="{00000000-0005-0000-0000-00007F000000}"/>
    <cellStyle name="Normal 3 2 7 2 3" xfId="112" xr:uid="{00000000-0005-0000-0000-000080000000}"/>
    <cellStyle name="Normal 3 2 7 3" xfId="75" xr:uid="{00000000-0005-0000-0000-000081000000}"/>
    <cellStyle name="Normal 3 2 7 3 2" xfId="139" xr:uid="{00000000-0005-0000-0000-000082000000}"/>
    <cellStyle name="Normal 3 2 7 4" xfId="90" xr:uid="{00000000-0005-0000-0000-000083000000}"/>
    <cellStyle name="Normal 3 2 8" xfId="30" xr:uid="{00000000-0005-0000-0000-000084000000}"/>
    <cellStyle name="Normal 3 2 8 2" xfId="77" xr:uid="{00000000-0005-0000-0000-000085000000}"/>
    <cellStyle name="Normal 3 2 8 2 2" xfId="141" xr:uid="{00000000-0005-0000-0000-000086000000}"/>
    <cellStyle name="Normal 3 2 8 3" xfId="95" xr:uid="{00000000-0005-0000-0000-000087000000}"/>
    <cellStyle name="Normal 3 2 9" xfId="31" xr:uid="{00000000-0005-0000-0000-000088000000}"/>
    <cellStyle name="Normal 3 2 9 2" xfId="78" xr:uid="{00000000-0005-0000-0000-000089000000}"/>
    <cellStyle name="Normal 3 2 9 2 2" xfId="142" xr:uid="{00000000-0005-0000-0000-00008A000000}"/>
    <cellStyle name="Normal 3 2 9 3" xfId="96" xr:uid="{00000000-0005-0000-0000-00008B000000}"/>
    <cellStyle name="Normal 4" xfId="7" xr:uid="{00000000-0005-0000-0000-00008C000000}"/>
    <cellStyle name="Normal 4 2" xfId="80" xr:uid="{00000000-0005-0000-0000-00008D000000}"/>
    <cellStyle name="Normal 7" xfId="8" xr:uid="{00000000-0005-0000-0000-00008E000000}"/>
    <cellStyle name="Percent" xfId="2" builtinId="5"/>
  </cellStyles>
  <dxfs count="423">
    <dxf>
      <alignment horizontal="center" readingOrder="0"/>
    </dxf>
    <dxf>
      <alignment vertical="center" readingOrder="0"/>
    </dxf>
    <dxf>
      <fill>
        <patternFill patternType="none">
          <fgColor indexed="64"/>
          <bgColor auto="1"/>
        </patternFill>
      </fill>
    </dxf>
    <dxf>
      <font>
        <color theme="1"/>
      </font>
    </dxf>
    <dxf>
      <border>
        <right/>
      </border>
    </dxf>
    <dxf>
      <font>
        <sz val="12"/>
      </font>
      <numFmt numFmtId="168" formatCode="h:mm:ss;@"/>
      <alignment horizontal="center" vertical="center" readingOrder="0"/>
    </dxf>
    <dxf>
      <font>
        <sz val="12"/>
      </font>
      <numFmt numFmtId="168" formatCode="h:mm:ss;@"/>
      <alignment horizontal="center" vertical="center" readingOrder="0"/>
    </dxf>
    <dxf>
      <numFmt numFmtId="169" formatCode="[h]:mm:ss;@"/>
    </dxf>
    <dxf>
      <numFmt numFmtId="169" formatCode="[h]:mm:ss;@"/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numFmt numFmtId="169" formatCode="[h]:mm:ss;@"/>
    </dxf>
    <dxf>
      <numFmt numFmtId="169" formatCode="[h]:mm:ss;@"/>
    </dxf>
    <dxf>
      <font>
        <sz val="12"/>
      </font>
      <numFmt numFmtId="168" formatCode="h:mm:ss;@"/>
      <alignment horizontal="center" vertical="center" readingOrder="0"/>
    </dxf>
    <dxf>
      <font>
        <sz val="12"/>
      </font>
      <numFmt numFmtId="168" formatCode="h:mm:ss;@"/>
      <alignment horizontal="center" vertical="center" readingOrder="0"/>
    </dxf>
    <dxf>
      <border>
        <right/>
      </border>
    </dxf>
    <dxf>
      <font>
        <color theme="1"/>
      </font>
    </dxf>
    <dxf>
      <fill>
        <patternFill patternType="none">
          <fgColor indexed="64"/>
          <bgColor auto="1"/>
        </patternFill>
      </fill>
    </dxf>
    <dxf>
      <alignment vertical="center" readingOrder="0"/>
    </dxf>
    <dxf>
      <alignment horizont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DCFF0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DCFF0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DCFF0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DCFF0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DCFF0D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DCFF0D"/>
        </patternFill>
      </fill>
    </dxf>
    <dxf>
      <border>
        <right style="thin">
          <color auto="1"/>
        </right>
        <vertical/>
        <horizontal/>
      </border>
    </dxf>
  </dxfs>
  <tableStyles count="0" defaultTableStyle="TableStyleMedium9" defaultPivotStyle="PivotStyleLight16"/>
  <colors>
    <mruColors>
      <color rgb="FFDCFF0D"/>
      <color rgb="FF00FF00"/>
      <color rgb="FF000000"/>
      <color rgb="FFF60000"/>
      <color rgb="FF004C22"/>
      <color rgb="FFF9ADA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EzzElDin Ali" refreshedDate="46005.796944097223" createdVersion="6" refreshedVersion="6" minRefreshableVersion="3" recordCount="50" xr:uid="{00000000-000A-0000-FFFF-FFFF08000000}">
  <cacheSource type="worksheet">
    <worksheetSource ref="A3:AV1048576" sheet="FL"/>
  </cacheSource>
  <cacheFields count="48">
    <cacheField name="0" numFmtId="0">
      <sharedItems containsString="0" containsBlank="1" containsNumber="1" containsInteger="1" minValue="1" maxValue="49"/>
    </cacheField>
    <cacheField name="Username" numFmtId="0">
      <sharedItems containsBlank="1"/>
    </cacheField>
    <cacheField name="Displayname" numFmtId="0">
      <sharedItems containsBlank="1"/>
    </cacheField>
    <cacheField name="Leader" numFmtId="0">
      <sharedItems containsBlank="1"/>
    </cacheField>
    <cacheField name="SPV" numFmtId="0">
      <sharedItems containsBlank="1" count="24">
        <s v="Mohamed Ahmed-Nagy"/>
        <s v="Nesting"/>
        <s v="Mohamed Ahmed Nagy"/>
        <m/>
        <s v="-" u="1"/>
        <s v="Resignation" u="1"/>
        <s v="Nourhan Hussien-Mousa" u="1"/>
        <s v="AbdElRahaman AbdElRahim-ElFouly " u="1"/>
        <s v="Mohamed Emad-AbdElRahman" u="1"/>
        <s v="Ahmed Hamed-Mohamed" u="1"/>
        <s v="Mohamed Emad-Ibrahim" u="1"/>
        <s v="Kareem Mohamed-AbdElMetaal" u="1"/>
        <s v="Task" u="1"/>
        <s v="Training" u="1"/>
        <s v="AbdElRahaman AbdElRahim-ElFouly" u="1"/>
        <s v="Nada Tarek Gouda" u="1"/>
        <s v="Nada-Tarek Gouda" u="1"/>
        <s v="AbdElRahaman AbdElRahim ElFouly" u="1"/>
        <s v="Ahmed Atef-Otafi " u="1"/>
        <s v="Desouky Ramadan-Mohamed" u="1"/>
        <s v="Nader Sayed-Gouda" u="1"/>
        <s v="Kholod GamalElDin-Bayoumi" u="1"/>
        <s v="Nada Tarek-Gouda" u="1"/>
        <s v="Sara Hassan-Elsayed" u="1"/>
      </sharedItems>
    </cacheField>
    <cacheField name="21-Nov" numFmtId="0">
      <sharedItems containsBlank="1"/>
    </cacheField>
    <cacheField name="22-Nov" numFmtId="0">
      <sharedItems containsBlank="1"/>
    </cacheField>
    <cacheField name="23-Nov" numFmtId="0">
      <sharedItems containsBlank="1"/>
    </cacheField>
    <cacheField name="24-Nov" numFmtId="0">
      <sharedItems containsBlank="1"/>
    </cacheField>
    <cacheField name="25-Nov" numFmtId="0">
      <sharedItems containsBlank="1"/>
    </cacheField>
    <cacheField name="26-Nov" numFmtId="0">
      <sharedItems containsBlank="1"/>
    </cacheField>
    <cacheField name="27-Nov" numFmtId="0">
      <sharedItems containsBlank="1"/>
    </cacheField>
    <cacheField name="28-Nov" numFmtId="0">
      <sharedItems containsBlank="1"/>
    </cacheField>
    <cacheField name="29-Nov" numFmtId="0">
      <sharedItems containsBlank="1"/>
    </cacheField>
    <cacheField name="30-Nov" numFmtId="0">
      <sharedItems containsBlank="1"/>
    </cacheField>
    <cacheField name="1-Dec" numFmtId="0">
      <sharedItems containsBlank="1"/>
    </cacheField>
    <cacheField name="2-Dec" numFmtId="0">
      <sharedItems containsBlank="1"/>
    </cacheField>
    <cacheField name="3-Dec" numFmtId="0">
      <sharedItems containsBlank="1"/>
    </cacheField>
    <cacheField name="4-Dec" numFmtId="0">
      <sharedItems containsBlank="1"/>
    </cacheField>
    <cacheField name="5-Dec" numFmtId="0">
      <sharedItems containsBlank="1"/>
    </cacheField>
    <cacheField name="6-Dec" numFmtId="0">
      <sharedItems containsBlank="1"/>
    </cacheField>
    <cacheField name="7-Dec" numFmtId="0">
      <sharedItems containsBlank="1"/>
    </cacheField>
    <cacheField name="8-Dec" numFmtId="0">
      <sharedItems containsBlank="1"/>
    </cacheField>
    <cacheField name="9-Dec" numFmtId="0">
      <sharedItems containsBlank="1"/>
    </cacheField>
    <cacheField name="10-Dec" numFmtId="0">
      <sharedItems containsBlank="1"/>
    </cacheField>
    <cacheField name="11-Dec" numFmtId="0">
      <sharedItems containsBlank="1"/>
    </cacheField>
    <cacheField name="12-Dec" numFmtId="0">
      <sharedItems containsBlank="1"/>
    </cacheField>
    <cacheField name="13-Dec" numFmtId="0">
      <sharedItems containsBlank="1"/>
    </cacheField>
    <cacheField name="14-Dec" numFmtId="0">
      <sharedItems containsNonDate="0" containsString="0" containsBlank="1"/>
    </cacheField>
    <cacheField name="15-Dec" numFmtId="0">
      <sharedItems containsNonDate="0" containsString="0" containsBlank="1"/>
    </cacheField>
    <cacheField name="16-Dec" numFmtId="0">
      <sharedItems containsNonDate="0" containsString="0" containsBlank="1"/>
    </cacheField>
    <cacheField name="17-Dec" numFmtId="0">
      <sharedItems containsNonDate="0" containsString="0" containsBlank="1"/>
    </cacheField>
    <cacheField name="18-Dec" numFmtId="0">
      <sharedItems containsNonDate="0" containsString="0" containsBlank="1"/>
    </cacheField>
    <cacheField name="19-Dec" numFmtId="0">
      <sharedItems containsNonDate="0" containsString="0" containsBlank="1"/>
    </cacheField>
    <cacheField name="20-Dec" numFmtId="0">
      <sharedItems containsNonDate="0" containsString="0" containsBlank="1"/>
    </cacheField>
    <cacheField name="21-Dec" numFmtId="0">
      <sharedItems containsNonDate="0" containsString="0" containsBlank="1"/>
    </cacheField>
    <cacheField name="Attended" numFmtId="0">
      <sharedItems containsString="0" containsBlank="1" containsNumber="1" containsInteger="1" minValue="0" maxValue="23"/>
    </cacheField>
    <cacheField name="No Show" numFmtId="0">
      <sharedItems containsString="0" containsBlank="1" containsNumber="1" containsInteger="1" minValue="0" maxValue="7"/>
    </cacheField>
    <cacheField name="Annual" numFmtId="0">
      <sharedItems containsString="0" containsBlank="1" containsNumber="1" containsInteger="1" minValue="0" maxValue="1"/>
    </cacheField>
    <cacheField name="Bereavement" numFmtId="0">
      <sharedItems containsString="0" containsBlank="1" containsNumber="1" containsInteger="1" minValue="0" maxValue="0"/>
    </cacheField>
    <cacheField name="Sick" numFmtId="0">
      <sharedItems containsString="0" containsBlank="1" containsNumber="1" containsInteger="1" minValue="0" maxValue="0"/>
    </cacheField>
    <cacheField name="UPL" numFmtId="0">
      <sharedItems containsString="0" containsBlank="1" containsNumber="1" containsInteger="1" minValue="0" maxValue="0"/>
    </cacheField>
    <cacheField name="Compensation" numFmtId="0">
      <sharedItems containsString="0" containsBlank="1" containsNumber="1" containsInteger="1" minValue="0" maxValue="1"/>
    </cacheField>
    <cacheField name="Resignation" numFmtId="0">
      <sharedItems containsString="0" containsBlank="1" containsNumber="1" containsInteger="1" minValue="0" maxValue="12"/>
    </cacheField>
    <cacheField name="App Issue" numFmtId="0">
      <sharedItems containsString="0" containsBlank="1" containsNumber="1" containsInteger="1" minValue="0" maxValue="11"/>
    </cacheField>
    <cacheField name="OFF" numFmtId="0">
      <sharedItems containsString="0" containsBlank="1" containsNumber="1" containsInteger="1" minValue="0" maxValue="9"/>
    </cacheField>
    <cacheField name="Suspension" numFmtId="0">
      <sharedItems containsString="0" containsBlank="1" containsNumber="1" containsInteger="1" minValue="0" maxValue="0"/>
    </cacheField>
    <cacheField name="Training" numFmtId="0">
      <sharedItems containsString="0" containsBlank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EzzElDin Ali" refreshedDate="46005.796946180555" createdVersion="4" refreshedVersion="6" minRefreshableVersion="3" recordCount="25" xr:uid="{00000000-000A-0000-FFFF-FFFF0B000000}">
  <cacheSource type="worksheet">
    <worksheetSource ref="A3:AJ28" sheet="Conformance"/>
  </cacheSource>
  <cacheFields count="36">
    <cacheField name="0" numFmtId="0">
      <sharedItems containsSemiMixedTypes="0" containsString="0" containsNumber="1" containsInteger="1" minValue="1" maxValue="25"/>
    </cacheField>
    <cacheField name="Username" numFmtId="0">
      <sharedItems/>
    </cacheField>
    <cacheField name="Displayname" numFmtId="0">
      <sharedItems/>
    </cacheField>
    <cacheField name="Leader" numFmtId="0">
      <sharedItems containsBlank="1" count="91">
        <s v="Mohamed Ahmed-Nagy"/>
        <s v="Omar Emad-Mahmoud"/>
        <s v="Merna Ashraf-Ashrafy"/>
        <s v="AbdElRahman Adel-ElKelany"/>
        <s v="" u="1"/>
        <m u="1"/>
        <s v="AbdElRahaman AbdElRahim-ElFouly " u="1"/>
        <s v="Rasha Magdy-Hafez" u="1"/>
        <s v="Moamen Ashraf-ElKateb" u="1"/>
        <s v="AbdAllah Kamal-Hussien" u="1"/>
        <s v="Ammar Abdelhamid" u="1"/>
        <s v="Desouky Ramadan-Mohamed" u="1"/>
        <s v="Mohamed Ali-AbdElRehim" u="1"/>
        <s v="AbdElRahaman AbdElRahim-ElFouly T" u="1"/>
        <s v="Ahmed Embaby" u="1"/>
        <s v="Ibrahim Youssef-Badr" u="1"/>
        <s v="Ghena Ahmed-ElHalabya" u="1"/>
        <s v="Mohamed Abd-Zakaria" u="1"/>
        <s v="Mostafa AbdElSattar-Ali " u="1"/>
        <s v="Mostafa Sayed" u="1"/>
        <s v="Ahmed AbdAllah-Mansour" u="1"/>
        <s v="Mostafa Sayed-Taba" u="1"/>
        <s v="Ahmed AbdElKhalik-Sayed" u="1"/>
        <s v="Fathy Ashraf-Mahmoud" u="1"/>
        <s v="Ahmed Adel-Mosalamy" u="1"/>
        <s v="Ramy Saeed-Abbas" u="1"/>
        <s v="Adam Mounir-Ahmed" u="1"/>
        <s v="Nada-Tarek Gouda" u="1"/>
        <s v="Mohamed Attia-AbdElMoaty" u="1"/>
        <s v="Nouran Saeed-Saleh" u="1"/>
        <s v="Zainab Fawzy-AbdElMoniem" u="1"/>
        <s v="AbdElRahman Ayman-Ahmed" u="1"/>
        <s v="Ahmed ElMosalmy-Ahmed" u="1"/>
        <s v="Mohamed AbdElMoneim-Zakaria" u="1"/>
        <s v="Ahmed Hussein-ElSaadany" u="1"/>
        <s v="Amr Samy-Nabil" u="1"/>
        <s v="Tarek Medhat-Hassan" u="1"/>
        <s v="AbdElRahman Ahmad-Musallam" u="1"/>
        <s v="Nader Sayed-Gouda" u="1"/>
        <s v="Ziad Nagah-AbdElMaksoud" u="1"/>
        <s v="Ehab Adel-Ahmed" u="1"/>
        <s v="OOQ" u="1"/>
        <s v="Ahmed Nabil-AbdElHalim" u="1"/>
        <s v="Kholod GamalElDin-Bayoumi" u="1"/>
        <s v="Nemaa Ahmed-Mohamed" u="1"/>
        <s v="Mahinour Ali-Ali" u="1"/>
        <s v="Bahaa Hamdy AbdElkhalq" u="1"/>
        <s v="Islam Niazy-Ali" u="1"/>
        <s v="-" u="1"/>
        <s v="Mahmoud NourElDin-Morsy" u="1"/>
        <s v="Mostafa Sayed-Mostafa" u="1"/>
        <s v="Ibrahim Emam Soliman (WFH)" u="1"/>
        <s v="Fatma Saeed-Ibrahim" u="1"/>
        <s v="Hala Mostafa-Ahmed" u="1"/>
        <s v="Sherif Saber-Ali" u="1"/>
        <s v="Ahmed Medhat-Hassan " u="1"/>
        <s v="Mohamed Nagi Okasha" u="1"/>
        <s v="Shrief Mahmoud-ElAlfy" u="1"/>
        <s v="Mohamed Sanad-Ahmed" u="1"/>
        <s v="Mahmoud Mahmoud-Saeed ( Nesting )" u="1"/>
        <s v="Mostafa Osama-Adly (WFH)" u="1"/>
        <s v="Fatma Saied Ibrahim" u="1"/>
        <s v="Mohamed Saad-Kassem" u="1"/>
        <s v="Ahmed Salah-ElTohamy" u="1"/>
        <s v="Zeinab Fawzy-AbdElMoniem" u="1"/>
        <s v="Ahmed Mohamed-Hefny" u="1"/>
        <s v="Ahmed AbdElAzim-Sherif" u="1"/>
        <s v="Mohamed ElSayed-Mady" u="1"/>
        <s v="Mohamed Ashraf-Lotfy" u="1"/>
        <s v="Mohamed Salem-ElSherif" u="1"/>
        <s v="Mohamed Zakaria-Tolba" u="1"/>
        <s v="Ziad Saeed-Mahmoud" u="1"/>
        <s v="Ahmed ElTayeb-Hassan" u="1"/>
        <s v="Nesting" u="1"/>
        <s v="Mohamed Shaher" u="1"/>
        <s v="Eman Hosny-AbdElRehim" u="1"/>
        <s v="Ahmed Adel-AbdElHak" u="1"/>
        <s v="Ahmed Saleh-Ali" u="1"/>
        <s v="Mostafa AbdElSattar-Ali " u="1"/>
        <s v="Bahaa" u="1"/>
        <s v="Mariem Zaki" u="1"/>
        <s v="Sohila Ashraf-Samir" u="1"/>
        <s v="Adham Sabry-Radwan" u="1"/>
        <s v="Amr Magdy-AbdElAal" u="1"/>
        <s v="Amr Samy-Abdelrahman" u="1"/>
        <s v="Nada AbdElAzim -Ahmed " u="1"/>
        <s v="Gaber Waleed-Mahmoud" u="1"/>
        <s v="Mohamed Okasha" u="1"/>
        <s v="Marwan Mahmoud-Ahmed" u="1"/>
        <s v="Ammar AbdElHamid-Ammar" u="1"/>
        <s v="Ahmed Mohamed-Khalil" u="1"/>
      </sharedItems>
    </cacheField>
    <cacheField name="21-Nov" numFmtId="168">
      <sharedItems containsDate="1" containsMixedTypes="1" minDate="1899-12-30T00:00:02" maxDate="1899-12-30T00:11:54"/>
    </cacheField>
    <cacheField name="22-Nov" numFmtId="168">
      <sharedItems containsDate="1" containsMixedTypes="1" minDate="1899-12-30T00:06:27" maxDate="1899-12-30T00:09:48"/>
    </cacheField>
    <cacheField name="23-Nov" numFmtId="168">
      <sharedItems containsDate="1" containsMixedTypes="1" minDate="1899-12-30T00:12:04" maxDate="1899-12-30T00:12:04"/>
    </cacheField>
    <cacheField name="24-Nov" numFmtId="168">
      <sharedItems containsDate="1" containsMixedTypes="1" minDate="1899-12-30T00:00:00" maxDate="1899-12-30T00:29:09"/>
    </cacheField>
    <cacheField name="25-Nov" numFmtId="168">
      <sharedItems containsDate="1" containsMixedTypes="1" minDate="1899-12-30T00:00:29" maxDate="1899-12-30T00:17:18"/>
    </cacheField>
    <cacheField name="26-Nov" numFmtId="168">
      <sharedItems containsDate="1" containsMixedTypes="1" minDate="1899-12-30T00:38:36" maxDate="1899-12-30T00:38:36"/>
    </cacheField>
    <cacheField name="27-Nov" numFmtId="168">
      <sharedItems containsDate="1" containsMixedTypes="1" minDate="1899-12-30T00:00:00" maxDate="1899-12-30T00:34:00"/>
    </cacheField>
    <cacheField name="28-Nov" numFmtId="168">
      <sharedItems containsDate="1" containsMixedTypes="1" minDate="1899-12-30T00:05:30" maxDate="1899-12-30T01:30:38"/>
    </cacheField>
    <cacheField name="29-Nov" numFmtId="168">
      <sharedItems containsDate="1" containsMixedTypes="1" minDate="1899-12-30T00:07:20" maxDate="1899-12-30T01:06:38"/>
    </cacheField>
    <cacheField name="30-Nov" numFmtId="168">
      <sharedItems containsDate="1" containsMixedTypes="1" minDate="1899-12-30T00:08:22" maxDate="1899-12-30T00:44:14"/>
    </cacheField>
    <cacheField name="1-Dec" numFmtId="168">
      <sharedItems containsDate="1" containsMixedTypes="1" minDate="1899-12-30T00:00:54" maxDate="1899-12-30T00:20:49"/>
    </cacheField>
    <cacheField name="2-Dec" numFmtId="168">
      <sharedItems containsDate="1" containsMixedTypes="1" minDate="1899-12-30T00:01:30" maxDate="1899-12-30T00:16:01"/>
    </cacheField>
    <cacheField name="3-Dec" numFmtId="168">
      <sharedItems containsDate="1" containsMixedTypes="1" minDate="1899-12-30T00:00:04" maxDate="1899-12-30T01:54:04"/>
    </cacheField>
    <cacheField name="4-Dec" numFmtId="168">
      <sharedItems containsDate="1" containsMixedTypes="1" minDate="1899-12-30T00:02:02" maxDate="1899-12-30T00:22:58"/>
    </cacheField>
    <cacheField name="5-Dec" numFmtId="168">
      <sharedItems containsDate="1" containsMixedTypes="1" minDate="1899-12-30T00:00:00" maxDate="1899-12-30T05:39:17"/>
    </cacheField>
    <cacheField name="6-Dec" numFmtId="168">
      <sharedItems/>
    </cacheField>
    <cacheField name="7-Dec" numFmtId="168">
      <sharedItems/>
    </cacheField>
    <cacheField name="8-Dec" numFmtId="168">
      <sharedItems containsDate="1" containsMixedTypes="1" minDate="1899-12-30T01:02:48" maxDate="1899-12-30T01:02:48"/>
    </cacheField>
    <cacheField name="9-Dec" numFmtId="168">
      <sharedItems containsNonDate="0" containsString="0" containsBlank="1"/>
    </cacheField>
    <cacheField name="10-Dec" numFmtId="168">
      <sharedItems containsNonDate="0" containsString="0" containsBlank="1"/>
    </cacheField>
    <cacheField name="11-Dec" numFmtId="168">
      <sharedItems containsNonDate="0" containsString="0" containsBlank="1"/>
    </cacheField>
    <cacheField name="12-Dec" numFmtId="168">
      <sharedItems containsNonDate="0" containsString="0" containsBlank="1"/>
    </cacheField>
    <cacheField name="13-Dec" numFmtId="168">
      <sharedItems containsNonDate="0" containsString="0" containsBlank="1"/>
    </cacheField>
    <cacheField name="14-Dec" numFmtId="168">
      <sharedItems containsNonDate="0" containsString="0" containsBlank="1"/>
    </cacheField>
    <cacheField name="15-Dec" numFmtId="168">
      <sharedItems containsNonDate="0" containsString="0" containsBlank="1"/>
    </cacheField>
    <cacheField name="16-Dec" numFmtId="168">
      <sharedItems containsNonDate="0" containsString="0" containsBlank="1"/>
    </cacheField>
    <cacheField name="17-Dec" numFmtId="168">
      <sharedItems containsNonDate="0" containsString="0" containsBlank="1"/>
    </cacheField>
    <cacheField name="18-Dec" numFmtId="168">
      <sharedItems containsNonDate="0" containsString="0" containsBlank="1"/>
    </cacheField>
    <cacheField name="19-Dec" numFmtId="168">
      <sharedItems containsNonDate="0" containsString="0" containsBlank="1"/>
    </cacheField>
    <cacheField name="20-Dec" numFmtId="168">
      <sharedItems containsNonDate="0" containsString="0" containsBlank="1"/>
    </cacheField>
    <cacheField name="21-Dec" numFmtId="168">
      <sharedItems containsNonDate="0" containsString="0" containsBlank="1"/>
    </cacheField>
    <cacheField name="Missing" numFmtId="169">
      <sharedItems containsSemiMixedTypes="0" containsNonDate="0" containsDate="1" containsString="0" minDate="1899-12-30T00:00:00" maxDate="1899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EzzElDin Ali" refreshedDate="46005.796947685187" createdVersion="4" refreshedVersion="6" minRefreshableVersion="3" recordCount="50" xr:uid="{00000000-000A-0000-FFFF-FFFF0E000000}">
  <cacheSource type="worksheet">
    <worksheetSource ref="A3:AU1048576" sheet="FL"/>
  </cacheSource>
  <cacheFields count="47">
    <cacheField name="0" numFmtId="0">
      <sharedItems containsString="0" containsBlank="1" containsNumber="1" containsInteger="1" minValue="1" maxValue="49"/>
    </cacheField>
    <cacheField name="Username" numFmtId="0">
      <sharedItems containsBlank="1"/>
    </cacheField>
    <cacheField name="Displayname" numFmtId="0">
      <sharedItems containsBlank="1"/>
    </cacheField>
    <cacheField name="Leader" numFmtId="0">
      <sharedItems containsBlank="1" count="108">
        <s v="Mohamed Ahmed-Nagy"/>
        <s v="Omar Emad-Mahmoud"/>
        <s v="Merna Ashraf-Ashrafy"/>
        <s v="AbdElRahman Adel-ElKelany"/>
        <s v="Nesting"/>
        <s v="Nada AbdElAzim -Ahmed "/>
        <m/>
        <s v="AbdElRahaman AbdElRahim-ElFouly " u="1"/>
        <s v="Rasha Magdy-Hafez" u="1"/>
        <s v="Moamen Ashraf-ElKateb" u="1"/>
        <s v="AbdAllah Kamal-Hussien" u="1"/>
        <s v="Ammar Abdelhamid" u="1"/>
        <s v="Desouky Ramadan-Mohamed" u="1"/>
        <s v="Mohamed Ali-AbdElRehim" u="1"/>
        <s v="AbdElRahaman AbdElRahim-ElFouly T" u="1"/>
        <s v="Yossef Mohamed" u="1"/>
        <s v="Ahmed Embaby" u="1"/>
        <s v="Ibrahim Youssef-Badr" u="1"/>
        <s v="Mohamed Abd-Zakaria" u="1"/>
        <s v="Mostafa AbdElSattar-Ali " u="1"/>
        <s v="Mostafa Sayed" u="1"/>
        <s v="Ahmed AbdAllah-Mansour" u="1"/>
        <s v="Mostafa Sayed-Taba" u="1"/>
        <s v="Ahmed AbdElKhalik-Sayed" u="1"/>
        <s v="Youssef Khaled-Hussein" u="1"/>
        <s v="Fathy Ashraf-Mahmoud" u="1"/>
        <s v="Ahmed Adel-Mosalamy" u="1"/>
        <s v="Task" u="1"/>
        <s v="Adam Mounir-Ahmed" u="1"/>
        <s v="Nada-Tarek Gouda" u="1"/>
        <s v="Mohamed Attia-AbdElMoaty" u="1"/>
        <s v="Nouran Saeed-Saleh" u="1"/>
        <s v="Zainab Fawzy-AbdElMoniem" u="1"/>
        <s v="AbdElRahman Ayman-Ahmed" u="1"/>
        <s v="Outbound" u="1"/>
        <s v="Pending res" u="1"/>
        <s v="Ahmed ElMosalmy-Ahmed" u="1"/>
        <s v="Mohamed AbdElMoneim-Zakaria" u="1"/>
        <s v="Ahmed Hussein-ElSaadany" u="1"/>
        <s v="Amr Samy-Nabil" u="1"/>
        <s v="Tarek Medhat-Hassan" u="1"/>
        <s v="AbdElRahman Ahmad-Musallam" u="1"/>
        <s v="Yousif Mohamed-Mohamed" u="1"/>
        <s v="Nader Sayed-Gouda" u="1"/>
        <s v="Follow up" u="1"/>
        <s v="Ziad Nagah-AbdElMaksoud" u="1"/>
        <s v="Ehab Adel-Ahmed" u="1"/>
        <s v="OOQ" u="1"/>
        <s v="Ahmed Nabil-AbdElHalim" u="1"/>
        <s v="CO-Trainer" u="1"/>
        <s v="Kholod GamalElDin-Bayoumi" u="1"/>
        <s v="Floor Night" u="1"/>
        <s v="Nemaa Ahmed-Mohamed" u="1"/>
        <s v="Nada Tarek-Gouda" u="1"/>
        <s v="Mahinour Ali-Ali" u="1"/>
        <s v="Bahaa Hamdy AbdElkhalq" u="1"/>
        <s v="Islam Niazy-Ali" u="1"/>
        <s v="Youssef Mohamed " u="1"/>
        <s v="-" u="1"/>
        <s v="Karim Osama-Marie" u="1"/>
        <s v="Resignation" u="1"/>
        <s v="Mahmoud NourElDin-Morsy" u="1"/>
        <s v="Mostafa Sayed-Mostafa" u="1"/>
        <s v="Ibrahim Emam Soliman (WFH)" u="1"/>
        <s v="Youssef khaled" u="1"/>
        <s v="Fatma Saeed-Ibrahim" u="1"/>
        <s v="Hala Mostafa-Ahmed" u="1"/>
        <s v="Sherif Saber-Ali" u="1"/>
        <s v="Transfer" u="1"/>
        <s v="Ahmed Medhat-Hassan " u="1"/>
        <s v="Mohamed Nagi Okasha" u="1"/>
        <s v="Kareem Mohamed-AbdElMetaal" u="1"/>
        <s v="Shrief Mahmoud-ElAlfy" u="1"/>
        <s v="Mohamed Sanad-Ahmed" u="1"/>
        <s v="Mahmoud Mahmoud-Saeed ( Nesting )" u="1"/>
        <s v="Mostafa Osama-Adly (WFH)" u="1"/>
        <s v="Fatma Saied Ibrahim" u="1"/>
        <s v="Mohamed Saad-Kassem" u="1"/>
        <s v="Ahmed Salah-ElTohamy" u="1"/>
        <s v="Zeinab Fawzy-AbdElMoniem" u="1"/>
        <s v="Ahmed Medhat" u="1"/>
        <s v="Ahmed Mohamed-Hefny" u="1"/>
        <s v="Training" u="1"/>
        <s v="Ahmed AbdElAzim-Sherif" u="1"/>
        <s v="Mohamed ElSayed-Mady" u="1"/>
        <s v="Mohamed Ashraf-Lotfy" u="1"/>
        <s v="Mohamed Salem-ElSherif" u="1"/>
        <s v="Mohamed Zakaria-Tolba" u="1"/>
        <s v="Ziad Saeed-Mahmoud" u="1"/>
        <s v="Ahmed ElTayeb-Hassan" u="1"/>
        <s v="Mohamed Shaher" u="1"/>
        <s v="Floor walkers" u="1"/>
        <s v="Eman Hosny-AbdElRehim" u="1"/>
        <s v="Ahmed Adel-AbdElHak" u="1"/>
        <s v="Ahmed Saleh-Ali" u="1"/>
        <s v="Mostafa AbdElSattar-Ali " u="1"/>
        <s v="Bahaa" u="1"/>
        <s v="Mariem Zaki" u="1"/>
        <s v="Sohila Ashraf-Samir" u="1"/>
        <s v="Adham Sabry-Radwan" u="1"/>
        <s v="Amr Magdy-AbdElAal" u="1"/>
        <s v="Amr Samy-Abdelrahman" u="1"/>
        <s v="Gaber Waleed-Mahmoud" u="1"/>
        <s v="Mohamed Okasha" u="1"/>
        <s v="Marwan Mahmoud-Ahmed" u="1"/>
        <s v="Tech" u="1"/>
        <s v="Ammar AbdElHamid-Ammar" u="1"/>
        <s v="Ahmed Mohamed-Khalil" u="1"/>
      </sharedItems>
    </cacheField>
    <cacheField name="SPV" numFmtId="0">
      <sharedItems containsBlank="1"/>
    </cacheField>
    <cacheField name="21-Nov" numFmtId="0">
      <sharedItems containsBlank="1"/>
    </cacheField>
    <cacheField name="22-Nov" numFmtId="0">
      <sharedItems containsBlank="1"/>
    </cacheField>
    <cacheField name="23-Nov" numFmtId="0">
      <sharedItems containsBlank="1"/>
    </cacheField>
    <cacheField name="24-Nov" numFmtId="0">
      <sharedItems containsBlank="1"/>
    </cacheField>
    <cacheField name="25-Nov" numFmtId="0">
      <sharedItems containsBlank="1"/>
    </cacheField>
    <cacheField name="26-Nov" numFmtId="0">
      <sharedItems containsBlank="1"/>
    </cacheField>
    <cacheField name="27-Nov" numFmtId="0">
      <sharedItems containsBlank="1"/>
    </cacheField>
    <cacheField name="28-Nov" numFmtId="0">
      <sharedItems containsBlank="1"/>
    </cacheField>
    <cacheField name="29-Nov" numFmtId="0">
      <sharedItems containsBlank="1"/>
    </cacheField>
    <cacheField name="30-Nov" numFmtId="0">
      <sharedItems containsBlank="1"/>
    </cacheField>
    <cacheField name="1-Dec" numFmtId="0">
      <sharedItems containsBlank="1"/>
    </cacheField>
    <cacheField name="2-Dec" numFmtId="0">
      <sharedItems containsBlank="1"/>
    </cacheField>
    <cacheField name="3-Dec" numFmtId="0">
      <sharedItems containsBlank="1"/>
    </cacheField>
    <cacheField name="4-Dec" numFmtId="0">
      <sharedItems containsBlank="1"/>
    </cacheField>
    <cacheField name="5-Dec" numFmtId="0">
      <sharedItems containsBlank="1"/>
    </cacheField>
    <cacheField name="6-Dec" numFmtId="0">
      <sharedItems containsBlank="1"/>
    </cacheField>
    <cacheField name="7-Dec" numFmtId="0">
      <sharedItems containsBlank="1"/>
    </cacheField>
    <cacheField name="8-Dec" numFmtId="0">
      <sharedItems containsBlank="1"/>
    </cacheField>
    <cacheField name="9-Dec" numFmtId="0">
      <sharedItems containsBlank="1"/>
    </cacheField>
    <cacheField name="10-Dec" numFmtId="0">
      <sharedItems containsBlank="1"/>
    </cacheField>
    <cacheField name="11-Dec" numFmtId="0">
      <sharedItems containsBlank="1"/>
    </cacheField>
    <cacheField name="12-Dec" numFmtId="0">
      <sharedItems containsBlank="1"/>
    </cacheField>
    <cacheField name="13-Dec" numFmtId="0">
      <sharedItems containsBlank="1"/>
    </cacheField>
    <cacheField name="14-Dec" numFmtId="0">
      <sharedItems containsNonDate="0" containsString="0" containsBlank="1"/>
    </cacheField>
    <cacheField name="15-Dec" numFmtId="0">
      <sharedItems containsNonDate="0" containsString="0" containsBlank="1"/>
    </cacheField>
    <cacheField name="16-Dec" numFmtId="0">
      <sharedItems containsNonDate="0" containsString="0" containsBlank="1"/>
    </cacheField>
    <cacheField name="17-Dec" numFmtId="0">
      <sharedItems containsNonDate="0" containsString="0" containsBlank="1"/>
    </cacheField>
    <cacheField name="18-Dec" numFmtId="0">
      <sharedItems containsNonDate="0" containsString="0" containsBlank="1"/>
    </cacheField>
    <cacheField name="19-Dec" numFmtId="0">
      <sharedItems containsNonDate="0" containsString="0" containsBlank="1"/>
    </cacheField>
    <cacheField name="20-Dec" numFmtId="0">
      <sharedItems containsNonDate="0" containsString="0" containsBlank="1"/>
    </cacheField>
    <cacheField name="21-Dec" numFmtId="0">
      <sharedItems containsNonDate="0" containsString="0" containsBlank="1"/>
    </cacheField>
    <cacheField name="Attended" numFmtId="0">
      <sharedItems containsString="0" containsBlank="1" containsNumber="1" containsInteger="1" minValue="0" maxValue="23"/>
    </cacheField>
    <cacheField name="No Show" numFmtId="0">
      <sharedItems containsString="0" containsBlank="1" containsNumber="1" containsInteger="1" minValue="0" maxValue="7"/>
    </cacheField>
    <cacheField name="Annual" numFmtId="0">
      <sharedItems containsString="0" containsBlank="1" containsNumber="1" containsInteger="1" minValue="0" maxValue="1"/>
    </cacheField>
    <cacheField name="Bereavement" numFmtId="0">
      <sharedItems containsString="0" containsBlank="1" containsNumber="1" containsInteger="1" minValue="0" maxValue="0"/>
    </cacheField>
    <cacheField name="Sick" numFmtId="0">
      <sharedItems containsString="0" containsBlank="1" containsNumber="1" containsInteger="1" minValue="0" maxValue="0"/>
    </cacheField>
    <cacheField name="UPL" numFmtId="0">
      <sharedItems containsString="0" containsBlank="1" containsNumber="1" containsInteger="1" minValue="0" maxValue="0"/>
    </cacheField>
    <cacheField name="Compensation" numFmtId="0">
      <sharedItems containsString="0" containsBlank="1" containsNumber="1" containsInteger="1" minValue="0" maxValue="1"/>
    </cacheField>
    <cacheField name="Resignation" numFmtId="0">
      <sharedItems containsString="0" containsBlank="1" containsNumber="1" containsInteger="1" minValue="0" maxValue="12"/>
    </cacheField>
    <cacheField name="App Issue" numFmtId="0">
      <sharedItems containsString="0" containsBlank="1" containsNumber="1" containsInteger="1" minValue="0" maxValue="11"/>
    </cacheField>
    <cacheField name="OFF" numFmtId="0">
      <sharedItems containsString="0" containsBlank="1" containsNumber="1" containsInteger="1" minValue="0" maxValue="9"/>
    </cacheField>
    <cacheField name="Suspension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V22HRassoul"/>
    <s v="Hend Yousry-AbdElRassoul"/>
    <s v="Mohamed Ahmed-Nagy"/>
    <x v="0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m/>
    <m/>
    <m/>
    <m/>
    <m/>
    <m/>
    <m/>
    <m/>
    <n v="23"/>
    <n v="0"/>
    <n v="0"/>
    <n v="0"/>
    <n v="0"/>
    <n v="0"/>
    <n v="0"/>
    <n v="0"/>
    <n v="0"/>
    <n v="0"/>
    <n v="0"/>
    <n v="0"/>
  </r>
  <r>
    <n v="2"/>
    <s v="V23MGelil"/>
    <s v="Mohamed Ali-AbdElGelil"/>
    <s v="Omar Emad-Mahmoud"/>
    <x v="0"/>
    <s v="Attended"/>
    <s v="OFF"/>
    <s v="Attended"/>
    <s v="Attended"/>
    <s v="Attended"/>
    <s v="Attended"/>
    <s v="Attended"/>
    <s v="Attended"/>
    <s v="Off"/>
    <s v="Compensation"/>
    <s v="Attended"/>
    <s v="Attended"/>
    <s v="Attended"/>
    <s v="Attended"/>
    <s v="Off"/>
    <s v="Off"/>
    <s v="No Show"/>
    <s v="No Show"/>
    <s v="Attended"/>
    <s v="Attended"/>
    <s v="Attended"/>
    <s v="Off"/>
    <s v="Attended"/>
    <m/>
    <m/>
    <m/>
    <m/>
    <m/>
    <m/>
    <m/>
    <m/>
    <n v="15"/>
    <n v="2"/>
    <n v="0"/>
    <n v="0"/>
    <n v="0"/>
    <n v="0"/>
    <n v="1"/>
    <n v="0"/>
    <n v="0"/>
    <n v="5"/>
    <n v="0"/>
    <n v="0"/>
  </r>
  <r>
    <n v="3"/>
    <s v="V24OMahmoud"/>
    <s v="Omar Emad-Mahmoud"/>
    <s v="Mohamed Ahmed-Nagy"/>
    <x v="0"/>
    <s v="Task"/>
    <s v="OFF"/>
    <s v="Task"/>
    <s v="Attended"/>
    <s v="Off"/>
    <s v="Task"/>
    <s v="Attended"/>
    <s v="Task"/>
    <s v="Off"/>
    <s v="Off"/>
    <s v="Task"/>
    <s v="Task"/>
    <s v="Attended"/>
    <s v="Task"/>
    <s v="Attended"/>
    <s v="Task"/>
    <s v="Task"/>
    <s v="Task"/>
    <s v="Task"/>
    <s v="Task"/>
    <s v="Attended"/>
    <s v="Task"/>
    <s v="Task"/>
    <m/>
    <m/>
    <m/>
    <m/>
    <m/>
    <m/>
    <m/>
    <m/>
    <n v="19"/>
    <n v="0"/>
    <n v="0"/>
    <n v="0"/>
    <n v="0"/>
    <n v="0"/>
    <n v="0"/>
    <n v="0"/>
    <n v="0"/>
    <n v="4"/>
    <n v="0"/>
    <n v="0"/>
  </r>
  <r>
    <n v="4"/>
    <s v="V24AHassan6"/>
    <s v="Aya Mohamed-Hassan"/>
    <s v="Merna Ashraf-Ashrafy"/>
    <x v="0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m/>
    <m/>
    <m/>
    <m/>
    <m/>
    <m/>
    <m/>
    <m/>
    <n v="15"/>
    <n v="0"/>
    <n v="0"/>
    <n v="0"/>
    <n v="0"/>
    <n v="0"/>
    <n v="0"/>
    <n v="0"/>
    <n v="0"/>
    <n v="8"/>
    <n v="0"/>
    <n v="0"/>
  </r>
  <r>
    <n v="5"/>
    <s v="V22MAshrafy"/>
    <s v="Merna Ashraf-Ashrafy"/>
    <s v="Mohamed Ahmed-Nagy"/>
    <x v="0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m/>
    <m/>
    <m/>
    <m/>
    <m/>
    <m/>
    <m/>
    <m/>
    <n v="23"/>
    <n v="0"/>
    <n v="0"/>
    <n v="0"/>
    <n v="0"/>
    <n v="0"/>
    <n v="0"/>
    <n v="0"/>
    <n v="0"/>
    <n v="0"/>
    <n v="0"/>
    <n v="0"/>
  </r>
  <r>
    <n v="6"/>
    <s v="V24SAhmed28"/>
    <s v="Salma Taha-Ahmed"/>
    <s v="Merna Ashraf-Ashrafy"/>
    <x v="0"/>
    <s v="Off"/>
    <s v="OFF"/>
    <s v="Attended"/>
    <s v="Attended"/>
    <s v="Attended"/>
    <s v="Attended"/>
    <s v="Attended"/>
    <s v="Off"/>
    <s v="Off"/>
    <s v="Attended"/>
    <s v="Attended"/>
    <s v="No Show"/>
    <s v="Attended"/>
    <s v="Attended"/>
    <s v="Off"/>
    <s v="Off"/>
    <s v="No Show"/>
    <s v="No Show"/>
    <s v="No Show"/>
    <s v="No Show"/>
    <s v="No Show"/>
    <s v="Off"/>
    <s v="No Show"/>
    <m/>
    <m/>
    <m/>
    <m/>
    <m/>
    <m/>
    <m/>
    <m/>
    <n v="9"/>
    <n v="7"/>
    <n v="0"/>
    <n v="0"/>
    <n v="0"/>
    <n v="0"/>
    <n v="0"/>
    <n v="0"/>
    <n v="0"/>
    <n v="7"/>
    <n v="0"/>
    <n v="0"/>
  </r>
  <r>
    <n v="7"/>
    <s v="V24AKelany"/>
    <s v="AbdElRahman Adel-ElKelany"/>
    <s v="Mohamed Ahmed-Nagy"/>
    <x v="0"/>
    <s v="Attended"/>
    <s v="Attended"/>
    <s v="Attended"/>
    <s v="Attended"/>
    <s v="Attended"/>
    <s v="Task"/>
    <s v="Task"/>
    <s v="Task"/>
    <s v="Task"/>
    <s v="Task"/>
    <s v="Task"/>
    <s v="OFF"/>
    <s v="Off"/>
    <s v="Task"/>
    <s v="Task"/>
    <s v="Attended"/>
    <s v="Task"/>
    <s v="Task"/>
    <s v="Task"/>
    <s v="Task"/>
    <s v="Task"/>
    <s v="Task"/>
    <s v="Task"/>
    <m/>
    <m/>
    <m/>
    <m/>
    <m/>
    <m/>
    <m/>
    <m/>
    <n v="21"/>
    <n v="0"/>
    <n v="0"/>
    <n v="0"/>
    <n v="0"/>
    <n v="0"/>
    <n v="0"/>
    <n v="0"/>
    <n v="0"/>
    <n v="2"/>
    <n v="0"/>
    <n v="0"/>
  </r>
  <r>
    <n v="8"/>
    <s v="V24OSamea"/>
    <s v="Omnia Salah-AbdElSamea "/>
    <s v="Merna Ashraf-Ashrafy"/>
    <x v="0"/>
    <s v="No Show"/>
    <s v="OFF"/>
    <s v="Off"/>
    <s v="No Show"/>
    <s v="No Show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m/>
    <m/>
    <m/>
    <m/>
    <m/>
    <m/>
    <m/>
    <m/>
    <n v="13"/>
    <n v="3"/>
    <n v="0"/>
    <n v="0"/>
    <n v="0"/>
    <n v="0"/>
    <n v="0"/>
    <n v="0"/>
    <n v="0"/>
    <n v="7"/>
    <n v="0"/>
    <n v="0"/>
  </r>
  <r>
    <n v="9"/>
    <s v="V24AMohamed142"/>
    <s v="Ahmed Hany-Mohamed"/>
    <s v="Mohamed Ahmed-Nagy"/>
    <x v="0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m/>
    <m/>
    <m/>
    <m/>
    <m/>
    <m/>
    <m/>
    <m/>
    <n v="0"/>
    <n v="0"/>
    <n v="0"/>
    <n v="0"/>
    <n v="0"/>
    <n v="0"/>
    <n v="0"/>
    <n v="0"/>
    <n v="0"/>
    <n v="0"/>
    <n v="0"/>
    <n v="0"/>
  </r>
  <r>
    <n v="10"/>
    <s v="V24KKhalek1"/>
    <s v="Khaled Waleed-AbdElKhalek"/>
    <s v="Omar Emad-Mahmoud"/>
    <x v="0"/>
    <s v="Attended"/>
    <s v="Attended"/>
    <s v="Attended"/>
    <s v="Off"/>
    <s v="Attended"/>
    <s v="Attended"/>
    <s v="Attended"/>
    <s v="Attended"/>
    <s v="Attended"/>
    <s v="Attended"/>
    <s v="Attended"/>
    <s v="Attended"/>
    <s v="Compensation"/>
    <s v="Off"/>
    <s v="Off"/>
    <s v="Off"/>
    <s v="Off"/>
    <s v="Attended"/>
    <s v="Attended"/>
    <s v="Attended"/>
    <s v="Attended"/>
    <s v="Attended"/>
    <s v="Attended"/>
    <m/>
    <m/>
    <m/>
    <m/>
    <m/>
    <m/>
    <m/>
    <m/>
    <n v="17"/>
    <n v="0"/>
    <n v="0"/>
    <n v="0"/>
    <n v="0"/>
    <n v="0"/>
    <n v="1"/>
    <n v="0"/>
    <n v="0"/>
    <n v="5"/>
    <n v="0"/>
    <n v="0"/>
  </r>
  <r>
    <n v="11"/>
    <s v="V25RFarag3"/>
    <s v="Rawan Ayman-Farag "/>
    <s v="Merna Ashraf-Ashrafy"/>
    <x v="0"/>
    <s v="Attended"/>
    <s v="OFF"/>
    <s v="Attended"/>
    <s v="Attended"/>
    <s v="Off"/>
    <s v="Attended"/>
    <s v="Attended"/>
    <s v="Attended"/>
    <s v="Attended"/>
    <s v="Attended"/>
    <s v="Attended"/>
    <s v="OFF"/>
    <s v="Off"/>
    <s v="Attended"/>
    <s v="Attended"/>
    <s v="Off"/>
    <s v="Attended"/>
    <s v="Off"/>
    <s v="Attended"/>
    <s v="Attended"/>
    <s v="Attended"/>
    <s v="Attended"/>
    <s v="OFF"/>
    <m/>
    <m/>
    <m/>
    <m/>
    <m/>
    <m/>
    <m/>
    <m/>
    <n v="16"/>
    <n v="0"/>
    <n v="0"/>
    <n v="0"/>
    <n v="0"/>
    <n v="0"/>
    <n v="0"/>
    <n v="0"/>
    <n v="0"/>
    <n v="7"/>
    <n v="0"/>
    <n v="0"/>
  </r>
  <r>
    <n v="12"/>
    <s v="V25ASamir2"/>
    <s v="AbdElRahman Mohamed-Samir"/>
    <s v="AbdElRahman Adel-ElKelany"/>
    <x v="0"/>
    <s v="Attended"/>
    <s v="OFF"/>
    <s v="Off"/>
    <s v="No Show"/>
    <s v="No Show"/>
    <s v="Attended"/>
    <s v="Attended"/>
    <s v="Attended"/>
    <s v="Off"/>
    <s v="Attended"/>
    <s v="Attended"/>
    <s v="Attended"/>
    <s v="Off"/>
    <s v="Attended"/>
    <s v="Attended"/>
    <s v="Off"/>
    <s v="Attended"/>
    <s v="Attended"/>
    <s v="Attended"/>
    <s v="Attended"/>
    <s v="Off"/>
    <s v="Attended"/>
    <s v="Attended"/>
    <m/>
    <m/>
    <m/>
    <m/>
    <m/>
    <m/>
    <m/>
    <m/>
    <n v="15"/>
    <n v="2"/>
    <n v="0"/>
    <n v="0"/>
    <n v="0"/>
    <n v="0"/>
    <n v="0"/>
    <n v="0"/>
    <n v="0"/>
    <n v="6"/>
    <n v="0"/>
    <n v="0"/>
  </r>
  <r>
    <n v="13"/>
    <s v="V25SZekry"/>
    <s v="Safaa Safwat-Zekry"/>
    <s v="Merna Ashraf-Ashrafy"/>
    <x v="0"/>
    <s v="Attended"/>
    <s v="Attended"/>
    <s v="Off"/>
    <s v="Attended"/>
    <s v="Attended"/>
    <s v="Attended"/>
    <s v="Attended"/>
    <s v="Attended"/>
    <s v="Attended"/>
    <s v="Off"/>
    <s v="Off"/>
    <s v="Attended"/>
    <s v="Attended"/>
    <s v="Attended"/>
    <s v="Attended"/>
    <s v="No Show"/>
    <s v="Off"/>
    <s v="Off"/>
    <s v="Attended"/>
    <s v="Attended"/>
    <s v="Attended"/>
    <s v="Attended"/>
    <s v="Attended"/>
    <m/>
    <m/>
    <m/>
    <m/>
    <m/>
    <m/>
    <m/>
    <m/>
    <n v="17"/>
    <n v="1"/>
    <n v="0"/>
    <n v="0"/>
    <n v="0"/>
    <n v="0"/>
    <n v="0"/>
    <n v="0"/>
    <n v="0"/>
    <n v="5"/>
    <n v="0"/>
    <n v="0"/>
  </r>
  <r>
    <n v="14"/>
    <s v="V24OMohamed10"/>
    <s v="Osama Magdy-Mohamed"/>
    <s v="AbdElRahman Adel-ElKelany"/>
    <x v="0"/>
    <s v="Attended"/>
    <s v="Attended"/>
    <s v="Off"/>
    <s v="Off"/>
    <s v="Attended"/>
    <s v="Attended"/>
    <s v="Attended"/>
    <s v="Attended"/>
    <s v="Attended"/>
    <s v="Off"/>
    <s v="Attended"/>
    <s v="Attended"/>
    <s v="Attended"/>
    <s v="Attended"/>
    <s v="Off"/>
    <s v="Attended"/>
    <s v="Attended"/>
    <s v="Attended"/>
    <s v="Attended"/>
    <s v="Attended"/>
    <s v="Off"/>
    <s v="Off"/>
    <s v="OFF"/>
    <m/>
    <m/>
    <m/>
    <m/>
    <m/>
    <m/>
    <m/>
    <m/>
    <n v="16"/>
    <n v="0"/>
    <n v="0"/>
    <n v="0"/>
    <n v="0"/>
    <n v="0"/>
    <n v="0"/>
    <n v="0"/>
    <n v="0"/>
    <n v="7"/>
    <n v="0"/>
    <n v="0"/>
  </r>
  <r>
    <n v="15"/>
    <s v="V25TAhmed3"/>
    <s v="Tarek Ayman-Ahmed"/>
    <s v="AbdElRahman Adel-ElKelany"/>
    <x v="0"/>
    <s v="Attended"/>
    <s v="Attended"/>
    <s v="Off"/>
    <s v="Attended"/>
    <s v="Attended"/>
    <s v="Attended"/>
    <s v="Attended"/>
    <s v="Attended"/>
    <s v="Attended"/>
    <s v="Off"/>
    <s v="Attended"/>
    <s v="Attended"/>
    <s v="Attended"/>
    <s v="Attended"/>
    <s v="Off"/>
    <s v="Attended"/>
    <s v="Attended"/>
    <s v="Attended"/>
    <s v="Attended"/>
    <s v="Attended"/>
    <s v="Off"/>
    <s v="Off"/>
    <s v="Attended"/>
    <m/>
    <m/>
    <m/>
    <m/>
    <m/>
    <m/>
    <m/>
    <m/>
    <n v="18"/>
    <n v="0"/>
    <n v="0"/>
    <n v="0"/>
    <n v="0"/>
    <n v="0"/>
    <n v="0"/>
    <n v="0"/>
    <n v="0"/>
    <n v="5"/>
    <n v="0"/>
    <n v="0"/>
  </r>
  <r>
    <n v="16"/>
    <s v="V25ARizk"/>
    <s v="Ahmed Sameh-Rizk"/>
    <s v="Omar Emad-Mahmoud"/>
    <x v="0"/>
    <s v="Attended"/>
    <s v="OFF"/>
    <s v="Attended"/>
    <s v="Attended"/>
    <s v="Off"/>
    <s v="Attended"/>
    <s v="Attended"/>
    <s v="Attended"/>
    <s v="Off"/>
    <s v="Attended"/>
    <s v="Attended"/>
    <s v="Attended"/>
    <s v="Attended"/>
    <s v="Attended"/>
    <s v="Attended"/>
    <s v="Off"/>
    <s v="Attended"/>
    <s v="Attended"/>
    <s v="Attended"/>
    <s v="Attended"/>
    <s v="Attended"/>
    <s v="Attended"/>
    <s v="OFF"/>
    <m/>
    <m/>
    <m/>
    <m/>
    <m/>
    <m/>
    <m/>
    <m/>
    <n v="18"/>
    <n v="0"/>
    <n v="0"/>
    <n v="0"/>
    <n v="0"/>
    <n v="0"/>
    <n v="0"/>
    <n v="0"/>
    <n v="0"/>
    <n v="5"/>
    <n v="0"/>
    <n v="0"/>
  </r>
  <r>
    <n v="17"/>
    <s v="V25YMohamed24"/>
    <s v="Yasmine Waleed-Mohamed"/>
    <s v="Merna Ashraf-Ashrafy"/>
    <x v="0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Off"/>
    <s v="Attended"/>
    <s v="Attended"/>
    <s v="Attended"/>
    <s v="Off"/>
    <s v="No Show"/>
    <s v="Attended"/>
    <m/>
    <m/>
    <m/>
    <m/>
    <m/>
    <m/>
    <m/>
    <m/>
    <n v="15"/>
    <n v="1"/>
    <n v="0"/>
    <n v="0"/>
    <n v="0"/>
    <n v="0"/>
    <n v="0"/>
    <n v="0"/>
    <n v="0"/>
    <n v="7"/>
    <n v="0"/>
    <n v="0"/>
  </r>
  <r>
    <n v="18"/>
    <s v="V25NSaeed1"/>
    <s v="Nouran AbdAllah-Saeed"/>
    <s v="Merna Ashraf-Ashrafy"/>
    <x v="0"/>
    <s v="Off"/>
    <s v="Attended"/>
    <s v="Off"/>
    <s v="Attended"/>
    <s v="Attended"/>
    <s v="Attended"/>
    <s v="Attended"/>
    <s v="Off"/>
    <s v="Attended"/>
    <s v="Attended"/>
    <s v="Attended"/>
    <s v="Attended"/>
    <s v="Off"/>
    <s v="Attended"/>
    <s v="Off"/>
    <s v="Off"/>
    <s v="Attended"/>
    <s v="Attended"/>
    <s v="Attended"/>
    <s v="Attended"/>
    <s v="Attended"/>
    <s v="Off"/>
    <s v="OFF"/>
    <m/>
    <m/>
    <m/>
    <m/>
    <m/>
    <m/>
    <m/>
    <m/>
    <n v="15"/>
    <n v="0"/>
    <n v="0"/>
    <n v="0"/>
    <n v="0"/>
    <n v="0"/>
    <n v="0"/>
    <n v="0"/>
    <n v="0"/>
    <n v="8"/>
    <n v="0"/>
    <n v="0"/>
  </r>
  <r>
    <n v="19"/>
    <s v="V25JRazek"/>
    <s v="Jana HossamElDin-AbdElRazek"/>
    <s v="Merna Ashraf-Ashrafy"/>
    <x v="0"/>
    <s v="Off"/>
    <s v="Attended"/>
    <s v="Attended"/>
    <s v="Attended"/>
    <s v="Off"/>
    <s v="Attended"/>
    <s v="Attended"/>
    <s v="Off"/>
    <s v="Attended"/>
    <s v="Attended"/>
    <s v="Attended"/>
    <s v="OFF"/>
    <s v="Attended"/>
    <s v="Attended"/>
    <s v="Off"/>
    <s v="Attended"/>
    <s v="Attended"/>
    <s v="Attended"/>
    <s v="Off"/>
    <s v="Attended"/>
    <s v="Attended"/>
    <s v="Off"/>
    <s v="Attended"/>
    <m/>
    <m/>
    <m/>
    <m/>
    <m/>
    <m/>
    <m/>
    <m/>
    <n v="16"/>
    <n v="0"/>
    <n v="0"/>
    <n v="0"/>
    <n v="0"/>
    <n v="0"/>
    <n v="0"/>
    <n v="0"/>
    <n v="0"/>
    <n v="7"/>
    <n v="0"/>
    <n v="0"/>
  </r>
  <r>
    <n v="20"/>
    <s v="V25OAzab"/>
    <s v="Omnia Wageeh-ElAzab"/>
    <s v="AbdElRahman Adel-ElKelany"/>
    <x v="0"/>
    <s v="Off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No Show"/>
    <s v="Off"/>
    <s v="Attended"/>
    <s v="Off"/>
    <s v="Attended"/>
    <s v="Attended"/>
    <m/>
    <m/>
    <m/>
    <m/>
    <m/>
    <m/>
    <m/>
    <m/>
    <n v="15"/>
    <n v="1"/>
    <n v="0"/>
    <n v="0"/>
    <n v="0"/>
    <n v="0"/>
    <n v="0"/>
    <n v="0"/>
    <n v="0"/>
    <n v="7"/>
    <n v="0"/>
    <n v="0"/>
  </r>
  <r>
    <n v="21"/>
    <s v="V25MHassanien"/>
    <s v="Mohamed Adel-Hassanien"/>
    <s v="AbdElRahman Adel-ElKelany"/>
    <x v="0"/>
    <s v="Off"/>
    <s v="Attended"/>
    <s v="Attended"/>
    <s v="Attended"/>
    <s v="Attended"/>
    <s v="Attended"/>
    <s v="Attended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OFF"/>
    <m/>
    <m/>
    <m/>
    <m/>
    <m/>
    <m/>
    <m/>
    <m/>
    <n v="16"/>
    <n v="0"/>
    <n v="0"/>
    <n v="0"/>
    <n v="0"/>
    <n v="0"/>
    <n v="0"/>
    <n v="0"/>
    <n v="0"/>
    <n v="7"/>
    <n v="0"/>
    <n v="0"/>
  </r>
  <r>
    <n v="22"/>
    <s v="V25OMahmoud1"/>
    <s v="Ola Essam-Mahmoud"/>
    <s v="Merna Ashraf-Ashrafy"/>
    <x v="0"/>
    <s v="Off"/>
    <s v="OFF"/>
    <s v="Attended"/>
    <s v="Attended"/>
    <s v="Attended"/>
    <s v="Attended"/>
    <s v="Off"/>
    <s v="Attended"/>
    <s v="Attended"/>
    <s v="Off"/>
    <s v="Attended"/>
    <s v="Attended"/>
    <s v="Attended"/>
    <s v="Attended"/>
    <s v="Task"/>
    <s v="Task"/>
    <s v="Attended"/>
    <s v="Attended"/>
    <s v="Attended"/>
    <s v="Attended"/>
    <s v="Attended"/>
    <s v="Task"/>
    <s v="Task"/>
    <m/>
    <m/>
    <m/>
    <m/>
    <m/>
    <m/>
    <m/>
    <m/>
    <n v="19"/>
    <n v="0"/>
    <n v="0"/>
    <n v="0"/>
    <n v="0"/>
    <n v="0"/>
    <n v="0"/>
    <n v="0"/>
    <n v="0"/>
    <n v="4"/>
    <n v="0"/>
    <n v="0"/>
  </r>
  <r>
    <n v="23"/>
    <s v="V25YMohamed7"/>
    <s v="Youssef Hamdy-Mohamed"/>
    <s v="Omar Emad-Mahmoud"/>
    <x v="0"/>
    <s v="Attended"/>
    <s v="Attended"/>
    <s v="Attended"/>
    <s v="Off"/>
    <s v="Attended"/>
    <s v="Attended"/>
    <s v="Attended"/>
    <s v="Attended"/>
    <s v="Attended"/>
    <s v="Attended"/>
    <s v="Off"/>
    <s v="Attended"/>
    <s v="Attended"/>
    <s v="Off"/>
    <s v="Attended"/>
    <s v="No Show"/>
    <s v="Off"/>
    <s v="No Show"/>
    <s v="No Show"/>
    <s v="No Show"/>
    <s v="No Show"/>
    <s v="Off"/>
    <s v="OFF"/>
    <m/>
    <m/>
    <m/>
    <m/>
    <m/>
    <m/>
    <m/>
    <m/>
    <n v="12"/>
    <n v="5"/>
    <n v="0"/>
    <n v="0"/>
    <n v="0"/>
    <n v="0"/>
    <n v="0"/>
    <n v="0"/>
    <n v="0"/>
    <n v="6"/>
    <n v="0"/>
    <n v="0"/>
  </r>
  <r>
    <n v="24"/>
    <s v="V25AHussein9"/>
    <s v="Ahmed Khaled-Hussein"/>
    <s v="Omar Emad-Mahmoud"/>
    <x v="0"/>
    <s v="Attended"/>
    <s v="Attended"/>
    <s v="Attended"/>
    <s v="Attended"/>
    <s v="Attended"/>
    <s v="Off"/>
    <s v="Attended"/>
    <s v="Attended"/>
    <s v="Attended"/>
    <s v="Attended"/>
    <s v="Attended"/>
    <s v="OFF"/>
    <s v="Off"/>
    <s v="Attended"/>
    <s v="Attended"/>
    <s v="Attended"/>
    <s v="Attended"/>
    <s v="Off"/>
    <s v="Off"/>
    <s v="No Show"/>
    <s v="Attended"/>
    <s v="Attended"/>
    <s v="Attended"/>
    <m/>
    <m/>
    <m/>
    <m/>
    <m/>
    <m/>
    <m/>
    <m/>
    <n v="17"/>
    <n v="1"/>
    <n v="0"/>
    <n v="0"/>
    <n v="0"/>
    <n v="0"/>
    <n v="0"/>
    <n v="0"/>
    <n v="0"/>
    <n v="5"/>
    <n v="0"/>
    <n v="0"/>
  </r>
  <r>
    <n v="25"/>
    <s v="V24ASaeed11"/>
    <s v="Ali Bahat-Saeed"/>
    <s v="Omar Emad-Mahmoud"/>
    <x v="0"/>
    <s v="Attended"/>
    <s v="Attended"/>
    <s v="Off"/>
    <s v="Attended"/>
    <s v="Attended"/>
    <s v="Annual"/>
    <s v="Attended"/>
    <s v="Attended"/>
    <s v="Attended"/>
    <s v="Attended"/>
    <s v="Attended"/>
    <s v="OFF"/>
    <s v="Off"/>
    <s v="Attended"/>
    <s v="Attended"/>
    <s v="Off"/>
    <s v="Off"/>
    <s v="No Show"/>
    <s v="Off"/>
    <s v="No Show"/>
    <s v="Attended"/>
    <s v="Attended"/>
    <s v="Attended"/>
    <m/>
    <m/>
    <m/>
    <m/>
    <m/>
    <m/>
    <m/>
    <m/>
    <n v="14"/>
    <n v="2"/>
    <n v="1"/>
    <n v="0"/>
    <n v="0"/>
    <n v="0"/>
    <n v="0"/>
    <n v="0"/>
    <n v="0"/>
    <n v="6"/>
    <n v="0"/>
    <n v="0"/>
  </r>
  <r>
    <n v="26"/>
    <s v="V25BHassan3"/>
    <s v="Bassant Salah-Hassan"/>
    <s v="AbdElRahman Adel-ElKelany"/>
    <x v="0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Off"/>
    <s v="Attended"/>
    <s v="Off"/>
    <s v="Attended"/>
    <m/>
    <m/>
    <m/>
    <m/>
    <m/>
    <m/>
    <m/>
    <m/>
    <n v="16"/>
    <n v="0"/>
    <n v="0"/>
    <n v="0"/>
    <n v="0"/>
    <n v="0"/>
    <n v="0"/>
    <n v="0"/>
    <n v="0"/>
    <n v="7"/>
    <n v="0"/>
    <n v="0"/>
  </r>
  <r>
    <n v="27"/>
    <s v="V25MHamdy1"/>
    <s v="Mohada Mohamed-Hamdy"/>
    <s v="Merna Ashraf-Ashrafy"/>
    <x v="0"/>
    <s v="Attended"/>
    <s v="Attended"/>
    <s v="Attended"/>
    <s v="Off"/>
    <s v="Attended"/>
    <s v="Off"/>
    <s v="Attended"/>
    <s v="Attended"/>
    <s v="Off"/>
    <s v="Attended"/>
    <s v="Off"/>
    <s v="Attended"/>
    <s v="Attended"/>
    <s v="Attended"/>
    <s v="Attended"/>
    <s v="Off"/>
    <s v="Attended"/>
    <s v="Off"/>
    <s v="Attended"/>
    <s v="Off"/>
    <s v="Attended"/>
    <s v="Attended"/>
    <s v="OFF"/>
    <m/>
    <m/>
    <m/>
    <m/>
    <m/>
    <m/>
    <m/>
    <m/>
    <n v="15"/>
    <n v="0"/>
    <n v="0"/>
    <n v="0"/>
    <n v="0"/>
    <n v="0"/>
    <n v="0"/>
    <n v="0"/>
    <n v="0"/>
    <n v="8"/>
    <n v="0"/>
    <n v="0"/>
  </r>
  <r>
    <n v="28"/>
    <s v="V25AMahmoud45"/>
    <s v="Aya Ezzat-Mahmoud"/>
    <s v="AbdElRahman Adel-ElKelany"/>
    <x v="0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No Show"/>
    <s v="Off"/>
    <s v="Off"/>
    <s v="Attended"/>
    <m/>
    <m/>
    <m/>
    <m/>
    <m/>
    <m/>
    <m/>
    <m/>
    <n v="15"/>
    <n v="1"/>
    <n v="0"/>
    <n v="0"/>
    <n v="0"/>
    <n v="0"/>
    <n v="0"/>
    <n v="0"/>
    <n v="0"/>
    <n v="7"/>
    <n v="0"/>
    <n v="0"/>
  </r>
  <r>
    <n v="29"/>
    <s v="V25IZakaria"/>
    <s v="Islam Gamal-Zakaria"/>
    <s v="Omar Emad-Mahmoud"/>
    <x v="0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m/>
    <m/>
    <m/>
    <m/>
    <m/>
    <m/>
    <m/>
    <m/>
    <n v="16"/>
    <n v="0"/>
    <n v="0"/>
    <n v="0"/>
    <n v="0"/>
    <n v="0"/>
    <n v="0"/>
    <n v="0"/>
    <n v="0"/>
    <n v="7"/>
    <n v="0"/>
    <n v="0"/>
  </r>
  <r>
    <n v="30"/>
    <s v="V25AAziz28"/>
    <s v="AbdAllah Shaker-AbdElAziz"/>
    <s v="Omar Emad-Mahmoud"/>
    <x v="0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m/>
    <m/>
    <m/>
    <m/>
    <m/>
    <m/>
    <m/>
    <m/>
    <n v="17"/>
    <n v="0"/>
    <n v="0"/>
    <n v="0"/>
    <n v="0"/>
    <n v="0"/>
    <n v="0"/>
    <n v="0"/>
    <n v="0"/>
    <n v="6"/>
    <n v="0"/>
    <n v="0"/>
  </r>
  <r>
    <n v="31"/>
    <s v="V25HAhmed43"/>
    <s v="Hatem Ibrahim-Ahmed"/>
    <s v="Omar Emad-Mahmoud"/>
    <x v="0"/>
    <s v="Off"/>
    <s v="Attended"/>
    <s v="Attended"/>
    <s v="Attended"/>
    <s v="Attended"/>
    <s v="Attended"/>
    <s v="Off"/>
    <s v="Off"/>
    <s v="Attended"/>
    <s v="Off"/>
    <s v="Attended"/>
    <s v="Attended"/>
    <s v="Attended"/>
    <s v="Off"/>
    <s v="Attended"/>
    <s v="Attended"/>
    <s v="Attended"/>
    <s v="Attended"/>
    <s v="Attended"/>
    <s v="Off"/>
    <s v="Off"/>
    <s v="Off"/>
    <s v="OFF"/>
    <m/>
    <m/>
    <m/>
    <m/>
    <m/>
    <m/>
    <m/>
    <m/>
    <n v="14"/>
    <n v="0"/>
    <n v="0"/>
    <n v="0"/>
    <n v="0"/>
    <n v="0"/>
    <n v="0"/>
    <n v="0"/>
    <n v="0"/>
    <n v="9"/>
    <n v="0"/>
    <n v="0"/>
  </r>
  <r>
    <n v="32"/>
    <s v="V25AEwis2"/>
    <s v="Ahmed Magdy-Ewis"/>
    <s v="Omar Emad-Mahmoud"/>
    <x v="0"/>
    <s v="Attended"/>
    <s v="OFF"/>
    <s v="Attended"/>
    <s v="Attended"/>
    <s v="Attended"/>
    <s v="Attended"/>
    <s v="Attended"/>
    <s v="Attended"/>
    <s v="Attended"/>
    <s v="Attended"/>
    <s v="Off"/>
    <s v="OFF"/>
    <s v="Attended"/>
    <s v="Attended"/>
    <s v="Attended"/>
    <s v="Attended"/>
    <s v="Attended"/>
    <s v="Attended"/>
    <s v="Attended"/>
    <s v="Attended"/>
    <s v="Off"/>
    <s v="Off"/>
    <s v="Attended"/>
    <m/>
    <m/>
    <m/>
    <m/>
    <m/>
    <m/>
    <m/>
    <m/>
    <n v="18"/>
    <n v="0"/>
    <n v="0"/>
    <n v="0"/>
    <n v="0"/>
    <n v="0"/>
    <n v="0"/>
    <n v="0"/>
    <n v="0"/>
    <n v="5"/>
    <n v="0"/>
    <n v="0"/>
  </r>
  <r>
    <n v="33"/>
    <s v="V25AEldemerdash"/>
    <s v="Anas Mohamed-Eldemerdash"/>
    <s v="AbdElRahman Adel-ElKelany"/>
    <x v="0"/>
    <s v="Off"/>
    <s v="Attended"/>
    <s v="Attended"/>
    <s v="Off"/>
    <s v="Attended"/>
    <s v="Attended"/>
    <s v="Attended"/>
    <s v="Attended"/>
    <s v="Attended"/>
    <s v="Attended"/>
    <s v="Attended"/>
    <s v="Attended"/>
    <s v="Off"/>
    <s v="Attended"/>
    <s v="Attended"/>
    <s v="Attended"/>
    <s v="Off"/>
    <s v="Off"/>
    <s v="Attended"/>
    <s v="Attended"/>
    <s v="Attended"/>
    <s v="Attended"/>
    <s v="Attended"/>
    <m/>
    <m/>
    <m/>
    <m/>
    <m/>
    <m/>
    <m/>
    <m/>
    <n v="18"/>
    <n v="0"/>
    <n v="0"/>
    <n v="0"/>
    <n v="0"/>
    <n v="0"/>
    <n v="0"/>
    <n v="0"/>
    <n v="0"/>
    <n v="5"/>
    <n v="0"/>
    <n v="0"/>
  </r>
  <r>
    <n v="34"/>
    <s v="V25SSagheer"/>
    <s v="Samir Hosny-Sagheer"/>
    <s v="AbdElRahman Adel-ElKelany"/>
    <x v="0"/>
    <s v="Attended"/>
    <s v="Attended"/>
    <s v="Off"/>
    <s v="Attended"/>
    <s v="Attended"/>
    <s v="Attended"/>
    <s v="Attended"/>
    <s v="Attended"/>
    <s v="Attended"/>
    <s v="Off"/>
    <s v="Attended"/>
    <s v="Attended"/>
    <s v="Attended"/>
    <s v="Attended"/>
    <s v="Off"/>
    <s v="Attended"/>
    <s v="Off"/>
    <s v="Off"/>
    <s v="No Show"/>
    <s v="No Show"/>
    <s v="No Show"/>
    <s v="Attended"/>
    <s v="Attended"/>
    <m/>
    <m/>
    <m/>
    <m/>
    <m/>
    <m/>
    <m/>
    <m/>
    <n v="15"/>
    <n v="3"/>
    <n v="0"/>
    <n v="0"/>
    <n v="0"/>
    <n v="0"/>
    <n v="0"/>
    <n v="0"/>
    <n v="0"/>
    <n v="5"/>
    <n v="0"/>
    <n v="0"/>
  </r>
  <r>
    <n v="35"/>
    <s v="V25FMagd"/>
    <s v="Farha Ashraf-AboElMagd"/>
    <s v="Merna Ashraf-Ashrafy"/>
    <x v="0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No Show"/>
    <s v="Attended"/>
    <s v="Attended"/>
    <s v="Attended"/>
    <s v="Attended"/>
    <s v="Off"/>
    <s v="Off"/>
    <s v="OFF"/>
    <m/>
    <m/>
    <m/>
    <m/>
    <m/>
    <m/>
    <m/>
    <m/>
    <n v="14"/>
    <n v="1"/>
    <n v="0"/>
    <n v="0"/>
    <n v="0"/>
    <n v="0"/>
    <n v="0"/>
    <n v="0"/>
    <n v="0"/>
    <n v="8"/>
    <n v="0"/>
    <n v="0"/>
  </r>
  <r>
    <n v="36"/>
    <s v="V25NMawla1"/>
    <s v="Nesreen Emad-AbdElMawla"/>
    <s v="Merna Ashraf-Ashrafy"/>
    <x v="0"/>
    <s v="Attended"/>
    <s v="Attended"/>
    <s v="Attended"/>
    <s v="Off"/>
    <s v="Off"/>
    <s v="Attended"/>
    <s v="Attended"/>
    <s v="No Show"/>
    <s v="No Show"/>
    <s v="No Show"/>
    <s v="Attended"/>
    <s v="OFF"/>
    <s v="No Show"/>
    <s v="Attended"/>
    <s v="Off"/>
    <s v="Task"/>
    <s v="Attended"/>
    <s v="Attended"/>
    <s v="Attended"/>
    <s v="Attended"/>
    <s v="Attended"/>
    <s v="Task"/>
    <s v="Task"/>
    <m/>
    <m/>
    <m/>
    <m/>
    <m/>
    <m/>
    <m/>
    <m/>
    <n v="15"/>
    <n v="4"/>
    <n v="0"/>
    <n v="0"/>
    <n v="0"/>
    <n v="0"/>
    <n v="0"/>
    <n v="0"/>
    <n v="0"/>
    <n v="4"/>
    <n v="0"/>
    <n v="0"/>
  </r>
  <r>
    <n v="37"/>
    <s v="V25MAhmed108"/>
    <s v="Mohamed Yasser-Ahmed"/>
    <s v="Omar Emad-Mahmoud"/>
    <x v="0"/>
    <s v="Attended"/>
    <s v="Attended"/>
    <s v="Attended"/>
    <s v="Off"/>
    <s v="Attended"/>
    <s v="Off"/>
    <s v="Attended"/>
    <s v="Attended"/>
    <s v="Attended"/>
    <s v="Attended"/>
    <s v="Attended"/>
    <s v="Attended"/>
    <s v="Off"/>
    <s v="Attended"/>
    <s v="Off"/>
    <s v="Attended"/>
    <s v="Attended"/>
    <s v="Off"/>
    <s v="Off"/>
    <s v="Attended"/>
    <s v="Attended"/>
    <s v="Attended"/>
    <s v="Attended"/>
    <m/>
    <m/>
    <m/>
    <m/>
    <m/>
    <m/>
    <m/>
    <m/>
    <n v="17"/>
    <n v="0"/>
    <n v="0"/>
    <n v="0"/>
    <n v="0"/>
    <n v="0"/>
    <n v="0"/>
    <n v="0"/>
    <n v="0"/>
    <n v="6"/>
    <n v="0"/>
    <n v="0"/>
  </r>
  <r>
    <n v="38"/>
    <s v="V25MMohamed278"/>
    <s v="Mariam Waleed-Mohamed"/>
    <s v="Nesting"/>
    <x v="1"/>
    <s v="Attended"/>
    <s v="Attended"/>
    <s v="Attended"/>
    <s v="Attended"/>
    <s v="Off"/>
    <s v="Off"/>
    <s v="Attended"/>
    <s v="Attended"/>
    <s v="No Show"/>
    <s v="Attended"/>
    <s v="Attended"/>
    <s v="Resignation"/>
    <s v="Resignation"/>
    <s v="Resignation"/>
    <s v="Resignation"/>
    <s v="Resignation"/>
    <s v="Resignation"/>
    <s v="Resignation"/>
    <s v="Resignation"/>
    <s v="Resignation"/>
    <s v="Resignation"/>
    <s v="Resignation"/>
    <s v="Resignation"/>
    <m/>
    <m/>
    <m/>
    <m/>
    <m/>
    <m/>
    <m/>
    <m/>
    <n v="8"/>
    <n v="1"/>
    <n v="0"/>
    <n v="0"/>
    <n v="0"/>
    <n v="0"/>
    <n v="0"/>
    <n v="12"/>
    <n v="0"/>
    <n v="2"/>
    <n v="0"/>
    <n v="0"/>
  </r>
  <r>
    <n v="39"/>
    <s v="V25AFadeel2"/>
    <s v="AbdElRhman Hesham-AbdElFadeel"/>
    <s v="AbdElRahman Adel-ElKelany"/>
    <x v="0"/>
    <s v="Attended"/>
    <s v="Attended"/>
    <s v="Attended"/>
    <s v="Off"/>
    <s v="Off"/>
    <s v="Attended"/>
    <s v="Attended"/>
    <s v="Attended"/>
    <s v="Attended"/>
    <s v="Attended"/>
    <s v="Attended"/>
    <s v="OFF"/>
    <s v="Attended"/>
    <s v="Attended"/>
    <s v="Off"/>
    <s v="Attended"/>
    <s v="Attended"/>
    <s v="Attended"/>
    <s v="Off"/>
    <s v="Off"/>
    <s v="Attended"/>
    <s v="Attended"/>
    <s v="Attended"/>
    <m/>
    <m/>
    <m/>
    <m/>
    <m/>
    <m/>
    <m/>
    <m/>
    <n v="17"/>
    <n v="0"/>
    <n v="0"/>
    <n v="0"/>
    <n v="0"/>
    <n v="0"/>
    <n v="0"/>
    <n v="0"/>
    <n v="0"/>
    <n v="6"/>
    <n v="0"/>
    <n v="0"/>
  </r>
  <r>
    <n v="40"/>
    <s v="V25HGamal2"/>
    <s v="Hany Ibrahim-Gamal"/>
    <s v="AbdElRahman Adel-ElKelany"/>
    <x v="0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Off"/>
    <s v="Attended"/>
    <s v="Off"/>
    <s v="Attended"/>
    <s v="Attended"/>
    <s v="Attended"/>
    <m/>
    <m/>
    <m/>
    <m/>
    <m/>
    <m/>
    <m/>
    <m/>
    <n v="10"/>
    <n v="0"/>
    <n v="0"/>
    <n v="0"/>
    <n v="0"/>
    <n v="0"/>
    <n v="0"/>
    <n v="0"/>
    <n v="0"/>
    <n v="2"/>
    <n v="0"/>
    <n v="0"/>
  </r>
  <r>
    <n v="41"/>
    <s v="V25SMohamed145"/>
    <s v="Salma Wael-Mohamed"/>
    <s v="Merna Ashraf-Ashrafy"/>
    <x v="0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Attended"/>
    <s v="Off"/>
    <s v="Attended"/>
    <s v="Attended"/>
    <s v="Attended"/>
    <s v="No Show"/>
    <m/>
    <m/>
    <m/>
    <m/>
    <m/>
    <m/>
    <m/>
    <m/>
    <n v="10"/>
    <n v="1"/>
    <n v="0"/>
    <n v="0"/>
    <n v="0"/>
    <n v="0"/>
    <n v="0"/>
    <n v="0"/>
    <n v="0"/>
    <n v="1"/>
    <n v="0"/>
    <n v="0"/>
  </r>
  <r>
    <n v="42"/>
    <s v="V25BShenawy"/>
    <s v="Badr Medhat-ElShenawy"/>
    <s v="AbdElRahman Adel-ElKelany"/>
    <x v="0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Attended"/>
    <s v="Attended"/>
    <s v="Off"/>
    <s v="Attended"/>
    <s v="Off"/>
    <s v="Attended"/>
    <m/>
    <m/>
    <m/>
    <m/>
    <m/>
    <m/>
    <m/>
    <m/>
    <n v="10"/>
    <n v="0"/>
    <n v="0"/>
    <n v="0"/>
    <n v="0"/>
    <n v="0"/>
    <n v="0"/>
    <n v="0"/>
    <n v="0"/>
    <n v="2"/>
    <n v="0"/>
    <n v="0"/>
  </r>
  <r>
    <n v="43"/>
    <s v="V25YMetwally2"/>
    <s v="Yara Ibrahim-ElMetwally"/>
    <s v="Nada AbdElAzim -Ahmed "/>
    <x v="2"/>
    <s v="-"/>
    <s v="-"/>
    <s v="-"/>
    <s v="-"/>
    <s v="-"/>
    <s v="-"/>
    <s v="-"/>
    <s v="-"/>
    <s v="-"/>
    <s v="-"/>
    <s v="-"/>
    <s v="Attended"/>
    <s v="Resignation"/>
    <s v="Resignation"/>
    <s v="Resignation"/>
    <s v="Resignation"/>
    <s v="Resignation"/>
    <s v="Resignation"/>
    <s v="Resignation"/>
    <s v="Resignation"/>
    <s v="Resignation"/>
    <s v="Resignation"/>
    <s v="Resignation"/>
    <m/>
    <m/>
    <m/>
    <m/>
    <m/>
    <m/>
    <m/>
    <m/>
    <n v="1"/>
    <n v="0"/>
    <n v="0"/>
    <n v="0"/>
    <n v="0"/>
    <n v="0"/>
    <n v="0"/>
    <n v="11"/>
    <n v="0"/>
    <n v="0"/>
    <n v="0"/>
    <n v="0"/>
  </r>
  <r>
    <n v="44"/>
    <s v="V25AHassan63"/>
    <s v="Alaa Mahmoud-Hassan"/>
    <s v="Merna Ashraf-Ashrafy"/>
    <x v="0"/>
    <s v="-"/>
    <s v="-"/>
    <s v="-"/>
    <s v="-"/>
    <s v="-"/>
    <s v="-"/>
    <s v="-"/>
    <s v="-"/>
    <s v="-"/>
    <s v="-"/>
    <s v="-"/>
    <s v="Training"/>
    <s v="Attended"/>
    <s v="Attended"/>
    <s v="Attended"/>
    <s v="Attended"/>
    <s v="Off"/>
    <s v="Attended"/>
    <s v="Attended"/>
    <s v="Off"/>
    <s v="Attended"/>
    <s v="Attended"/>
    <s v="Attended"/>
    <m/>
    <m/>
    <m/>
    <m/>
    <m/>
    <m/>
    <m/>
    <m/>
    <n v="9"/>
    <n v="0"/>
    <n v="0"/>
    <n v="0"/>
    <n v="0"/>
    <n v="0"/>
    <n v="0"/>
    <n v="0"/>
    <n v="0"/>
    <n v="2"/>
    <n v="0"/>
    <n v="1"/>
  </r>
  <r>
    <n v="45"/>
    <s v="V25YRehim4"/>
    <s v="Yasmine Samer-AbdElRehim"/>
    <s v="Merna Ashraf-Ashrafy"/>
    <x v="0"/>
    <s v="-"/>
    <s v="-"/>
    <s v="-"/>
    <s v="-"/>
    <s v="-"/>
    <s v="-"/>
    <s v="-"/>
    <s v="-"/>
    <s v="-"/>
    <s v="-"/>
    <s v="-"/>
    <s v="Training"/>
    <s v="App issue"/>
    <s v="App issue"/>
    <s v="App issue"/>
    <s v="App issue"/>
    <s v="App issue"/>
    <s v="App issue"/>
    <s v="App issue"/>
    <s v="App issue"/>
    <s v="App issue"/>
    <s v="App issue"/>
    <s v="App issue"/>
    <m/>
    <m/>
    <m/>
    <m/>
    <m/>
    <m/>
    <m/>
    <m/>
    <n v="0"/>
    <n v="0"/>
    <n v="0"/>
    <n v="0"/>
    <n v="0"/>
    <n v="0"/>
    <n v="0"/>
    <n v="0"/>
    <n v="11"/>
    <n v="0"/>
    <n v="0"/>
    <n v="1"/>
  </r>
  <r>
    <n v="46"/>
    <s v="V25IGhonimy"/>
    <s v="Ibrahim Ahmed-Ghonimy"/>
    <s v="AbdElRahman Adel-ElKelany"/>
    <x v="0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Attended"/>
    <s v="No Show"/>
    <s v="Attended"/>
    <s v="Attended"/>
    <s v="Off"/>
    <s v="Attended"/>
    <m/>
    <m/>
    <m/>
    <m/>
    <m/>
    <m/>
    <m/>
    <m/>
    <n v="10"/>
    <n v="1"/>
    <n v="0"/>
    <n v="0"/>
    <n v="0"/>
    <n v="0"/>
    <n v="0"/>
    <n v="0"/>
    <n v="0"/>
    <n v="1"/>
    <n v="0"/>
    <n v="0"/>
  </r>
  <r>
    <n v="47"/>
    <s v="V25SSayed67"/>
    <s v="Sherif Madbouly-Sayed"/>
    <s v="Omar Emad-Mahmoud"/>
    <x v="0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Off"/>
    <s v="Attended"/>
    <s v="Attended"/>
    <s v="No Show"/>
    <s v="Attended"/>
    <s v="OFF"/>
    <m/>
    <m/>
    <m/>
    <m/>
    <m/>
    <m/>
    <m/>
    <m/>
    <n v="9"/>
    <n v="1"/>
    <n v="0"/>
    <n v="0"/>
    <n v="0"/>
    <n v="0"/>
    <n v="0"/>
    <n v="0"/>
    <n v="0"/>
    <n v="2"/>
    <n v="0"/>
    <n v="0"/>
  </r>
  <r>
    <n v="48"/>
    <s v="V25MSalah21"/>
    <s v="Mohamed Gamil-Salah"/>
    <s v="Omar Emad-Mahmoud"/>
    <x v="0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Attended"/>
    <s v="Off"/>
    <s v="Attended"/>
    <s v="Attended"/>
    <s v="Attended"/>
    <s v="Attended"/>
    <m/>
    <m/>
    <m/>
    <m/>
    <m/>
    <m/>
    <m/>
    <m/>
    <n v="11"/>
    <n v="0"/>
    <n v="0"/>
    <n v="0"/>
    <n v="0"/>
    <n v="0"/>
    <n v="0"/>
    <n v="0"/>
    <n v="0"/>
    <n v="1"/>
    <n v="0"/>
    <n v="0"/>
  </r>
  <r>
    <n v="49"/>
    <s v="V25MMohamed279"/>
    <s v="Mohamed Adel-Mohamed"/>
    <s v="Omar Emad-Mahmoud"/>
    <x v="0"/>
    <s v="-"/>
    <s v="-"/>
    <s v="-"/>
    <s v="-"/>
    <s v="-"/>
    <s v="-"/>
    <s v="-"/>
    <s v="-"/>
    <s v="-"/>
    <s v="-"/>
    <s v="-"/>
    <s v="Training"/>
    <s v="App issue"/>
    <s v="App issue"/>
    <s v="App issue"/>
    <s v="App issue"/>
    <s v="App issue"/>
    <s v="Training"/>
    <s v="Attended"/>
    <s v="Attended"/>
    <s v="Attended"/>
    <s v="Attended"/>
    <s v="OFF"/>
    <m/>
    <m/>
    <m/>
    <m/>
    <m/>
    <m/>
    <m/>
    <m/>
    <n v="4"/>
    <n v="0"/>
    <n v="0"/>
    <n v="0"/>
    <n v="0"/>
    <n v="0"/>
    <n v="0"/>
    <n v="0"/>
    <n v="5"/>
    <n v="1"/>
    <n v="0"/>
    <n v="2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s v="V22HRassoul"/>
    <s v="Hend Yousry-AbdElRassoul"/>
    <x v="0"/>
    <s v=""/>
    <s v=""/>
    <s v=""/>
    <s v=""/>
    <s v=""/>
    <s v=""/>
    <s v="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00:00"/>
  </r>
  <r>
    <n v="2"/>
    <s v="V23MGelil"/>
    <s v="Mohamed Ali-AbdElGelil"/>
    <x v="1"/>
    <d v="1899-12-30T00:10:15"/>
    <s v=""/>
    <s v=""/>
    <d v="1899-12-30T00:29:09"/>
    <d v="1899-12-30T00:02:08"/>
    <d v="1899-12-30T00:38:36"/>
    <d v="1899-12-30T00:17:08"/>
    <d v="1899-12-30T00:24:07"/>
    <s v=""/>
    <s v=""/>
    <s v=""/>
    <d v="1899-12-30T00:13:25"/>
    <d v="1899-12-30T01:54:04"/>
    <d v="1899-12-30T00:02:02"/>
    <s v=""/>
    <s v=""/>
    <s v=""/>
    <s v=""/>
    <m/>
    <m/>
    <m/>
    <m/>
    <m/>
    <m/>
    <m/>
    <m/>
    <m/>
    <m/>
    <m/>
    <m/>
    <m/>
    <d v="1899-12-30T04:10:54"/>
  </r>
  <r>
    <n v="3"/>
    <s v="V24OMahmoud"/>
    <s v="Omar Emad-Mahmoud"/>
    <x v="0"/>
    <s v=""/>
    <s v=""/>
    <s v=""/>
    <d v="1899-12-30T00:00:00"/>
    <s v=""/>
    <s v=""/>
    <d v="1899-12-30T00:00:00"/>
    <s v=""/>
    <s v=""/>
    <s v=""/>
    <s v=""/>
    <s v=""/>
    <d v="1899-12-30T00:00:04"/>
    <s v=""/>
    <d v="1899-12-30T05:39:17"/>
    <s v=""/>
    <s v=""/>
    <s v=""/>
    <m/>
    <m/>
    <m/>
    <m/>
    <m/>
    <m/>
    <m/>
    <m/>
    <m/>
    <m/>
    <m/>
    <m/>
    <m/>
    <d v="1899-12-30T05:39:21"/>
  </r>
  <r>
    <n v="4"/>
    <s v="V24AHassan6"/>
    <s v="Aya Mohamed-Hassan"/>
    <x v="2"/>
    <s v=""/>
    <s v=""/>
    <s v=""/>
    <s v=""/>
    <s v=""/>
    <s v=""/>
    <s v="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00:00"/>
  </r>
  <r>
    <n v="5"/>
    <s v="V22MAshrafy"/>
    <s v="Merna Ashraf-Ashrafy"/>
    <x v="0"/>
    <s v=""/>
    <s v=""/>
    <s v=""/>
    <s v=""/>
    <s v=""/>
    <s v=""/>
    <s v="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00:00"/>
  </r>
  <r>
    <n v="6"/>
    <s v="V24SAhmed28"/>
    <s v="Salma Taha-Ahmed"/>
    <x v="2"/>
    <s v=""/>
    <s v=""/>
    <d v="1899-12-30T00:12:04"/>
    <s v=""/>
    <s v=""/>
    <s v=""/>
    <s v="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12:04"/>
  </r>
  <r>
    <n v="7"/>
    <s v="V24AKelany"/>
    <s v="AbdElRahman Adel-ElKelany"/>
    <x v="0"/>
    <d v="1899-12-30T00:00:02"/>
    <s v=""/>
    <s v=""/>
    <d v="1899-12-30T00:00:00"/>
    <s v=""/>
    <s v=""/>
    <s v="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00:02"/>
  </r>
  <r>
    <n v="8"/>
    <s v="V24OSamea"/>
    <s v="Omnia Salah-AbdElSamea "/>
    <x v="2"/>
    <s v=""/>
    <s v=""/>
    <s v=""/>
    <s v=""/>
    <s v=""/>
    <s v=""/>
    <d v="1899-12-30T00:34:00"/>
    <s v=""/>
    <s v=""/>
    <s v=""/>
    <d v="1899-12-30T00:20:49"/>
    <d v="1899-12-30T00:01:30"/>
    <d v="1899-12-30T00:08:42"/>
    <s v=""/>
    <s v=""/>
    <s v=""/>
    <s v=""/>
    <s v=""/>
    <m/>
    <m/>
    <m/>
    <m/>
    <m/>
    <m/>
    <m/>
    <m/>
    <m/>
    <m/>
    <m/>
    <m/>
    <m/>
    <d v="1899-12-30T01:05:01"/>
  </r>
  <r>
    <n v="9"/>
    <s v="V24AMohamed142"/>
    <s v="Ahmed Hany-Mohamed"/>
    <x v="0"/>
    <s v=""/>
    <s v=""/>
    <s v=""/>
    <s v=""/>
    <s v=""/>
    <s v=""/>
    <s v="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00:00"/>
  </r>
  <r>
    <n v="10"/>
    <s v="V24KKhalek1"/>
    <s v="Khaled Waleed-AbdElKhalek"/>
    <x v="1"/>
    <s v=""/>
    <s v=""/>
    <s v=""/>
    <s v=""/>
    <s v=""/>
    <s v=""/>
    <s v=""/>
    <s v=""/>
    <d v="1899-12-30T00:07:20"/>
    <s v=""/>
    <s v=""/>
    <s v=""/>
    <s v=""/>
    <s v=""/>
    <s v=""/>
    <s v=""/>
    <s v=""/>
    <s v=""/>
    <m/>
    <m/>
    <m/>
    <m/>
    <m/>
    <m/>
    <m/>
    <m/>
    <m/>
    <m/>
    <m/>
    <m/>
    <m/>
    <d v="1899-12-30T00:07:20"/>
  </r>
  <r>
    <n v="11"/>
    <s v="V25RFarag3"/>
    <s v="Rawan Ayman-Farag "/>
    <x v="2"/>
    <s v=""/>
    <s v=""/>
    <s v=""/>
    <s v=""/>
    <s v=""/>
    <s v=""/>
    <s v=""/>
    <s v=""/>
    <s v=""/>
    <s v=""/>
    <d v="1899-12-30T00:04:08"/>
    <s v=""/>
    <s v=""/>
    <s v=""/>
    <s v=""/>
    <s v=""/>
    <s v=""/>
    <s v=""/>
    <m/>
    <m/>
    <m/>
    <m/>
    <m/>
    <m/>
    <m/>
    <m/>
    <m/>
    <m/>
    <m/>
    <m/>
    <m/>
    <d v="1899-12-30T00:04:08"/>
  </r>
  <r>
    <n v="12"/>
    <s v="V25ASamir2"/>
    <s v="AbdElRahman Mohamed-Samir"/>
    <x v="3"/>
    <s v=""/>
    <s v=""/>
    <s v=""/>
    <s v=""/>
    <s v=""/>
    <s v=""/>
    <s v=""/>
    <s v=""/>
    <s v=""/>
    <s v=""/>
    <s v=""/>
    <s v=""/>
    <s v=""/>
    <d v="1899-12-30T00:05:03"/>
    <s v=""/>
    <s v=""/>
    <s v=""/>
    <s v=""/>
    <m/>
    <m/>
    <m/>
    <m/>
    <m/>
    <m/>
    <m/>
    <m/>
    <m/>
    <m/>
    <m/>
    <m/>
    <m/>
    <d v="1899-12-30T00:05:03"/>
  </r>
  <r>
    <n v="13"/>
    <s v="V25SZekry"/>
    <s v="Safaa Safwat-Zekry"/>
    <x v="2"/>
    <s v=""/>
    <s v=""/>
    <s v=""/>
    <d v="1899-12-30T00:07:44"/>
    <s v=""/>
    <s v=""/>
    <s v=""/>
    <s v=""/>
    <s v=""/>
    <s v=""/>
    <s v=""/>
    <s v=""/>
    <s v=""/>
    <s v=""/>
    <d v="1899-12-30T00:09:10"/>
    <s v=""/>
    <s v=""/>
    <s v=""/>
    <m/>
    <m/>
    <m/>
    <m/>
    <m/>
    <m/>
    <m/>
    <m/>
    <m/>
    <m/>
    <m/>
    <m/>
    <m/>
    <d v="1899-12-30T00:16:54"/>
  </r>
  <r>
    <n v="14"/>
    <s v="V24OMohamed10"/>
    <s v="Osama Magdy-Mohamed"/>
    <x v="3"/>
    <s v=""/>
    <s v=""/>
    <s v=""/>
    <s v=""/>
    <s v=""/>
    <s v=""/>
    <d v="1899-12-30T00:15:41"/>
    <d v="1899-12-30T01:30:38"/>
    <d v="1899-12-30T00:41:48"/>
    <s v=""/>
    <d v="1899-12-30T00:09:47"/>
    <d v="1899-12-30T00:16:01"/>
    <s v=""/>
    <s v=""/>
    <s v=""/>
    <s v=""/>
    <s v=""/>
    <s v=""/>
    <m/>
    <m/>
    <m/>
    <m/>
    <m/>
    <m/>
    <m/>
    <m/>
    <m/>
    <m/>
    <m/>
    <m/>
    <m/>
    <d v="1899-12-30T02:53:55"/>
  </r>
  <r>
    <n v="15"/>
    <s v="V25TAhmed3"/>
    <s v="Tarek Ayman-Ahmed"/>
    <x v="3"/>
    <d v="1899-12-30T00:11:54"/>
    <d v="1899-12-30T00:09:48"/>
    <s v=""/>
    <s v=""/>
    <d v="1899-12-30T00:17:18"/>
    <s v=""/>
    <d v="1899-12-30T00:30:20"/>
    <s v=""/>
    <d v="1899-12-30T00:22:59"/>
    <s v=""/>
    <d v="1899-12-30T00:00:54"/>
    <d v="1899-12-30T00:06:20"/>
    <d v="1899-12-30T00:25:51"/>
    <d v="1899-12-30T00:22:58"/>
    <s v=""/>
    <s v=""/>
    <s v=""/>
    <s v=""/>
    <m/>
    <m/>
    <m/>
    <m/>
    <m/>
    <m/>
    <m/>
    <m/>
    <m/>
    <m/>
    <m/>
    <m/>
    <m/>
    <d v="1899-12-30T02:28:22"/>
  </r>
  <r>
    <n v="16"/>
    <s v="V25ARizk"/>
    <s v="Ahmed Sameh-Rizk"/>
    <x v="1"/>
    <d v="1899-12-30T00:09:21"/>
    <s v=""/>
    <s v=""/>
    <s v=""/>
    <s v=""/>
    <s v=""/>
    <s v=""/>
    <d v="1899-12-30T00:08:31"/>
    <s v=""/>
    <d v="1899-12-30T00:08:22"/>
    <d v="1899-12-30T00:20:45"/>
    <s v=""/>
    <d v="1899-12-30T00:06:00"/>
    <s v=""/>
    <d v="1899-12-30T00:21:36"/>
    <s v=""/>
    <s v=""/>
    <s v=""/>
    <m/>
    <m/>
    <m/>
    <m/>
    <m/>
    <m/>
    <m/>
    <m/>
    <m/>
    <m/>
    <m/>
    <m/>
    <m/>
    <d v="1899-12-30T01:14:35"/>
  </r>
  <r>
    <n v="17"/>
    <s v="V25YMohamed24"/>
    <s v="Yasmine Waleed-Mohamed"/>
    <x v="2"/>
    <s v=""/>
    <s v=""/>
    <s v=""/>
    <s v=""/>
    <s v=""/>
    <s v=""/>
    <s v="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00:00"/>
  </r>
  <r>
    <n v="18"/>
    <s v="V25NSaeed1"/>
    <s v="Nouran AbdAllah-Saeed"/>
    <x v="2"/>
    <s v=""/>
    <s v=""/>
    <s v=""/>
    <s v=""/>
    <s v=""/>
    <s v=""/>
    <s v=""/>
    <s v=""/>
    <s v=""/>
    <s v=""/>
    <d v="1899-12-30T00:01:04"/>
    <s v=""/>
    <s v=""/>
    <d v="1899-12-30T00:02:39"/>
    <s v=""/>
    <s v=""/>
    <s v=""/>
    <s v=""/>
    <m/>
    <m/>
    <m/>
    <m/>
    <m/>
    <m/>
    <m/>
    <m/>
    <m/>
    <m/>
    <m/>
    <m/>
    <m/>
    <d v="1899-12-30T00:03:43"/>
  </r>
  <r>
    <n v="19"/>
    <s v="V25JRazek"/>
    <s v="Jana HossamElDin-AbdElRazek"/>
    <x v="2"/>
    <s v=""/>
    <s v=""/>
    <s v=""/>
    <s v=""/>
    <s v=""/>
    <s v=""/>
    <s v=""/>
    <s v=""/>
    <s v=""/>
    <d v="1899-12-30T00:44:14"/>
    <s v=""/>
    <s v=""/>
    <s v=""/>
    <s v=""/>
    <s v=""/>
    <s v=""/>
    <s v=""/>
    <d v="1899-12-30T01:02:48"/>
    <m/>
    <m/>
    <m/>
    <m/>
    <m/>
    <m/>
    <m/>
    <m/>
    <m/>
    <m/>
    <m/>
    <m/>
    <m/>
    <d v="1899-12-30T01:47:02"/>
  </r>
  <r>
    <n v="20"/>
    <s v="V25OAzab"/>
    <s v="Omnia Wageeh-ElAzab"/>
    <x v="3"/>
    <s v=""/>
    <s v=""/>
    <s v=""/>
    <s v=""/>
    <s v=""/>
    <s v=""/>
    <s v=""/>
    <s v=""/>
    <s v=""/>
    <s v=""/>
    <s v=""/>
    <s v=""/>
    <s v=""/>
    <s v=""/>
    <d v="1899-12-30T00:00:00"/>
    <s v=""/>
    <s v=""/>
    <s v=""/>
    <m/>
    <m/>
    <m/>
    <m/>
    <m/>
    <m/>
    <m/>
    <m/>
    <m/>
    <m/>
    <m/>
    <m/>
    <m/>
    <d v="1899-12-30T00:00:00"/>
  </r>
  <r>
    <n v="21"/>
    <s v="V25MHassanien"/>
    <s v="Mohamed Adel-Hassanien"/>
    <x v="3"/>
    <s v=""/>
    <s v=""/>
    <s v=""/>
    <d v="1899-12-30T00:04:17"/>
    <s v=""/>
    <s v=""/>
    <s v="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04:17"/>
  </r>
  <r>
    <n v="22"/>
    <s v="V25OMahmoud1"/>
    <s v="Ola Essam-Mahmoud"/>
    <x v="2"/>
    <s v=""/>
    <s v=""/>
    <s v=""/>
    <s v=""/>
    <s v=""/>
    <s v=""/>
    <s v="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00:00"/>
  </r>
  <r>
    <n v="23"/>
    <s v="V25YMohamed7"/>
    <s v="Youssef Hamdy-Mohamed"/>
    <x v="1"/>
    <d v="1899-12-30T00:06:36"/>
    <d v="1899-12-30T00:06:27"/>
    <s v=""/>
    <s v=""/>
    <s v=""/>
    <s v=""/>
    <s v=""/>
    <d v="1899-12-30T00:05:30"/>
    <d v="1899-12-30T01:06:38"/>
    <s v=""/>
    <s v=""/>
    <s v=""/>
    <d v="1899-12-30T00:24:44"/>
    <s v=""/>
    <d v="1899-12-30T00:04:28"/>
    <s v=""/>
    <s v=""/>
    <s v=""/>
    <m/>
    <m/>
    <m/>
    <m/>
    <m/>
    <m/>
    <m/>
    <m/>
    <m/>
    <m/>
    <m/>
    <m/>
    <m/>
    <d v="1899-12-30T01:54:23"/>
  </r>
  <r>
    <n v="24"/>
    <s v="V25AHussein9"/>
    <s v="Ahmed Khaled-Hussein"/>
    <x v="1"/>
    <s v=""/>
    <s v=""/>
    <s v=""/>
    <s v=""/>
    <d v="1899-12-30T00:00:29"/>
    <s v=""/>
    <d v="1899-12-30T00:07:19"/>
    <s v=""/>
    <d v="1899-12-30T00:10:09"/>
    <d v="1899-12-30T00:08:27"/>
    <s v=""/>
    <s v=""/>
    <s v=""/>
    <d v="1899-12-30T00:20:20"/>
    <s v=""/>
    <s v=""/>
    <s v=""/>
    <s v=""/>
    <m/>
    <m/>
    <m/>
    <m/>
    <m/>
    <m/>
    <m/>
    <m/>
    <m/>
    <m/>
    <m/>
    <m/>
    <m/>
    <d v="1899-12-30T00:46:44"/>
  </r>
  <r>
    <n v="25"/>
    <s v="V24ASaeed11"/>
    <s v="Ali Bahat-Saeed"/>
    <x v="1"/>
    <s v=""/>
    <s v=""/>
    <s v=""/>
    <s v=""/>
    <s v=""/>
    <s v=""/>
    <d v="1899-12-30T00:02:00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d v="1899-12-30T00:02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V22HRassoul"/>
    <s v="Hend Yousry-AbdElRassoul"/>
    <x v="0"/>
    <s v="Mohamed Ahmed-Nagy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m/>
    <m/>
    <m/>
    <m/>
    <m/>
    <m/>
    <m/>
    <m/>
    <n v="23"/>
    <n v="0"/>
    <n v="0"/>
    <n v="0"/>
    <n v="0"/>
    <n v="0"/>
    <n v="0"/>
    <n v="0"/>
    <n v="0"/>
    <n v="0"/>
    <n v="0"/>
  </r>
  <r>
    <n v="2"/>
    <s v="V23MGelil"/>
    <s v="Mohamed Ali-AbdElGelil"/>
    <x v="1"/>
    <s v="Mohamed Ahmed-Nagy"/>
    <s v="Attended"/>
    <s v="OFF"/>
    <s v="Attended"/>
    <s v="Attended"/>
    <s v="Attended"/>
    <s v="Attended"/>
    <s v="Attended"/>
    <s v="Attended"/>
    <s v="Off"/>
    <s v="Compensation"/>
    <s v="Attended"/>
    <s v="Attended"/>
    <s v="Attended"/>
    <s v="Attended"/>
    <s v="Off"/>
    <s v="Off"/>
    <s v="No Show"/>
    <s v="No Show"/>
    <s v="Attended"/>
    <s v="Attended"/>
    <s v="Attended"/>
    <s v="Off"/>
    <s v="Attended"/>
    <m/>
    <m/>
    <m/>
    <m/>
    <m/>
    <m/>
    <m/>
    <m/>
    <n v="15"/>
    <n v="2"/>
    <n v="0"/>
    <n v="0"/>
    <n v="0"/>
    <n v="0"/>
    <n v="1"/>
    <n v="0"/>
    <n v="0"/>
    <n v="5"/>
    <n v="0"/>
  </r>
  <r>
    <n v="3"/>
    <s v="V24OMahmoud"/>
    <s v="Omar Emad-Mahmoud"/>
    <x v="0"/>
    <s v="Mohamed Ahmed-Nagy"/>
    <s v="Task"/>
    <s v="OFF"/>
    <s v="Task"/>
    <s v="Attended"/>
    <s v="Off"/>
    <s v="Task"/>
    <s v="Attended"/>
    <s v="Task"/>
    <s v="Off"/>
    <s v="Off"/>
    <s v="Task"/>
    <s v="Task"/>
    <s v="Attended"/>
    <s v="Task"/>
    <s v="Attended"/>
    <s v="Task"/>
    <s v="Task"/>
    <s v="Task"/>
    <s v="Task"/>
    <s v="Task"/>
    <s v="Attended"/>
    <s v="Task"/>
    <s v="Task"/>
    <m/>
    <m/>
    <m/>
    <m/>
    <m/>
    <m/>
    <m/>
    <m/>
    <n v="19"/>
    <n v="0"/>
    <n v="0"/>
    <n v="0"/>
    <n v="0"/>
    <n v="0"/>
    <n v="0"/>
    <n v="0"/>
    <n v="0"/>
    <n v="4"/>
    <n v="0"/>
  </r>
  <r>
    <n v="4"/>
    <s v="V24AHassan6"/>
    <s v="Aya Mohamed-Hassan"/>
    <x v="2"/>
    <s v="Mohamed Ahmed-Nagy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m/>
    <m/>
    <m/>
    <m/>
    <m/>
    <m/>
    <m/>
    <m/>
    <n v="15"/>
    <n v="0"/>
    <n v="0"/>
    <n v="0"/>
    <n v="0"/>
    <n v="0"/>
    <n v="0"/>
    <n v="0"/>
    <n v="0"/>
    <n v="8"/>
    <n v="0"/>
  </r>
  <r>
    <n v="5"/>
    <s v="V22MAshrafy"/>
    <s v="Merna Ashraf-Ashrafy"/>
    <x v="0"/>
    <s v="Mohamed Ahmed-Nagy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s v="Task"/>
    <m/>
    <m/>
    <m/>
    <m/>
    <m/>
    <m/>
    <m/>
    <m/>
    <n v="23"/>
    <n v="0"/>
    <n v="0"/>
    <n v="0"/>
    <n v="0"/>
    <n v="0"/>
    <n v="0"/>
    <n v="0"/>
    <n v="0"/>
    <n v="0"/>
    <n v="0"/>
  </r>
  <r>
    <n v="6"/>
    <s v="V24SAhmed28"/>
    <s v="Salma Taha-Ahmed"/>
    <x v="2"/>
    <s v="Mohamed Ahmed-Nagy"/>
    <s v="Off"/>
    <s v="OFF"/>
    <s v="Attended"/>
    <s v="Attended"/>
    <s v="Attended"/>
    <s v="Attended"/>
    <s v="Attended"/>
    <s v="Off"/>
    <s v="Off"/>
    <s v="Attended"/>
    <s v="Attended"/>
    <s v="No Show"/>
    <s v="Attended"/>
    <s v="Attended"/>
    <s v="Off"/>
    <s v="Off"/>
    <s v="No Show"/>
    <s v="No Show"/>
    <s v="No Show"/>
    <s v="No Show"/>
    <s v="No Show"/>
    <s v="Off"/>
    <s v="No Show"/>
    <m/>
    <m/>
    <m/>
    <m/>
    <m/>
    <m/>
    <m/>
    <m/>
    <n v="9"/>
    <n v="7"/>
    <n v="0"/>
    <n v="0"/>
    <n v="0"/>
    <n v="0"/>
    <n v="0"/>
    <n v="0"/>
    <n v="0"/>
    <n v="7"/>
    <n v="0"/>
  </r>
  <r>
    <n v="7"/>
    <s v="V24AKelany"/>
    <s v="AbdElRahman Adel-ElKelany"/>
    <x v="0"/>
    <s v="Mohamed Ahmed-Nagy"/>
    <s v="Attended"/>
    <s v="Attended"/>
    <s v="Attended"/>
    <s v="Attended"/>
    <s v="Attended"/>
    <s v="Task"/>
    <s v="Task"/>
    <s v="Task"/>
    <s v="Task"/>
    <s v="Task"/>
    <s v="Task"/>
    <s v="OFF"/>
    <s v="Off"/>
    <s v="Task"/>
    <s v="Task"/>
    <s v="Attended"/>
    <s v="Task"/>
    <s v="Task"/>
    <s v="Task"/>
    <s v="Task"/>
    <s v="Task"/>
    <s v="Task"/>
    <s v="Task"/>
    <m/>
    <m/>
    <m/>
    <m/>
    <m/>
    <m/>
    <m/>
    <m/>
    <n v="21"/>
    <n v="0"/>
    <n v="0"/>
    <n v="0"/>
    <n v="0"/>
    <n v="0"/>
    <n v="0"/>
    <n v="0"/>
    <n v="0"/>
    <n v="2"/>
    <n v="0"/>
  </r>
  <r>
    <n v="8"/>
    <s v="V24OSamea"/>
    <s v="Omnia Salah-AbdElSamea "/>
    <x v="2"/>
    <s v="Mohamed Ahmed-Nagy"/>
    <s v="No Show"/>
    <s v="OFF"/>
    <s v="Off"/>
    <s v="No Show"/>
    <s v="No Show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m/>
    <m/>
    <m/>
    <m/>
    <m/>
    <m/>
    <m/>
    <m/>
    <n v="13"/>
    <n v="3"/>
    <n v="0"/>
    <n v="0"/>
    <n v="0"/>
    <n v="0"/>
    <n v="0"/>
    <n v="0"/>
    <n v="0"/>
    <n v="7"/>
    <n v="0"/>
  </r>
  <r>
    <n v="9"/>
    <s v="V24AMohamed142"/>
    <s v="Ahmed Hany-Mohamed"/>
    <x v="0"/>
    <s v="Mohamed Ahmed-Nagy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s v="Suspended"/>
    <m/>
    <m/>
    <m/>
    <m/>
    <m/>
    <m/>
    <m/>
    <m/>
    <n v="0"/>
    <n v="0"/>
    <n v="0"/>
    <n v="0"/>
    <n v="0"/>
    <n v="0"/>
    <n v="0"/>
    <n v="0"/>
    <n v="0"/>
    <n v="0"/>
    <n v="0"/>
  </r>
  <r>
    <n v="10"/>
    <s v="V24KKhalek1"/>
    <s v="Khaled Waleed-AbdElKhalek"/>
    <x v="1"/>
    <s v="Mohamed Ahmed-Nagy"/>
    <s v="Attended"/>
    <s v="Attended"/>
    <s v="Attended"/>
    <s v="Off"/>
    <s v="Attended"/>
    <s v="Attended"/>
    <s v="Attended"/>
    <s v="Attended"/>
    <s v="Attended"/>
    <s v="Attended"/>
    <s v="Attended"/>
    <s v="Attended"/>
    <s v="Compensation"/>
    <s v="Off"/>
    <s v="Off"/>
    <s v="Off"/>
    <s v="Off"/>
    <s v="Attended"/>
    <s v="Attended"/>
    <s v="Attended"/>
    <s v="Attended"/>
    <s v="Attended"/>
    <s v="Attended"/>
    <m/>
    <m/>
    <m/>
    <m/>
    <m/>
    <m/>
    <m/>
    <m/>
    <n v="17"/>
    <n v="0"/>
    <n v="0"/>
    <n v="0"/>
    <n v="0"/>
    <n v="0"/>
    <n v="1"/>
    <n v="0"/>
    <n v="0"/>
    <n v="5"/>
    <n v="0"/>
  </r>
  <r>
    <n v="11"/>
    <s v="V25RFarag3"/>
    <s v="Rawan Ayman-Farag "/>
    <x v="2"/>
    <s v="Mohamed Ahmed-Nagy"/>
    <s v="Attended"/>
    <s v="OFF"/>
    <s v="Attended"/>
    <s v="Attended"/>
    <s v="Off"/>
    <s v="Attended"/>
    <s v="Attended"/>
    <s v="Attended"/>
    <s v="Attended"/>
    <s v="Attended"/>
    <s v="Attended"/>
    <s v="OFF"/>
    <s v="Off"/>
    <s v="Attended"/>
    <s v="Attended"/>
    <s v="Off"/>
    <s v="Attended"/>
    <s v="Off"/>
    <s v="Attended"/>
    <s v="Attended"/>
    <s v="Attended"/>
    <s v="Attended"/>
    <s v="OFF"/>
    <m/>
    <m/>
    <m/>
    <m/>
    <m/>
    <m/>
    <m/>
    <m/>
    <n v="16"/>
    <n v="0"/>
    <n v="0"/>
    <n v="0"/>
    <n v="0"/>
    <n v="0"/>
    <n v="0"/>
    <n v="0"/>
    <n v="0"/>
    <n v="7"/>
    <n v="0"/>
  </r>
  <r>
    <n v="12"/>
    <s v="V25ASamir2"/>
    <s v="AbdElRahman Mohamed-Samir"/>
    <x v="3"/>
    <s v="Mohamed Ahmed-Nagy"/>
    <s v="Attended"/>
    <s v="OFF"/>
    <s v="Off"/>
    <s v="No Show"/>
    <s v="No Show"/>
    <s v="Attended"/>
    <s v="Attended"/>
    <s v="Attended"/>
    <s v="Off"/>
    <s v="Attended"/>
    <s v="Attended"/>
    <s v="Attended"/>
    <s v="Off"/>
    <s v="Attended"/>
    <s v="Attended"/>
    <s v="Off"/>
    <s v="Attended"/>
    <s v="Attended"/>
    <s v="Attended"/>
    <s v="Attended"/>
    <s v="Off"/>
    <s v="Attended"/>
    <s v="Attended"/>
    <m/>
    <m/>
    <m/>
    <m/>
    <m/>
    <m/>
    <m/>
    <m/>
    <n v="15"/>
    <n v="2"/>
    <n v="0"/>
    <n v="0"/>
    <n v="0"/>
    <n v="0"/>
    <n v="0"/>
    <n v="0"/>
    <n v="0"/>
    <n v="6"/>
    <n v="0"/>
  </r>
  <r>
    <n v="13"/>
    <s v="V25SZekry"/>
    <s v="Safaa Safwat-Zekry"/>
    <x v="2"/>
    <s v="Mohamed Ahmed-Nagy"/>
    <s v="Attended"/>
    <s v="Attended"/>
    <s v="Off"/>
    <s v="Attended"/>
    <s v="Attended"/>
    <s v="Attended"/>
    <s v="Attended"/>
    <s v="Attended"/>
    <s v="Attended"/>
    <s v="Off"/>
    <s v="Off"/>
    <s v="Attended"/>
    <s v="Attended"/>
    <s v="Attended"/>
    <s v="Attended"/>
    <s v="No Show"/>
    <s v="Off"/>
    <s v="Off"/>
    <s v="Attended"/>
    <s v="Attended"/>
    <s v="Attended"/>
    <s v="Attended"/>
    <s v="Attended"/>
    <m/>
    <m/>
    <m/>
    <m/>
    <m/>
    <m/>
    <m/>
    <m/>
    <n v="17"/>
    <n v="1"/>
    <n v="0"/>
    <n v="0"/>
    <n v="0"/>
    <n v="0"/>
    <n v="0"/>
    <n v="0"/>
    <n v="0"/>
    <n v="5"/>
    <n v="0"/>
  </r>
  <r>
    <n v="14"/>
    <s v="V24OMohamed10"/>
    <s v="Osama Magdy-Mohamed"/>
    <x v="3"/>
    <s v="Mohamed Ahmed-Nagy"/>
    <s v="Attended"/>
    <s v="Attended"/>
    <s v="Off"/>
    <s v="Off"/>
    <s v="Attended"/>
    <s v="Attended"/>
    <s v="Attended"/>
    <s v="Attended"/>
    <s v="Attended"/>
    <s v="Off"/>
    <s v="Attended"/>
    <s v="Attended"/>
    <s v="Attended"/>
    <s v="Attended"/>
    <s v="Off"/>
    <s v="Attended"/>
    <s v="Attended"/>
    <s v="Attended"/>
    <s v="Attended"/>
    <s v="Attended"/>
    <s v="Off"/>
    <s v="Off"/>
    <s v="OFF"/>
    <m/>
    <m/>
    <m/>
    <m/>
    <m/>
    <m/>
    <m/>
    <m/>
    <n v="16"/>
    <n v="0"/>
    <n v="0"/>
    <n v="0"/>
    <n v="0"/>
    <n v="0"/>
    <n v="0"/>
    <n v="0"/>
    <n v="0"/>
    <n v="7"/>
    <n v="0"/>
  </r>
  <r>
    <n v="15"/>
    <s v="V25TAhmed3"/>
    <s v="Tarek Ayman-Ahmed"/>
    <x v="3"/>
    <s v="Mohamed Ahmed-Nagy"/>
    <s v="Attended"/>
    <s v="Attended"/>
    <s v="Off"/>
    <s v="Attended"/>
    <s v="Attended"/>
    <s v="Attended"/>
    <s v="Attended"/>
    <s v="Attended"/>
    <s v="Attended"/>
    <s v="Off"/>
    <s v="Attended"/>
    <s v="Attended"/>
    <s v="Attended"/>
    <s v="Attended"/>
    <s v="Off"/>
    <s v="Attended"/>
    <s v="Attended"/>
    <s v="Attended"/>
    <s v="Attended"/>
    <s v="Attended"/>
    <s v="Off"/>
    <s v="Off"/>
    <s v="Attended"/>
    <m/>
    <m/>
    <m/>
    <m/>
    <m/>
    <m/>
    <m/>
    <m/>
    <n v="18"/>
    <n v="0"/>
    <n v="0"/>
    <n v="0"/>
    <n v="0"/>
    <n v="0"/>
    <n v="0"/>
    <n v="0"/>
    <n v="0"/>
    <n v="5"/>
    <n v="0"/>
  </r>
  <r>
    <n v="16"/>
    <s v="V25ARizk"/>
    <s v="Ahmed Sameh-Rizk"/>
    <x v="1"/>
    <s v="Mohamed Ahmed-Nagy"/>
    <s v="Attended"/>
    <s v="OFF"/>
    <s v="Attended"/>
    <s v="Attended"/>
    <s v="Off"/>
    <s v="Attended"/>
    <s v="Attended"/>
    <s v="Attended"/>
    <s v="Off"/>
    <s v="Attended"/>
    <s v="Attended"/>
    <s v="Attended"/>
    <s v="Attended"/>
    <s v="Attended"/>
    <s v="Attended"/>
    <s v="Off"/>
    <s v="Attended"/>
    <s v="Attended"/>
    <s v="Attended"/>
    <s v="Attended"/>
    <s v="Attended"/>
    <s v="Attended"/>
    <s v="OFF"/>
    <m/>
    <m/>
    <m/>
    <m/>
    <m/>
    <m/>
    <m/>
    <m/>
    <n v="18"/>
    <n v="0"/>
    <n v="0"/>
    <n v="0"/>
    <n v="0"/>
    <n v="0"/>
    <n v="0"/>
    <n v="0"/>
    <n v="0"/>
    <n v="5"/>
    <n v="0"/>
  </r>
  <r>
    <n v="17"/>
    <s v="V25YMohamed24"/>
    <s v="Yasmine Waleed-Mohamed"/>
    <x v="2"/>
    <s v="Mohamed Ahmed-Nagy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Off"/>
    <s v="Attended"/>
    <s v="Attended"/>
    <s v="Attended"/>
    <s v="Off"/>
    <s v="No Show"/>
    <s v="Attended"/>
    <m/>
    <m/>
    <m/>
    <m/>
    <m/>
    <m/>
    <m/>
    <m/>
    <n v="15"/>
    <n v="1"/>
    <n v="0"/>
    <n v="0"/>
    <n v="0"/>
    <n v="0"/>
    <n v="0"/>
    <n v="0"/>
    <n v="0"/>
    <n v="7"/>
    <n v="0"/>
  </r>
  <r>
    <n v="18"/>
    <s v="V25NSaeed1"/>
    <s v="Nouran AbdAllah-Saeed"/>
    <x v="2"/>
    <s v="Mohamed Ahmed-Nagy"/>
    <s v="Off"/>
    <s v="Attended"/>
    <s v="Off"/>
    <s v="Attended"/>
    <s v="Attended"/>
    <s v="Attended"/>
    <s v="Attended"/>
    <s v="Off"/>
    <s v="Attended"/>
    <s v="Attended"/>
    <s v="Attended"/>
    <s v="Attended"/>
    <s v="Off"/>
    <s v="Attended"/>
    <s v="Off"/>
    <s v="Off"/>
    <s v="Attended"/>
    <s v="Attended"/>
    <s v="Attended"/>
    <s v="Attended"/>
    <s v="Attended"/>
    <s v="Off"/>
    <s v="OFF"/>
    <m/>
    <m/>
    <m/>
    <m/>
    <m/>
    <m/>
    <m/>
    <m/>
    <n v="15"/>
    <n v="0"/>
    <n v="0"/>
    <n v="0"/>
    <n v="0"/>
    <n v="0"/>
    <n v="0"/>
    <n v="0"/>
    <n v="0"/>
    <n v="8"/>
    <n v="0"/>
  </r>
  <r>
    <n v="19"/>
    <s v="V25JRazek"/>
    <s v="Jana HossamElDin-AbdElRazek"/>
    <x v="2"/>
    <s v="Mohamed Ahmed-Nagy"/>
    <s v="Off"/>
    <s v="Attended"/>
    <s v="Attended"/>
    <s v="Attended"/>
    <s v="Off"/>
    <s v="Attended"/>
    <s v="Attended"/>
    <s v="Off"/>
    <s v="Attended"/>
    <s v="Attended"/>
    <s v="Attended"/>
    <s v="OFF"/>
    <s v="Attended"/>
    <s v="Attended"/>
    <s v="Off"/>
    <s v="Attended"/>
    <s v="Attended"/>
    <s v="Attended"/>
    <s v="Off"/>
    <s v="Attended"/>
    <s v="Attended"/>
    <s v="Off"/>
    <s v="Attended"/>
    <m/>
    <m/>
    <m/>
    <m/>
    <m/>
    <m/>
    <m/>
    <m/>
    <n v="16"/>
    <n v="0"/>
    <n v="0"/>
    <n v="0"/>
    <n v="0"/>
    <n v="0"/>
    <n v="0"/>
    <n v="0"/>
    <n v="0"/>
    <n v="7"/>
    <n v="0"/>
  </r>
  <r>
    <n v="20"/>
    <s v="V25OAzab"/>
    <s v="Omnia Wageeh-ElAzab"/>
    <x v="3"/>
    <s v="Mohamed Ahmed-Nagy"/>
    <s v="Off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No Show"/>
    <s v="Off"/>
    <s v="Attended"/>
    <s v="Off"/>
    <s v="Attended"/>
    <s v="Attended"/>
    <m/>
    <m/>
    <m/>
    <m/>
    <m/>
    <m/>
    <m/>
    <m/>
    <n v="15"/>
    <n v="1"/>
    <n v="0"/>
    <n v="0"/>
    <n v="0"/>
    <n v="0"/>
    <n v="0"/>
    <n v="0"/>
    <n v="0"/>
    <n v="7"/>
    <n v="0"/>
  </r>
  <r>
    <n v="21"/>
    <s v="V25MHassanien"/>
    <s v="Mohamed Adel-Hassanien"/>
    <x v="3"/>
    <s v="Mohamed Ahmed-Nagy"/>
    <s v="Off"/>
    <s v="Attended"/>
    <s v="Attended"/>
    <s v="Attended"/>
    <s v="Attended"/>
    <s v="Attended"/>
    <s v="Attended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OFF"/>
    <m/>
    <m/>
    <m/>
    <m/>
    <m/>
    <m/>
    <m/>
    <m/>
    <n v="16"/>
    <n v="0"/>
    <n v="0"/>
    <n v="0"/>
    <n v="0"/>
    <n v="0"/>
    <n v="0"/>
    <n v="0"/>
    <n v="0"/>
    <n v="7"/>
    <n v="0"/>
  </r>
  <r>
    <n v="22"/>
    <s v="V25OMahmoud1"/>
    <s v="Ola Essam-Mahmoud"/>
    <x v="2"/>
    <s v="Mohamed Ahmed-Nagy"/>
    <s v="Off"/>
    <s v="OFF"/>
    <s v="Attended"/>
    <s v="Attended"/>
    <s v="Attended"/>
    <s v="Attended"/>
    <s v="Off"/>
    <s v="Attended"/>
    <s v="Attended"/>
    <s v="Off"/>
    <s v="Attended"/>
    <s v="Attended"/>
    <s v="Attended"/>
    <s v="Attended"/>
    <s v="Task"/>
    <s v="Task"/>
    <s v="Attended"/>
    <s v="Attended"/>
    <s v="Attended"/>
    <s v="Attended"/>
    <s v="Attended"/>
    <s v="Task"/>
    <s v="Task"/>
    <m/>
    <m/>
    <m/>
    <m/>
    <m/>
    <m/>
    <m/>
    <m/>
    <n v="19"/>
    <n v="0"/>
    <n v="0"/>
    <n v="0"/>
    <n v="0"/>
    <n v="0"/>
    <n v="0"/>
    <n v="0"/>
    <n v="0"/>
    <n v="4"/>
    <n v="0"/>
  </r>
  <r>
    <n v="23"/>
    <s v="V25YMohamed7"/>
    <s v="Youssef Hamdy-Mohamed"/>
    <x v="1"/>
    <s v="Mohamed Ahmed-Nagy"/>
    <s v="Attended"/>
    <s v="Attended"/>
    <s v="Attended"/>
    <s v="Off"/>
    <s v="Attended"/>
    <s v="Attended"/>
    <s v="Attended"/>
    <s v="Attended"/>
    <s v="Attended"/>
    <s v="Attended"/>
    <s v="Off"/>
    <s v="Attended"/>
    <s v="Attended"/>
    <s v="Off"/>
    <s v="Attended"/>
    <s v="No Show"/>
    <s v="Off"/>
    <s v="No Show"/>
    <s v="No Show"/>
    <s v="No Show"/>
    <s v="No Show"/>
    <s v="Off"/>
    <s v="OFF"/>
    <m/>
    <m/>
    <m/>
    <m/>
    <m/>
    <m/>
    <m/>
    <m/>
    <n v="12"/>
    <n v="5"/>
    <n v="0"/>
    <n v="0"/>
    <n v="0"/>
    <n v="0"/>
    <n v="0"/>
    <n v="0"/>
    <n v="0"/>
    <n v="6"/>
    <n v="0"/>
  </r>
  <r>
    <n v="24"/>
    <s v="V25AHussein9"/>
    <s v="Ahmed Khaled-Hussein"/>
    <x v="1"/>
    <s v="Mohamed Ahmed-Nagy"/>
    <s v="Attended"/>
    <s v="Attended"/>
    <s v="Attended"/>
    <s v="Attended"/>
    <s v="Attended"/>
    <s v="Off"/>
    <s v="Attended"/>
    <s v="Attended"/>
    <s v="Attended"/>
    <s v="Attended"/>
    <s v="Attended"/>
    <s v="OFF"/>
    <s v="Off"/>
    <s v="Attended"/>
    <s v="Attended"/>
    <s v="Attended"/>
    <s v="Attended"/>
    <s v="Off"/>
    <s v="Off"/>
    <s v="No Show"/>
    <s v="Attended"/>
    <s v="Attended"/>
    <s v="Attended"/>
    <m/>
    <m/>
    <m/>
    <m/>
    <m/>
    <m/>
    <m/>
    <m/>
    <n v="17"/>
    <n v="1"/>
    <n v="0"/>
    <n v="0"/>
    <n v="0"/>
    <n v="0"/>
    <n v="0"/>
    <n v="0"/>
    <n v="0"/>
    <n v="5"/>
    <n v="0"/>
  </r>
  <r>
    <n v="25"/>
    <s v="V24ASaeed11"/>
    <s v="Ali Bahat-Saeed"/>
    <x v="1"/>
    <s v="Mohamed Ahmed-Nagy"/>
    <s v="Attended"/>
    <s v="Attended"/>
    <s v="Off"/>
    <s v="Attended"/>
    <s v="Attended"/>
    <s v="Annual"/>
    <s v="Attended"/>
    <s v="Attended"/>
    <s v="Attended"/>
    <s v="Attended"/>
    <s v="Attended"/>
    <s v="OFF"/>
    <s v="Off"/>
    <s v="Attended"/>
    <s v="Attended"/>
    <s v="Off"/>
    <s v="Off"/>
    <s v="No Show"/>
    <s v="Off"/>
    <s v="No Show"/>
    <s v="Attended"/>
    <s v="Attended"/>
    <s v="Attended"/>
    <m/>
    <m/>
    <m/>
    <m/>
    <m/>
    <m/>
    <m/>
    <m/>
    <n v="14"/>
    <n v="2"/>
    <n v="1"/>
    <n v="0"/>
    <n v="0"/>
    <n v="0"/>
    <n v="0"/>
    <n v="0"/>
    <n v="0"/>
    <n v="6"/>
    <n v="0"/>
  </r>
  <r>
    <n v="26"/>
    <s v="V25BHassan3"/>
    <s v="Bassant Salah-Hassan"/>
    <x v="3"/>
    <s v="Mohamed Ahmed-Nagy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Off"/>
    <s v="Attended"/>
    <s v="Off"/>
    <s v="Attended"/>
    <m/>
    <m/>
    <m/>
    <m/>
    <m/>
    <m/>
    <m/>
    <m/>
    <n v="16"/>
    <n v="0"/>
    <n v="0"/>
    <n v="0"/>
    <n v="0"/>
    <n v="0"/>
    <n v="0"/>
    <n v="0"/>
    <n v="0"/>
    <n v="7"/>
    <n v="0"/>
  </r>
  <r>
    <n v="27"/>
    <s v="V25MHamdy1"/>
    <s v="Mohada Mohamed-Hamdy"/>
    <x v="2"/>
    <s v="Mohamed Ahmed-Nagy"/>
    <s v="Attended"/>
    <s v="Attended"/>
    <s v="Attended"/>
    <s v="Off"/>
    <s v="Attended"/>
    <s v="Off"/>
    <s v="Attended"/>
    <s v="Attended"/>
    <s v="Off"/>
    <s v="Attended"/>
    <s v="Off"/>
    <s v="Attended"/>
    <s v="Attended"/>
    <s v="Attended"/>
    <s v="Attended"/>
    <s v="Off"/>
    <s v="Attended"/>
    <s v="Off"/>
    <s v="Attended"/>
    <s v="Off"/>
    <s v="Attended"/>
    <s v="Attended"/>
    <s v="OFF"/>
    <m/>
    <m/>
    <m/>
    <m/>
    <m/>
    <m/>
    <m/>
    <m/>
    <n v="15"/>
    <n v="0"/>
    <n v="0"/>
    <n v="0"/>
    <n v="0"/>
    <n v="0"/>
    <n v="0"/>
    <n v="0"/>
    <n v="0"/>
    <n v="8"/>
    <n v="0"/>
  </r>
  <r>
    <n v="28"/>
    <s v="V25AMahmoud45"/>
    <s v="Aya Ezzat-Mahmoud"/>
    <x v="3"/>
    <s v="Mohamed Ahmed-Nagy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No Show"/>
    <s v="Off"/>
    <s v="Off"/>
    <s v="Attended"/>
    <m/>
    <m/>
    <m/>
    <m/>
    <m/>
    <m/>
    <m/>
    <m/>
    <n v="15"/>
    <n v="1"/>
    <n v="0"/>
    <n v="0"/>
    <n v="0"/>
    <n v="0"/>
    <n v="0"/>
    <n v="0"/>
    <n v="0"/>
    <n v="7"/>
    <n v="0"/>
  </r>
  <r>
    <n v="29"/>
    <s v="V25IZakaria"/>
    <s v="Islam Gamal-Zakaria"/>
    <x v="1"/>
    <s v="Mohamed Ahmed-Nagy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m/>
    <m/>
    <m/>
    <m/>
    <m/>
    <m/>
    <m/>
    <m/>
    <n v="16"/>
    <n v="0"/>
    <n v="0"/>
    <n v="0"/>
    <n v="0"/>
    <n v="0"/>
    <n v="0"/>
    <n v="0"/>
    <n v="0"/>
    <n v="7"/>
    <n v="0"/>
  </r>
  <r>
    <n v="30"/>
    <s v="V25AAziz28"/>
    <s v="AbdAllah Shaker-AbdElAziz"/>
    <x v="1"/>
    <s v="Mohamed Ahmed-Nagy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Attended"/>
    <s v="Attended"/>
    <s v="Attended"/>
    <m/>
    <m/>
    <m/>
    <m/>
    <m/>
    <m/>
    <m/>
    <m/>
    <n v="17"/>
    <n v="0"/>
    <n v="0"/>
    <n v="0"/>
    <n v="0"/>
    <n v="0"/>
    <n v="0"/>
    <n v="0"/>
    <n v="0"/>
    <n v="6"/>
    <n v="0"/>
  </r>
  <r>
    <n v="31"/>
    <s v="V25HAhmed43"/>
    <s v="Hatem Ibrahim-Ahmed"/>
    <x v="1"/>
    <s v="Mohamed Ahmed-Nagy"/>
    <s v="Off"/>
    <s v="Attended"/>
    <s v="Attended"/>
    <s v="Attended"/>
    <s v="Attended"/>
    <s v="Attended"/>
    <s v="Off"/>
    <s v="Off"/>
    <s v="Attended"/>
    <s v="Off"/>
    <s v="Attended"/>
    <s v="Attended"/>
    <s v="Attended"/>
    <s v="Off"/>
    <s v="Attended"/>
    <s v="Attended"/>
    <s v="Attended"/>
    <s v="Attended"/>
    <s v="Attended"/>
    <s v="Off"/>
    <s v="Off"/>
    <s v="Off"/>
    <s v="OFF"/>
    <m/>
    <m/>
    <m/>
    <m/>
    <m/>
    <m/>
    <m/>
    <m/>
    <n v="14"/>
    <n v="0"/>
    <n v="0"/>
    <n v="0"/>
    <n v="0"/>
    <n v="0"/>
    <n v="0"/>
    <n v="0"/>
    <n v="0"/>
    <n v="9"/>
    <n v="0"/>
  </r>
  <r>
    <n v="32"/>
    <s v="V25AEwis2"/>
    <s v="Ahmed Magdy-Ewis"/>
    <x v="1"/>
    <s v="Mohamed Ahmed-Nagy"/>
    <s v="Attended"/>
    <s v="OFF"/>
    <s v="Attended"/>
    <s v="Attended"/>
    <s v="Attended"/>
    <s v="Attended"/>
    <s v="Attended"/>
    <s v="Attended"/>
    <s v="Attended"/>
    <s v="Attended"/>
    <s v="Off"/>
    <s v="OFF"/>
    <s v="Attended"/>
    <s v="Attended"/>
    <s v="Attended"/>
    <s v="Attended"/>
    <s v="Attended"/>
    <s v="Attended"/>
    <s v="Attended"/>
    <s v="Attended"/>
    <s v="Off"/>
    <s v="Off"/>
    <s v="Attended"/>
    <m/>
    <m/>
    <m/>
    <m/>
    <m/>
    <m/>
    <m/>
    <m/>
    <n v="18"/>
    <n v="0"/>
    <n v="0"/>
    <n v="0"/>
    <n v="0"/>
    <n v="0"/>
    <n v="0"/>
    <n v="0"/>
    <n v="0"/>
    <n v="5"/>
    <n v="0"/>
  </r>
  <r>
    <n v="33"/>
    <s v="V25AEldemerdash"/>
    <s v="Anas Mohamed-Eldemerdash"/>
    <x v="3"/>
    <s v="Mohamed Ahmed-Nagy"/>
    <s v="Off"/>
    <s v="Attended"/>
    <s v="Attended"/>
    <s v="Off"/>
    <s v="Attended"/>
    <s v="Attended"/>
    <s v="Attended"/>
    <s v="Attended"/>
    <s v="Attended"/>
    <s v="Attended"/>
    <s v="Attended"/>
    <s v="Attended"/>
    <s v="Off"/>
    <s v="Attended"/>
    <s v="Attended"/>
    <s v="Attended"/>
    <s v="Off"/>
    <s v="Off"/>
    <s v="Attended"/>
    <s v="Attended"/>
    <s v="Attended"/>
    <s v="Attended"/>
    <s v="Attended"/>
    <m/>
    <m/>
    <m/>
    <m/>
    <m/>
    <m/>
    <m/>
    <m/>
    <n v="18"/>
    <n v="0"/>
    <n v="0"/>
    <n v="0"/>
    <n v="0"/>
    <n v="0"/>
    <n v="0"/>
    <n v="0"/>
    <n v="0"/>
    <n v="5"/>
    <n v="0"/>
  </r>
  <r>
    <n v="34"/>
    <s v="V25SSagheer"/>
    <s v="Samir Hosny-Sagheer"/>
    <x v="3"/>
    <s v="Mohamed Ahmed-Nagy"/>
    <s v="Attended"/>
    <s v="Attended"/>
    <s v="Off"/>
    <s v="Attended"/>
    <s v="Attended"/>
    <s v="Attended"/>
    <s v="Attended"/>
    <s v="Attended"/>
    <s v="Attended"/>
    <s v="Off"/>
    <s v="Attended"/>
    <s v="Attended"/>
    <s v="Attended"/>
    <s v="Attended"/>
    <s v="Off"/>
    <s v="Attended"/>
    <s v="Off"/>
    <s v="Off"/>
    <s v="No Show"/>
    <s v="No Show"/>
    <s v="No Show"/>
    <s v="Attended"/>
    <s v="Attended"/>
    <m/>
    <m/>
    <m/>
    <m/>
    <m/>
    <m/>
    <m/>
    <m/>
    <n v="15"/>
    <n v="3"/>
    <n v="0"/>
    <n v="0"/>
    <n v="0"/>
    <n v="0"/>
    <n v="0"/>
    <n v="0"/>
    <n v="0"/>
    <n v="5"/>
    <n v="0"/>
  </r>
  <r>
    <n v="35"/>
    <s v="V25FMagd"/>
    <s v="Farha Ashraf-AboElMagd"/>
    <x v="2"/>
    <s v="Mohamed Ahmed-Nagy"/>
    <s v="Off"/>
    <s v="Attended"/>
    <s v="Attended"/>
    <s v="Attended"/>
    <s v="Attended"/>
    <s v="Attended"/>
    <s v="Off"/>
    <s v="Off"/>
    <s v="Attended"/>
    <s v="Attended"/>
    <s v="Attended"/>
    <s v="Attended"/>
    <s v="Attended"/>
    <s v="Off"/>
    <s v="Off"/>
    <s v="No Show"/>
    <s v="Attended"/>
    <s v="Attended"/>
    <s v="Attended"/>
    <s v="Attended"/>
    <s v="Off"/>
    <s v="Off"/>
    <s v="OFF"/>
    <m/>
    <m/>
    <m/>
    <m/>
    <m/>
    <m/>
    <m/>
    <m/>
    <n v="14"/>
    <n v="1"/>
    <n v="0"/>
    <n v="0"/>
    <n v="0"/>
    <n v="0"/>
    <n v="0"/>
    <n v="0"/>
    <n v="0"/>
    <n v="8"/>
    <n v="0"/>
  </r>
  <r>
    <n v="36"/>
    <s v="V25NMawla1"/>
    <s v="Nesreen Emad-AbdElMawla"/>
    <x v="2"/>
    <s v="Mohamed Ahmed-Nagy"/>
    <s v="Attended"/>
    <s v="Attended"/>
    <s v="Attended"/>
    <s v="Off"/>
    <s v="Off"/>
    <s v="Attended"/>
    <s v="Attended"/>
    <s v="No Show"/>
    <s v="No Show"/>
    <s v="No Show"/>
    <s v="Attended"/>
    <s v="OFF"/>
    <s v="No Show"/>
    <s v="Attended"/>
    <s v="Off"/>
    <s v="Task"/>
    <s v="Attended"/>
    <s v="Attended"/>
    <s v="Attended"/>
    <s v="Attended"/>
    <s v="Attended"/>
    <s v="Task"/>
    <s v="Task"/>
    <m/>
    <m/>
    <m/>
    <m/>
    <m/>
    <m/>
    <m/>
    <m/>
    <n v="15"/>
    <n v="4"/>
    <n v="0"/>
    <n v="0"/>
    <n v="0"/>
    <n v="0"/>
    <n v="0"/>
    <n v="0"/>
    <n v="0"/>
    <n v="4"/>
    <n v="0"/>
  </r>
  <r>
    <n v="37"/>
    <s v="V25MAhmed108"/>
    <s v="Mohamed Yasser-Ahmed"/>
    <x v="1"/>
    <s v="Mohamed Ahmed-Nagy"/>
    <s v="Attended"/>
    <s v="Attended"/>
    <s v="Attended"/>
    <s v="Off"/>
    <s v="Attended"/>
    <s v="Off"/>
    <s v="Attended"/>
    <s v="Attended"/>
    <s v="Attended"/>
    <s v="Attended"/>
    <s v="Attended"/>
    <s v="Attended"/>
    <s v="Off"/>
    <s v="Attended"/>
    <s v="Off"/>
    <s v="Attended"/>
    <s v="Attended"/>
    <s v="Off"/>
    <s v="Off"/>
    <s v="Attended"/>
    <s v="Attended"/>
    <s v="Attended"/>
    <s v="Attended"/>
    <m/>
    <m/>
    <m/>
    <m/>
    <m/>
    <m/>
    <m/>
    <m/>
    <n v="17"/>
    <n v="0"/>
    <n v="0"/>
    <n v="0"/>
    <n v="0"/>
    <n v="0"/>
    <n v="0"/>
    <n v="0"/>
    <n v="0"/>
    <n v="6"/>
    <n v="0"/>
  </r>
  <r>
    <n v="38"/>
    <s v="V25MMohamed278"/>
    <s v="Mariam Waleed-Mohamed"/>
    <x v="4"/>
    <s v="Nesting"/>
    <s v="Attended"/>
    <s v="Attended"/>
    <s v="Attended"/>
    <s v="Attended"/>
    <s v="Off"/>
    <s v="Off"/>
    <s v="Attended"/>
    <s v="Attended"/>
    <s v="No Show"/>
    <s v="Attended"/>
    <s v="Attended"/>
    <s v="Resignation"/>
    <s v="Resignation"/>
    <s v="Resignation"/>
    <s v="Resignation"/>
    <s v="Resignation"/>
    <s v="Resignation"/>
    <s v="Resignation"/>
    <s v="Resignation"/>
    <s v="Resignation"/>
    <s v="Resignation"/>
    <s v="Resignation"/>
    <s v="Resignation"/>
    <m/>
    <m/>
    <m/>
    <m/>
    <m/>
    <m/>
    <m/>
    <m/>
    <n v="8"/>
    <n v="1"/>
    <n v="0"/>
    <n v="0"/>
    <n v="0"/>
    <n v="0"/>
    <n v="0"/>
    <n v="12"/>
    <n v="0"/>
    <n v="2"/>
    <n v="0"/>
  </r>
  <r>
    <n v="39"/>
    <s v="V25AFadeel2"/>
    <s v="AbdElRhman Hesham-AbdElFadeel"/>
    <x v="3"/>
    <s v="Mohamed Ahmed-Nagy"/>
    <s v="Attended"/>
    <s v="Attended"/>
    <s v="Attended"/>
    <s v="Off"/>
    <s v="Off"/>
    <s v="Attended"/>
    <s v="Attended"/>
    <s v="Attended"/>
    <s v="Attended"/>
    <s v="Attended"/>
    <s v="Attended"/>
    <s v="OFF"/>
    <s v="Attended"/>
    <s v="Attended"/>
    <s v="Off"/>
    <s v="Attended"/>
    <s v="Attended"/>
    <s v="Attended"/>
    <s v="Off"/>
    <s v="Off"/>
    <s v="Attended"/>
    <s v="Attended"/>
    <s v="Attended"/>
    <m/>
    <m/>
    <m/>
    <m/>
    <m/>
    <m/>
    <m/>
    <m/>
    <n v="17"/>
    <n v="0"/>
    <n v="0"/>
    <n v="0"/>
    <n v="0"/>
    <n v="0"/>
    <n v="0"/>
    <n v="0"/>
    <n v="0"/>
    <n v="6"/>
    <n v="0"/>
  </r>
  <r>
    <n v="40"/>
    <s v="V25HGamal2"/>
    <s v="Hany Ibrahim-Gamal"/>
    <x v="3"/>
    <s v="Mohamed Ahmed-Nagy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Off"/>
    <s v="Attended"/>
    <s v="Off"/>
    <s v="Attended"/>
    <s v="Attended"/>
    <s v="Attended"/>
    <m/>
    <m/>
    <m/>
    <m/>
    <m/>
    <m/>
    <m/>
    <m/>
    <n v="10"/>
    <n v="0"/>
    <n v="0"/>
    <n v="0"/>
    <n v="0"/>
    <n v="0"/>
    <n v="0"/>
    <n v="0"/>
    <n v="0"/>
    <n v="2"/>
    <n v="0"/>
  </r>
  <r>
    <n v="41"/>
    <s v="V25SMohamed145"/>
    <s v="Salma Wael-Mohamed"/>
    <x v="2"/>
    <s v="Mohamed Ahmed-Nagy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Attended"/>
    <s v="Off"/>
    <s v="Attended"/>
    <s v="Attended"/>
    <s v="Attended"/>
    <s v="No Show"/>
    <m/>
    <m/>
    <m/>
    <m/>
    <m/>
    <m/>
    <m/>
    <m/>
    <n v="10"/>
    <n v="1"/>
    <n v="0"/>
    <n v="0"/>
    <n v="0"/>
    <n v="0"/>
    <n v="0"/>
    <n v="0"/>
    <n v="0"/>
    <n v="1"/>
    <n v="0"/>
  </r>
  <r>
    <n v="42"/>
    <s v="V25BShenawy"/>
    <s v="Badr Medhat-ElShenawy"/>
    <x v="3"/>
    <s v="Mohamed Ahmed-Nagy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Attended"/>
    <s v="Attended"/>
    <s v="Off"/>
    <s v="Attended"/>
    <s v="Off"/>
    <s v="Attended"/>
    <m/>
    <m/>
    <m/>
    <m/>
    <m/>
    <m/>
    <m/>
    <m/>
    <n v="10"/>
    <n v="0"/>
    <n v="0"/>
    <n v="0"/>
    <n v="0"/>
    <n v="0"/>
    <n v="0"/>
    <n v="0"/>
    <n v="0"/>
    <n v="2"/>
    <n v="0"/>
  </r>
  <r>
    <n v="43"/>
    <s v="V25YMetwally2"/>
    <s v="Yara Ibrahim-ElMetwally"/>
    <x v="5"/>
    <s v="Mohamed Ahmed Nagy"/>
    <s v="-"/>
    <s v="-"/>
    <s v="-"/>
    <s v="-"/>
    <s v="-"/>
    <s v="-"/>
    <s v="-"/>
    <s v="-"/>
    <s v="-"/>
    <s v="-"/>
    <s v="-"/>
    <s v="Attended"/>
    <s v="Resignation"/>
    <s v="Resignation"/>
    <s v="Resignation"/>
    <s v="Resignation"/>
    <s v="Resignation"/>
    <s v="Resignation"/>
    <s v="Resignation"/>
    <s v="Resignation"/>
    <s v="Resignation"/>
    <s v="Resignation"/>
    <s v="Resignation"/>
    <m/>
    <m/>
    <m/>
    <m/>
    <m/>
    <m/>
    <m/>
    <m/>
    <n v="1"/>
    <n v="0"/>
    <n v="0"/>
    <n v="0"/>
    <n v="0"/>
    <n v="0"/>
    <n v="0"/>
    <n v="11"/>
    <n v="0"/>
    <n v="0"/>
    <n v="0"/>
  </r>
  <r>
    <n v="44"/>
    <s v="V25AHassan63"/>
    <s v="Alaa Mahmoud-Hassan"/>
    <x v="2"/>
    <s v="Mohamed Ahmed-Nagy"/>
    <s v="-"/>
    <s v="-"/>
    <s v="-"/>
    <s v="-"/>
    <s v="-"/>
    <s v="-"/>
    <s v="-"/>
    <s v="-"/>
    <s v="-"/>
    <s v="-"/>
    <s v="-"/>
    <s v="Training"/>
    <s v="Attended"/>
    <s v="Attended"/>
    <s v="Attended"/>
    <s v="Attended"/>
    <s v="Off"/>
    <s v="Attended"/>
    <s v="Attended"/>
    <s v="Off"/>
    <s v="Attended"/>
    <s v="Attended"/>
    <s v="Attended"/>
    <m/>
    <m/>
    <m/>
    <m/>
    <m/>
    <m/>
    <m/>
    <m/>
    <n v="9"/>
    <n v="0"/>
    <n v="0"/>
    <n v="0"/>
    <n v="0"/>
    <n v="0"/>
    <n v="0"/>
    <n v="0"/>
    <n v="0"/>
    <n v="2"/>
    <n v="0"/>
  </r>
  <r>
    <n v="45"/>
    <s v="V25YRehim4"/>
    <s v="Yasmine Samer-AbdElRehim"/>
    <x v="2"/>
    <s v="Mohamed Ahmed-Nagy"/>
    <s v="-"/>
    <s v="-"/>
    <s v="-"/>
    <s v="-"/>
    <s v="-"/>
    <s v="-"/>
    <s v="-"/>
    <s v="-"/>
    <s v="-"/>
    <s v="-"/>
    <s v="-"/>
    <s v="Training"/>
    <s v="App issue"/>
    <s v="App issue"/>
    <s v="App issue"/>
    <s v="App issue"/>
    <s v="App issue"/>
    <s v="App issue"/>
    <s v="App issue"/>
    <s v="App issue"/>
    <s v="App issue"/>
    <s v="App issue"/>
    <s v="App issue"/>
    <m/>
    <m/>
    <m/>
    <m/>
    <m/>
    <m/>
    <m/>
    <m/>
    <n v="0"/>
    <n v="0"/>
    <n v="0"/>
    <n v="0"/>
    <n v="0"/>
    <n v="0"/>
    <n v="0"/>
    <n v="0"/>
    <n v="11"/>
    <n v="0"/>
    <n v="0"/>
  </r>
  <r>
    <n v="46"/>
    <s v="V25IGhonimy"/>
    <s v="Ibrahim Ahmed-Ghonimy"/>
    <x v="3"/>
    <s v="Mohamed Ahmed-Nagy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Attended"/>
    <s v="No Show"/>
    <s v="Attended"/>
    <s v="Attended"/>
    <s v="Off"/>
    <s v="Attended"/>
    <m/>
    <m/>
    <m/>
    <m/>
    <m/>
    <m/>
    <m/>
    <m/>
    <n v="10"/>
    <n v="1"/>
    <n v="0"/>
    <n v="0"/>
    <n v="0"/>
    <n v="0"/>
    <n v="0"/>
    <n v="0"/>
    <n v="0"/>
    <n v="1"/>
    <n v="0"/>
  </r>
  <r>
    <n v="47"/>
    <s v="V25SSayed67"/>
    <s v="Sherif Madbouly-Sayed"/>
    <x v="1"/>
    <s v="Mohamed Ahmed-Nagy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Off"/>
    <s v="Attended"/>
    <s v="Attended"/>
    <s v="No Show"/>
    <s v="Attended"/>
    <s v="OFF"/>
    <m/>
    <m/>
    <m/>
    <m/>
    <m/>
    <m/>
    <m/>
    <m/>
    <n v="9"/>
    <n v="1"/>
    <n v="0"/>
    <n v="0"/>
    <n v="0"/>
    <n v="0"/>
    <n v="0"/>
    <n v="0"/>
    <n v="0"/>
    <n v="2"/>
    <n v="0"/>
  </r>
  <r>
    <n v="48"/>
    <s v="V25MSalah21"/>
    <s v="Mohamed Gamil-Salah"/>
    <x v="1"/>
    <s v="Mohamed Ahmed-Nagy"/>
    <s v="-"/>
    <s v="-"/>
    <s v="-"/>
    <s v="-"/>
    <s v="-"/>
    <s v="-"/>
    <s v="-"/>
    <s v="-"/>
    <s v="-"/>
    <s v="-"/>
    <s v="-"/>
    <s v="Attended"/>
    <s v="Attended"/>
    <s v="Attended"/>
    <s v="Attended"/>
    <s v="Attended"/>
    <s v="Attended"/>
    <s v="Attended"/>
    <s v="Off"/>
    <s v="Attended"/>
    <s v="Attended"/>
    <s v="Attended"/>
    <s v="Attended"/>
    <m/>
    <m/>
    <m/>
    <m/>
    <m/>
    <m/>
    <m/>
    <m/>
    <n v="11"/>
    <n v="0"/>
    <n v="0"/>
    <n v="0"/>
    <n v="0"/>
    <n v="0"/>
    <n v="0"/>
    <n v="0"/>
    <n v="0"/>
    <n v="1"/>
    <n v="0"/>
  </r>
  <r>
    <n v="49"/>
    <s v="V25MMohamed279"/>
    <s v="Mohamed Adel-Mohamed"/>
    <x v="1"/>
    <s v="Mohamed Ahmed-Nagy"/>
    <s v="-"/>
    <s v="-"/>
    <s v="-"/>
    <s v="-"/>
    <s v="-"/>
    <s v="-"/>
    <s v="-"/>
    <s v="-"/>
    <s v="-"/>
    <s v="-"/>
    <s v="-"/>
    <s v="Training"/>
    <s v="App issue"/>
    <s v="App issue"/>
    <s v="App issue"/>
    <s v="App issue"/>
    <s v="App issue"/>
    <s v="Training"/>
    <s v="Attended"/>
    <s v="Attended"/>
    <s v="Attended"/>
    <s v="Attended"/>
    <s v="OFF"/>
    <m/>
    <m/>
    <m/>
    <m/>
    <m/>
    <m/>
    <m/>
    <m/>
    <n v="4"/>
    <n v="0"/>
    <n v="0"/>
    <n v="0"/>
    <n v="0"/>
    <n v="0"/>
    <n v="0"/>
    <n v="0"/>
    <n v="5"/>
    <n v="1"/>
    <n v="0"/>
  </r>
  <r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4" cacheId="69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21:A26" firstHeaderRow="1" firstDataRow="1" firstDataCol="1"/>
  <pivotFields count="36">
    <pivotField showAll="0"/>
    <pivotField showAll="0"/>
    <pivotField showAll="0"/>
    <pivotField axis="axisRow" showAll="0">
      <items count="92">
        <item m="1" x="6"/>
        <item m="1" x="84"/>
        <item m="1" x="40"/>
        <item m="1" x="75"/>
        <item m="1" x="23"/>
        <item m="1" x="16"/>
        <item m="1" x="51"/>
        <item m="1" x="47"/>
        <item m="1" x="43"/>
        <item m="1" x="59"/>
        <item m="1" x="17"/>
        <item m="1" x="60"/>
        <item m="1" x="25"/>
        <item m="1" x="7"/>
        <item m="1" x="57"/>
        <item m="1" x="13"/>
        <item m="1" x="5"/>
        <item m="1" x="76"/>
        <item m="1" x="14"/>
        <item m="1" x="65"/>
        <item m="1" x="53"/>
        <item m="1" x="80"/>
        <item m="1" x="87"/>
        <item m="1" x="74"/>
        <item m="1" x="54"/>
        <item m="1" x="31"/>
        <item m="1" x="20"/>
        <item m="1" x="66"/>
        <item m="1" x="24"/>
        <item m="1" x="63"/>
        <item m="1" x="83"/>
        <item m="1" x="45"/>
        <item m="1" x="8"/>
        <item m="1" x="70"/>
        <item m="1" x="21"/>
        <item m="1" x="28"/>
        <item m="1" x="38"/>
        <item m="1" x="30"/>
        <item m="1" x="32"/>
        <item m="1" x="64"/>
        <item m="1" x="9"/>
        <item m="1" x="22"/>
        <item m="1" x="39"/>
        <item m="1" x="11"/>
        <item m="1" x="15"/>
        <item m="1" x="71"/>
        <item m="1" x="82"/>
        <item m="1" x="67"/>
        <item m="1" x="58"/>
        <item m="1" x="86"/>
        <item m="1" x="12"/>
        <item m="1" x="26"/>
        <item m="1" x="35"/>
        <item m="1" x="33"/>
        <item m="1" x="78"/>
        <item m="1" x="48"/>
        <item m="1" x="27"/>
        <item m="1" x="18"/>
        <item m="1" x="41"/>
        <item m="1" x="79"/>
        <item m="1" x="37"/>
        <item m="1" x="46"/>
        <item m="1" x="88"/>
        <item m="1" x="69"/>
        <item m="1" x="72"/>
        <item m="1" x="34"/>
        <item m="1" x="62"/>
        <item m="1" x="10"/>
        <item m="1" x="61"/>
        <item m="1" x="44"/>
        <item m="1" x="19"/>
        <item m="1" x="56"/>
        <item m="1" x="50"/>
        <item m="1" x="89"/>
        <item m="1" x="77"/>
        <item m="1" x="52"/>
        <item m="1" x="90"/>
        <item m="1" x="4"/>
        <item m="1" x="49"/>
        <item m="1" x="68"/>
        <item m="1" x="73"/>
        <item m="1" x="29"/>
        <item m="1" x="42"/>
        <item m="1" x="36"/>
        <item m="1" x="81"/>
        <item m="1" x="55"/>
        <item m="1" x="85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8" showAll="0" defaultSubtotal="0"/>
  </pivotFields>
  <rowFields count="1">
    <field x="3"/>
  </rowFields>
  <rowItems count="5">
    <i>
      <x v="87"/>
    </i>
    <i>
      <x v="88"/>
    </i>
    <i>
      <x v="89"/>
    </i>
    <i>
      <x v="90"/>
    </i>
    <i t="grand">
      <x/>
    </i>
  </rowItems>
  <colItems count="1">
    <i/>
  </colItems>
  <formats count="7">
    <format dxfId="40">
      <pivotArea collapsedLevelsAreSubtotals="1" fieldPosition="0">
        <references count="1">
          <reference field="3" count="0"/>
        </references>
      </pivotArea>
    </format>
    <format dxfId="39">
      <pivotArea collapsedLevelsAreSubtotals="1" fieldPosition="0">
        <references count="1">
          <reference field="3" count="0"/>
        </references>
      </pivotArea>
    </format>
    <format dxfId="38">
      <pivotArea type="all" dataOnly="0" outline="0" fieldPosition="0"/>
    </format>
    <format dxfId="37">
      <pivotArea grandRow="1" outline="0" collapsedLevelsAreSubtotals="1" fieldPosition="0"/>
    </format>
    <format dxfId="36">
      <pivotArea collapsedLevelsAreSubtotals="1" fieldPosition="0">
        <references count="1">
          <reference field="3" count="0"/>
        </references>
      </pivotArea>
    </format>
    <format dxfId="35">
      <pivotArea collapsedLevelsAreSubtotals="1" fieldPosition="0">
        <references count="1">
          <reference field="3" count="0"/>
        </references>
      </pivotArea>
    </format>
    <format dxfId="3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3" cacheId="66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42:L47" firstHeaderRow="0" firstDataRow="1" firstDataCol="1"/>
  <pivotFields count="48">
    <pivotField showAll="0"/>
    <pivotField showAll="0"/>
    <pivotField showAll="0"/>
    <pivotField showAll="0"/>
    <pivotField axis="axisRow" showAll="0">
      <items count="25">
        <item m="1" x="18"/>
        <item m="1" x="23"/>
        <item m="1" x="6"/>
        <item x="3"/>
        <item x="1"/>
        <item m="1" x="5"/>
        <item m="1" x="12"/>
        <item m="1" x="7"/>
        <item m="1" x="17"/>
        <item m="1" x="14"/>
        <item m="1" x="10"/>
        <item m="1" x="13"/>
        <item m="1" x="20"/>
        <item m="1" x="16"/>
        <item m="1" x="22"/>
        <item m="1" x="15"/>
        <item m="1" x="4"/>
        <item m="1" x="9"/>
        <item m="1" x="19"/>
        <item m="1" x="11"/>
        <item x="0"/>
        <item m="1" x="8"/>
        <item m="1" x="2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</pivotFields>
  <rowFields count="1">
    <field x="4"/>
  </rowFields>
  <rowItems count="5">
    <i>
      <x v="3"/>
    </i>
    <i>
      <x v="4"/>
    </i>
    <i>
      <x v="20"/>
    </i>
    <i>
      <x v="23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Attended" fld="36" baseField="0" baseItem="0"/>
    <dataField name="Sum of No Show" fld="37" baseField="0" baseItem="0"/>
    <dataField name="Sum of Annual" fld="38" baseField="0" baseItem="0"/>
    <dataField name="Sum of Bereavement" fld="39" baseField="0" baseItem="0"/>
    <dataField name="Sum of Sick" fld="40" baseField="0" baseItem="0"/>
    <dataField name="Sum of UPL" fld="41" baseField="0" baseItem="0"/>
    <dataField name="Sum of Compensation" fld="42" baseField="0" baseItem="0"/>
    <dataField name="Sum of Resignation" fld="43" baseField="0" baseItem="0"/>
    <dataField name="Sum of App Issue" fld="44" baseField="0" baseItem="0"/>
    <dataField name="Sum of OFF" fld="45" baseField="0" baseItem="0"/>
    <dataField name="Sum of Suspension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72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 rowHeaderCaption="Leader">
  <location ref="A1:K9" firstHeaderRow="0" firstDataRow="1" firstDataCol="1"/>
  <pivotFields count="47">
    <pivotField showAll="0"/>
    <pivotField showAll="0" defaultSubtotal="0"/>
    <pivotField showAll="0" defaultSubtotal="0"/>
    <pivotField axis="axisRow" showAll="0" defaultSubtotal="0">
      <items count="108">
        <item m="1" x="50"/>
        <item m="1" x="8"/>
        <item m="1" x="14"/>
        <item m="1" x="101"/>
        <item m="1" x="46"/>
        <item m="1" x="92"/>
        <item m="1" x="63"/>
        <item m="1" x="18"/>
        <item m="1" x="75"/>
        <item m="1" x="72"/>
        <item m="1" x="25"/>
        <item x="6"/>
        <item m="1" x="74"/>
        <item m="1" x="56"/>
        <item m="1" x="7"/>
        <item m="1" x="93"/>
        <item m="1" x="16"/>
        <item m="1" x="81"/>
        <item m="1" x="66"/>
        <item m="1" x="97"/>
        <item m="1" x="103"/>
        <item m="1" x="90"/>
        <item m="1" x="67"/>
        <item m="1" x="33"/>
        <item m="1" x="21"/>
        <item m="1" x="83"/>
        <item m="1" x="26"/>
        <item m="1" x="78"/>
        <item m="1" x="100"/>
        <item m="1" x="54"/>
        <item m="1" x="9"/>
        <item m="1" x="87"/>
        <item m="1" x="22"/>
        <item m="1" x="43"/>
        <item m="1" x="32"/>
        <item m="1" x="30"/>
        <item m="1" x="36"/>
        <item x="4"/>
        <item m="1" x="79"/>
        <item m="1" x="60"/>
        <item m="1" x="105"/>
        <item m="1" x="10"/>
        <item m="1" x="44"/>
        <item m="1" x="34"/>
        <item m="1" x="91"/>
        <item m="1" x="51"/>
        <item m="1" x="49"/>
        <item m="1" x="23"/>
        <item m="1" x="27"/>
        <item m="1" x="68"/>
        <item m="1" x="12"/>
        <item m="1" x="45"/>
        <item m="1" x="88"/>
        <item m="1" x="17"/>
        <item m="1" x="99"/>
        <item m="1" x="84"/>
        <item m="1" x="73"/>
        <item m="1" x="82"/>
        <item m="1" x="13"/>
        <item m="1" x="102"/>
        <item m="1" x="28"/>
        <item m="1" x="39"/>
        <item m="1" x="37"/>
        <item m="1" x="95"/>
        <item m="1" x="47"/>
        <item m="1" x="19"/>
        <item m="1" x="58"/>
        <item m="1" x="29"/>
        <item m="1" x="53"/>
        <item m="1" x="24"/>
        <item m="1" x="64"/>
        <item m="1" x="57"/>
        <item m="1" x="96"/>
        <item m="1" x="35"/>
        <item m="1" x="41"/>
        <item m="1" x="55"/>
        <item m="1" x="104"/>
        <item m="1" x="86"/>
        <item m="1" x="15"/>
        <item m="1" x="89"/>
        <item m="1" x="42"/>
        <item m="1" x="38"/>
        <item m="1" x="77"/>
        <item m="1" x="11"/>
        <item m="1" x="76"/>
        <item m="1" x="20"/>
        <item m="1" x="52"/>
        <item m="1" x="70"/>
        <item m="1" x="62"/>
        <item m="1" x="65"/>
        <item m="1" x="106"/>
        <item m="1" x="94"/>
        <item m="1" x="71"/>
        <item m="1" x="107"/>
        <item m="1" x="61"/>
        <item m="1" x="85"/>
        <item m="1" x="31"/>
        <item m="1" x="48"/>
        <item m="1" x="40"/>
        <item m="1" x="98"/>
        <item m="1" x="59"/>
        <item m="1" x="69"/>
        <item x="5"/>
        <item m="1" x="80"/>
        <item x="0"/>
        <item x="1"/>
        <item x="2"/>
        <item x="3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</pivotFields>
  <rowFields count="1">
    <field x="3"/>
  </rowFields>
  <rowItems count="8">
    <i>
      <x v="11"/>
    </i>
    <i>
      <x v="37"/>
    </i>
    <i>
      <x v="102"/>
    </i>
    <i>
      <x v="104"/>
    </i>
    <i>
      <x v="105"/>
    </i>
    <i>
      <x v="106"/>
    </i>
    <i>
      <x v="10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Attended" fld="36" baseField="0" baseItem="0"/>
    <dataField name="Sum of No Show" fld="37" baseField="0" baseItem="0"/>
    <dataField name="Sum of Annual" fld="38" baseField="0" baseItem="0"/>
    <dataField name="Sum of Bereavement" fld="39" baseField="0" baseItem="0"/>
    <dataField name="Sum of Sick" fld="40" baseField="0" baseItem="0"/>
    <dataField name="Sum of UPL" fld="41" baseField="0" baseItem="0"/>
    <dataField name="Sum of Compensation" fld="42" baseField="0" baseItem="0"/>
    <dataField name="Sum of Resignation" fld="43" baseField="0" baseItem="0"/>
    <dataField name="Sum of App Issue" fld="44" baseField="0" baseItem="0"/>
    <dataField name="Sum of OFF" fld="45" baseField="0" baseItem="0"/>
  </dataFields>
  <formats count="2">
    <format dxfId="42">
      <pivotArea type="all" dataOnly="0" outline="0" fieldPosition="0"/>
    </format>
    <format dxfId="4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499984740745262"/>
  </sheetPr>
  <dimension ref="A1:AW52"/>
  <sheetViews>
    <sheetView showGridLines="0" tabSelected="1" zoomScale="70" zoomScaleNormal="70" workbookViewId="0">
      <pane xSplit="4" ySplit="3" topLeftCell="AM25" activePane="bottomRight" state="frozen"/>
      <selection sqref="A1:XFD1048576"/>
      <selection pane="topRight" sqref="A1:XFD1048576"/>
      <selection pane="bottomLeft" sqref="A1:XFD1048576"/>
      <selection pane="bottomRight" sqref="A1:AV52"/>
    </sheetView>
  </sheetViews>
  <sheetFormatPr defaultColWidth="12.42578125" defaultRowHeight="15" outlineLevelCol="1" x14ac:dyDescent="0.25"/>
  <cols>
    <col min="1" max="1" width="12.140625" style="1" customWidth="1"/>
    <col min="2" max="2" width="22" style="1" bestFit="1" customWidth="1"/>
    <col min="3" max="3" width="35.42578125" style="1" bestFit="1" customWidth="1"/>
    <col min="4" max="4" width="31.7109375" style="1" bestFit="1" customWidth="1"/>
    <col min="5" max="5" width="31.28515625" style="1" bestFit="1" customWidth="1"/>
    <col min="6" max="17" width="10.85546875" style="2" customWidth="1" outlineLevel="1"/>
    <col min="18" max="18" width="11.7109375" style="2" customWidth="1" outlineLevel="1"/>
    <col min="19" max="22" width="10.85546875" style="2" customWidth="1" outlineLevel="1"/>
    <col min="23" max="31" width="11.42578125" style="2" customWidth="1" outlineLevel="1"/>
    <col min="32" max="35" width="11.7109375" style="2" customWidth="1" outlineLevel="1"/>
    <col min="36" max="36" width="11.140625" style="2" customWidth="1" outlineLevel="1"/>
    <col min="37" max="37" width="17.140625" style="1" bestFit="1" customWidth="1"/>
    <col min="38" max="38" width="16" style="1" bestFit="1" customWidth="1"/>
    <col min="39" max="39" width="14.5703125" style="1" bestFit="1" customWidth="1"/>
    <col min="40" max="40" width="20.7109375" style="1" bestFit="1" customWidth="1"/>
    <col min="41" max="42" width="11.5703125" style="1" bestFit="1" customWidth="1"/>
    <col min="43" max="43" width="21.5703125" style="1" bestFit="1" customWidth="1"/>
    <col min="44" max="44" width="18.85546875" style="1" bestFit="1" customWidth="1"/>
    <col min="45" max="45" width="16.85546875" style="1" bestFit="1" customWidth="1"/>
    <col min="46" max="46" width="11.42578125" style="1" bestFit="1" customWidth="1"/>
    <col min="47" max="47" width="18.5703125" style="1" bestFit="1" customWidth="1"/>
    <col min="48" max="48" width="15.42578125" style="1" bestFit="1" customWidth="1"/>
    <col min="49" max="50" width="32.85546875" style="1" bestFit="1" customWidth="1"/>
    <col min="51" max="16384" width="12.42578125" style="1"/>
  </cols>
  <sheetData>
    <row r="1" spans="1:49" ht="23.25" x14ac:dyDescent="0.25">
      <c r="A1" s="64" t="s">
        <v>104</v>
      </c>
      <c r="B1" s="65"/>
      <c r="C1" s="65"/>
      <c r="D1" s="65"/>
      <c r="E1" s="66"/>
      <c r="F1" s="53" t="s">
        <v>153</v>
      </c>
      <c r="G1" s="53" t="s">
        <v>154</v>
      </c>
      <c r="H1" s="53" t="s">
        <v>155</v>
      </c>
      <c r="I1" s="53" t="s">
        <v>156</v>
      </c>
      <c r="J1" s="53" t="s">
        <v>157</v>
      </c>
      <c r="K1" s="53" t="s">
        <v>158</v>
      </c>
      <c r="L1" s="53" t="s">
        <v>159</v>
      </c>
      <c r="M1" s="53" t="s">
        <v>153</v>
      </c>
      <c r="N1" s="53" t="s">
        <v>154</v>
      </c>
      <c r="O1" s="53" t="s">
        <v>155</v>
      </c>
      <c r="P1" s="53" t="s">
        <v>156</v>
      </c>
      <c r="Q1" s="53" t="s">
        <v>157</v>
      </c>
      <c r="R1" s="53" t="s">
        <v>158</v>
      </c>
      <c r="S1" s="53" t="s">
        <v>159</v>
      </c>
      <c r="T1" s="53" t="s">
        <v>153</v>
      </c>
      <c r="U1" s="53" t="s">
        <v>154</v>
      </c>
      <c r="V1" s="53" t="s">
        <v>155</v>
      </c>
      <c r="W1" s="53" t="s">
        <v>156</v>
      </c>
      <c r="X1" s="53" t="s">
        <v>157</v>
      </c>
      <c r="Y1" s="53" t="s">
        <v>158</v>
      </c>
      <c r="Z1" s="53" t="s">
        <v>159</v>
      </c>
      <c r="AA1" s="53" t="s">
        <v>153</v>
      </c>
      <c r="AB1" s="53" t="s">
        <v>154</v>
      </c>
      <c r="AC1" s="53" t="s">
        <v>155</v>
      </c>
      <c r="AD1" s="53" t="s">
        <v>156</v>
      </c>
      <c r="AE1" s="53" t="s">
        <v>157</v>
      </c>
      <c r="AF1" s="53" t="s">
        <v>158</v>
      </c>
      <c r="AG1" s="53" t="s">
        <v>159</v>
      </c>
      <c r="AH1" s="53" t="s">
        <v>153</v>
      </c>
      <c r="AI1" s="53" t="s">
        <v>154</v>
      </c>
      <c r="AJ1" s="53" t="s">
        <v>155</v>
      </c>
      <c r="AK1" s="55" t="s">
        <v>0</v>
      </c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7"/>
    </row>
    <row r="2" spans="1:49" ht="18" customHeight="1" x14ac:dyDescent="0.25">
      <c r="A2" s="61" t="s">
        <v>20</v>
      </c>
      <c r="B2" s="62"/>
      <c r="C2" s="62"/>
      <c r="D2" s="62"/>
      <c r="E2" s="63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8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60"/>
    </row>
    <row r="3" spans="1:49" ht="15.75" x14ac:dyDescent="0.25">
      <c r="A3" s="20">
        <v>0</v>
      </c>
      <c r="B3" s="20" t="s">
        <v>5</v>
      </c>
      <c r="C3" s="20" t="s">
        <v>4</v>
      </c>
      <c r="D3" s="20" t="s">
        <v>6</v>
      </c>
      <c r="E3" s="20" t="s">
        <v>30</v>
      </c>
      <c r="F3" s="17">
        <v>45982</v>
      </c>
      <c r="G3" s="17">
        <v>45983</v>
      </c>
      <c r="H3" s="17">
        <v>45984</v>
      </c>
      <c r="I3" s="17">
        <v>45985</v>
      </c>
      <c r="J3" s="17">
        <v>45986</v>
      </c>
      <c r="K3" s="17">
        <v>45987</v>
      </c>
      <c r="L3" s="17">
        <v>45988</v>
      </c>
      <c r="M3" s="17">
        <v>45989</v>
      </c>
      <c r="N3" s="17">
        <v>45990</v>
      </c>
      <c r="O3" s="17">
        <v>45991</v>
      </c>
      <c r="P3" s="17">
        <v>45992</v>
      </c>
      <c r="Q3" s="17">
        <v>45993</v>
      </c>
      <c r="R3" s="17">
        <v>45994</v>
      </c>
      <c r="S3" s="17">
        <v>45995</v>
      </c>
      <c r="T3" s="17">
        <v>45996</v>
      </c>
      <c r="U3" s="17">
        <v>45997</v>
      </c>
      <c r="V3" s="17">
        <v>45998</v>
      </c>
      <c r="W3" s="17">
        <v>45999</v>
      </c>
      <c r="X3" s="17">
        <v>46000</v>
      </c>
      <c r="Y3" s="17">
        <v>46001</v>
      </c>
      <c r="Z3" s="17">
        <v>46002</v>
      </c>
      <c r="AA3" s="17">
        <v>46003</v>
      </c>
      <c r="AB3" s="17">
        <v>46004</v>
      </c>
      <c r="AC3" s="17">
        <v>46005</v>
      </c>
      <c r="AD3" s="17">
        <v>46006</v>
      </c>
      <c r="AE3" s="17">
        <v>46007</v>
      </c>
      <c r="AF3" s="17">
        <v>46008</v>
      </c>
      <c r="AG3" s="17">
        <v>46009</v>
      </c>
      <c r="AH3" s="17">
        <v>46010</v>
      </c>
      <c r="AI3" s="17">
        <v>46011</v>
      </c>
      <c r="AJ3" s="17">
        <v>46012</v>
      </c>
      <c r="AK3" s="20" t="s">
        <v>1</v>
      </c>
      <c r="AL3" s="20" t="s">
        <v>2</v>
      </c>
      <c r="AM3" s="20" t="s">
        <v>8</v>
      </c>
      <c r="AN3" s="20" t="s">
        <v>9</v>
      </c>
      <c r="AO3" s="20" t="s">
        <v>28</v>
      </c>
      <c r="AP3" s="20" t="s">
        <v>7</v>
      </c>
      <c r="AQ3" s="20" t="s">
        <v>21</v>
      </c>
      <c r="AR3" s="20" t="s">
        <v>31</v>
      </c>
      <c r="AS3" s="20" t="s">
        <v>10</v>
      </c>
      <c r="AT3" s="20" t="s">
        <v>3</v>
      </c>
      <c r="AU3" s="20" t="s">
        <v>34</v>
      </c>
      <c r="AV3" s="20" t="s">
        <v>33</v>
      </c>
      <c r="AW3" s="9"/>
    </row>
    <row r="4" spans="1:49" ht="15.75" x14ac:dyDescent="0.25">
      <c r="A4" s="20">
        <v>1</v>
      </c>
      <c r="B4" s="38" t="s">
        <v>46</v>
      </c>
      <c r="C4" s="38" t="s">
        <v>47</v>
      </c>
      <c r="D4" s="38" t="s">
        <v>103</v>
      </c>
      <c r="E4" s="38" t="s">
        <v>103</v>
      </c>
      <c r="F4" s="39" t="s">
        <v>26</v>
      </c>
      <c r="G4" s="39" t="s">
        <v>26</v>
      </c>
      <c r="H4" s="39" t="s">
        <v>26</v>
      </c>
      <c r="I4" s="39" t="s">
        <v>26</v>
      </c>
      <c r="J4" s="39" t="s">
        <v>26</v>
      </c>
      <c r="K4" s="39" t="s">
        <v>26</v>
      </c>
      <c r="L4" s="39" t="s">
        <v>26</v>
      </c>
      <c r="M4" s="39" t="s">
        <v>26</v>
      </c>
      <c r="N4" s="39" t="s">
        <v>26</v>
      </c>
      <c r="O4" s="39" t="s">
        <v>26</v>
      </c>
      <c r="P4" s="39" t="s">
        <v>26</v>
      </c>
      <c r="Q4" s="39" t="s">
        <v>26</v>
      </c>
      <c r="R4" s="39" t="s">
        <v>26</v>
      </c>
      <c r="S4" s="39" t="s">
        <v>26</v>
      </c>
      <c r="T4" s="39" t="s">
        <v>26</v>
      </c>
      <c r="U4" s="39" t="s">
        <v>26</v>
      </c>
      <c r="V4" s="39" t="s">
        <v>26</v>
      </c>
      <c r="W4" s="39" t="s">
        <v>26</v>
      </c>
      <c r="X4" s="39" t="s">
        <v>26</v>
      </c>
      <c r="Y4" s="39" t="s">
        <v>26</v>
      </c>
      <c r="Z4" s="39" t="s">
        <v>26</v>
      </c>
      <c r="AA4" s="39" t="s">
        <v>26</v>
      </c>
      <c r="AB4" s="39" t="s">
        <v>26</v>
      </c>
      <c r="AC4" s="39"/>
      <c r="AD4" s="39"/>
      <c r="AE4" s="39"/>
      <c r="AF4" s="39"/>
      <c r="AG4" s="39"/>
      <c r="AH4" s="39"/>
      <c r="AI4" s="39"/>
      <c r="AJ4" s="39"/>
      <c r="AK4" s="24">
        <v>23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5">
        <v>0</v>
      </c>
      <c r="AV4" s="25">
        <v>0</v>
      </c>
      <c r="AW4" s="10"/>
    </row>
    <row r="5" spans="1:49" ht="15.75" x14ac:dyDescent="0.25">
      <c r="A5" s="20">
        <v>2</v>
      </c>
      <c r="B5" s="38" t="s">
        <v>48</v>
      </c>
      <c r="C5" s="38" t="s">
        <v>49</v>
      </c>
      <c r="D5" s="38" t="s">
        <v>51</v>
      </c>
      <c r="E5" s="38" t="s">
        <v>103</v>
      </c>
      <c r="F5" s="39" t="s">
        <v>1</v>
      </c>
      <c r="G5" s="39" t="s">
        <v>3</v>
      </c>
      <c r="H5" s="39" t="s">
        <v>1</v>
      </c>
      <c r="I5" s="39" t="s">
        <v>1</v>
      </c>
      <c r="J5" s="39" t="s">
        <v>1</v>
      </c>
      <c r="K5" s="39" t="s">
        <v>1</v>
      </c>
      <c r="L5" s="39" t="s">
        <v>1</v>
      </c>
      <c r="M5" s="39" t="s">
        <v>1</v>
      </c>
      <c r="N5" s="39" t="s">
        <v>160</v>
      </c>
      <c r="O5" s="39" t="s">
        <v>21</v>
      </c>
      <c r="P5" s="39" t="s">
        <v>1</v>
      </c>
      <c r="Q5" s="39" t="s">
        <v>1</v>
      </c>
      <c r="R5" s="39" t="s">
        <v>1</v>
      </c>
      <c r="S5" s="39" t="s">
        <v>1</v>
      </c>
      <c r="T5" s="39" t="s">
        <v>160</v>
      </c>
      <c r="U5" s="39" t="s">
        <v>160</v>
      </c>
      <c r="V5" s="39" t="s">
        <v>2</v>
      </c>
      <c r="W5" s="39" t="s">
        <v>2</v>
      </c>
      <c r="X5" s="39" t="s">
        <v>1</v>
      </c>
      <c r="Y5" s="39" t="s">
        <v>1</v>
      </c>
      <c r="Z5" s="39" t="s">
        <v>1</v>
      </c>
      <c r="AA5" s="39" t="s">
        <v>160</v>
      </c>
      <c r="AB5" s="39" t="s">
        <v>1</v>
      </c>
      <c r="AC5" s="39"/>
      <c r="AD5" s="39"/>
      <c r="AE5" s="39"/>
      <c r="AF5" s="39"/>
      <c r="AG5" s="39"/>
      <c r="AH5" s="39"/>
      <c r="AI5" s="39"/>
      <c r="AJ5" s="39"/>
      <c r="AK5" s="24">
        <v>15</v>
      </c>
      <c r="AL5" s="24">
        <v>2</v>
      </c>
      <c r="AM5" s="24">
        <v>0</v>
      </c>
      <c r="AN5" s="24">
        <v>0</v>
      </c>
      <c r="AO5" s="24">
        <v>0</v>
      </c>
      <c r="AP5" s="24">
        <v>0</v>
      </c>
      <c r="AQ5" s="24">
        <v>1</v>
      </c>
      <c r="AR5" s="24">
        <v>0</v>
      </c>
      <c r="AS5" s="24">
        <v>0</v>
      </c>
      <c r="AT5" s="24">
        <v>5</v>
      </c>
      <c r="AU5" s="25">
        <v>0</v>
      </c>
      <c r="AV5" s="25">
        <v>0</v>
      </c>
    </row>
    <row r="6" spans="1:49" ht="15.75" x14ac:dyDescent="0.25">
      <c r="A6" s="20">
        <v>3</v>
      </c>
      <c r="B6" s="38" t="s">
        <v>50</v>
      </c>
      <c r="C6" s="38" t="s">
        <v>51</v>
      </c>
      <c r="D6" s="38" t="s">
        <v>103</v>
      </c>
      <c r="E6" s="38" t="s">
        <v>103</v>
      </c>
      <c r="F6" s="39" t="s">
        <v>26</v>
      </c>
      <c r="G6" s="39" t="s">
        <v>160</v>
      </c>
      <c r="H6" s="39" t="s">
        <v>26</v>
      </c>
      <c r="I6" s="39" t="s">
        <v>1</v>
      </c>
      <c r="J6" s="39" t="s">
        <v>160</v>
      </c>
      <c r="K6" s="39" t="s">
        <v>26</v>
      </c>
      <c r="L6" s="39" t="s">
        <v>1</v>
      </c>
      <c r="M6" s="39" t="s">
        <v>26</v>
      </c>
      <c r="N6" s="39" t="s">
        <v>160</v>
      </c>
      <c r="O6" s="39" t="s">
        <v>160</v>
      </c>
      <c r="P6" s="39" t="s">
        <v>26</v>
      </c>
      <c r="Q6" s="39" t="s">
        <v>26</v>
      </c>
      <c r="R6" s="39" t="s">
        <v>1</v>
      </c>
      <c r="S6" s="39" t="s">
        <v>26</v>
      </c>
      <c r="T6" s="39" t="s">
        <v>1</v>
      </c>
      <c r="U6" s="39" t="s">
        <v>26</v>
      </c>
      <c r="V6" s="39" t="s">
        <v>26</v>
      </c>
      <c r="W6" s="39" t="s">
        <v>26</v>
      </c>
      <c r="X6" s="39" t="s">
        <v>26</v>
      </c>
      <c r="Y6" s="39" t="s">
        <v>26</v>
      </c>
      <c r="Z6" s="39" t="s">
        <v>1</v>
      </c>
      <c r="AA6" s="39" t="s">
        <v>26</v>
      </c>
      <c r="AB6" s="39" t="s">
        <v>26</v>
      </c>
      <c r="AC6" s="39"/>
      <c r="AD6" s="39"/>
      <c r="AE6" s="39"/>
      <c r="AF6" s="39"/>
      <c r="AG6" s="39"/>
      <c r="AH6" s="39"/>
      <c r="AI6" s="39"/>
      <c r="AJ6" s="39"/>
      <c r="AK6" s="24">
        <v>19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4</v>
      </c>
      <c r="AU6" s="25">
        <v>0</v>
      </c>
      <c r="AV6" s="25">
        <v>0</v>
      </c>
      <c r="AW6" s="10"/>
    </row>
    <row r="7" spans="1:49" ht="15.75" x14ac:dyDescent="0.25">
      <c r="A7" s="20">
        <v>4</v>
      </c>
      <c r="B7" s="38" t="s">
        <v>52</v>
      </c>
      <c r="C7" s="38" t="s">
        <v>53</v>
      </c>
      <c r="D7" s="38" t="s">
        <v>56</v>
      </c>
      <c r="E7" s="38" t="s">
        <v>103</v>
      </c>
      <c r="F7" s="39" t="s">
        <v>160</v>
      </c>
      <c r="G7" s="39" t="s">
        <v>160</v>
      </c>
      <c r="H7" s="39" t="s">
        <v>1</v>
      </c>
      <c r="I7" s="39" t="s">
        <v>1</v>
      </c>
      <c r="J7" s="39" t="s">
        <v>1</v>
      </c>
      <c r="K7" s="39" t="s">
        <v>1</v>
      </c>
      <c r="L7" s="39" t="s">
        <v>1</v>
      </c>
      <c r="M7" s="39" t="s">
        <v>160</v>
      </c>
      <c r="N7" s="39" t="s">
        <v>160</v>
      </c>
      <c r="O7" s="39" t="s">
        <v>1</v>
      </c>
      <c r="P7" s="39" t="s">
        <v>1</v>
      </c>
      <c r="Q7" s="39" t="s">
        <v>1</v>
      </c>
      <c r="R7" s="39" t="s">
        <v>1</v>
      </c>
      <c r="S7" s="39" t="s">
        <v>1</v>
      </c>
      <c r="T7" s="39" t="s">
        <v>160</v>
      </c>
      <c r="U7" s="39" t="s">
        <v>160</v>
      </c>
      <c r="V7" s="39" t="s">
        <v>1</v>
      </c>
      <c r="W7" s="39" t="s">
        <v>1</v>
      </c>
      <c r="X7" s="39" t="s">
        <v>1</v>
      </c>
      <c r="Y7" s="39" t="s">
        <v>1</v>
      </c>
      <c r="Z7" s="39" t="s">
        <v>1</v>
      </c>
      <c r="AA7" s="39" t="s">
        <v>160</v>
      </c>
      <c r="AB7" s="39" t="s">
        <v>3</v>
      </c>
      <c r="AC7" s="39"/>
      <c r="AD7" s="39"/>
      <c r="AE7" s="39"/>
      <c r="AF7" s="39"/>
      <c r="AG7" s="39"/>
      <c r="AH7" s="39"/>
      <c r="AI7" s="39"/>
      <c r="AJ7" s="39"/>
      <c r="AK7" s="24">
        <v>15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8</v>
      </c>
      <c r="AU7" s="25">
        <v>0</v>
      </c>
      <c r="AV7" s="25">
        <v>0</v>
      </c>
    </row>
    <row r="8" spans="1:49" ht="15.75" x14ac:dyDescent="0.25">
      <c r="A8" s="20">
        <v>5</v>
      </c>
      <c r="B8" s="38" t="s">
        <v>55</v>
      </c>
      <c r="C8" s="38" t="s">
        <v>56</v>
      </c>
      <c r="D8" s="38" t="s">
        <v>103</v>
      </c>
      <c r="E8" s="38" t="s">
        <v>103</v>
      </c>
      <c r="F8" s="39" t="s">
        <v>26</v>
      </c>
      <c r="G8" s="39" t="s">
        <v>26</v>
      </c>
      <c r="H8" s="39" t="s">
        <v>26</v>
      </c>
      <c r="I8" s="39" t="s">
        <v>26</v>
      </c>
      <c r="J8" s="39" t="s">
        <v>26</v>
      </c>
      <c r="K8" s="39" t="s">
        <v>26</v>
      </c>
      <c r="L8" s="39" t="s">
        <v>26</v>
      </c>
      <c r="M8" s="39" t="s">
        <v>26</v>
      </c>
      <c r="N8" s="39" t="s">
        <v>26</v>
      </c>
      <c r="O8" s="39" t="s">
        <v>26</v>
      </c>
      <c r="P8" s="39" t="s">
        <v>26</v>
      </c>
      <c r="Q8" s="39" t="s">
        <v>26</v>
      </c>
      <c r="R8" s="39" t="s">
        <v>26</v>
      </c>
      <c r="S8" s="39" t="s">
        <v>26</v>
      </c>
      <c r="T8" s="39" t="s">
        <v>26</v>
      </c>
      <c r="U8" s="39" t="s">
        <v>26</v>
      </c>
      <c r="V8" s="39" t="s">
        <v>26</v>
      </c>
      <c r="W8" s="39" t="s">
        <v>26</v>
      </c>
      <c r="X8" s="39" t="s">
        <v>26</v>
      </c>
      <c r="Y8" s="39" t="s">
        <v>26</v>
      </c>
      <c r="Z8" s="39" t="s">
        <v>26</v>
      </c>
      <c r="AA8" s="39" t="s">
        <v>26</v>
      </c>
      <c r="AB8" s="39" t="s">
        <v>26</v>
      </c>
      <c r="AC8" s="39"/>
      <c r="AD8" s="39"/>
      <c r="AE8" s="39"/>
      <c r="AF8" s="39"/>
      <c r="AG8" s="39"/>
      <c r="AH8" s="39"/>
      <c r="AI8" s="39"/>
      <c r="AJ8" s="39"/>
      <c r="AK8" s="24">
        <v>23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5">
        <v>0</v>
      </c>
      <c r="AV8" s="25">
        <v>0</v>
      </c>
      <c r="AW8" s="10"/>
    </row>
    <row r="9" spans="1:49" ht="15.75" x14ac:dyDescent="0.25">
      <c r="A9" s="20">
        <v>6</v>
      </c>
      <c r="B9" s="38" t="s">
        <v>57</v>
      </c>
      <c r="C9" s="38" t="s">
        <v>58</v>
      </c>
      <c r="D9" s="38" t="s">
        <v>56</v>
      </c>
      <c r="E9" s="38" t="s">
        <v>103</v>
      </c>
      <c r="F9" s="39" t="s">
        <v>160</v>
      </c>
      <c r="G9" s="39" t="s">
        <v>160</v>
      </c>
      <c r="H9" s="39" t="s">
        <v>1</v>
      </c>
      <c r="I9" s="39" t="s">
        <v>1</v>
      </c>
      <c r="J9" s="39" t="s">
        <v>1</v>
      </c>
      <c r="K9" s="39" t="s">
        <v>1</v>
      </c>
      <c r="L9" s="39" t="s">
        <v>1</v>
      </c>
      <c r="M9" s="39" t="s">
        <v>160</v>
      </c>
      <c r="N9" s="39" t="s">
        <v>160</v>
      </c>
      <c r="O9" s="39" t="s">
        <v>1</v>
      </c>
      <c r="P9" s="39" t="s">
        <v>1</v>
      </c>
      <c r="Q9" s="39" t="s">
        <v>2</v>
      </c>
      <c r="R9" s="39" t="s">
        <v>1</v>
      </c>
      <c r="S9" s="39" t="s">
        <v>1</v>
      </c>
      <c r="T9" s="39" t="s">
        <v>160</v>
      </c>
      <c r="U9" s="39" t="s">
        <v>160</v>
      </c>
      <c r="V9" s="39" t="s">
        <v>2</v>
      </c>
      <c r="W9" s="39" t="s">
        <v>2</v>
      </c>
      <c r="X9" s="39" t="s">
        <v>2</v>
      </c>
      <c r="Y9" s="39" t="s">
        <v>2</v>
      </c>
      <c r="Z9" s="39" t="s">
        <v>2</v>
      </c>
      <c r="AA9" s="39" t="s">
        <v>160</v>
      </c>
      <c r="AB9" s="39" t="s">
        <v>2</v>
      </c>
      <c r="AC9" s="39"/>
      <c r="AD9" s="39"/>
      <c r="AE9" s="39"/>
      <c r="AF9" s="39"/>
      <c r="AG9" s="39"/>
      <c r="AH9" s="39"/>
      <c r="AI9" s="39"/>
      <c r="AJ9" s="39"/>
      <c r="AK9" s="24">
        <v>9</v>
      </c>
      <c r="AL9" s="24">
        <v>7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7</v>
      </c>
      <c r="AU9" s="25">
        <v>0</v>
      </c>
      <c r="AV9" s="25">
        <v>0</v>
      </c>
      <c r="AW9" s="10"/>
    </row>
    <row r="10" spans="1:49" ht="15.75" x14ac:dyDescent="0.25">
      <c r="A10" s="20">
        <v>7</v>
      </c>
      <c r="B10" s="38" t="s">
        <v>59</v>
      </c>
      <c r="C10" s="38" t="s">
        <v>60</v>
      </c>
      <c r="D10" s="38" t="s">
        <v>103</v>
      </c>
      <c r="E10" s="38" t="s">
        <v>103</v>
      </c>
      <c r="F10" s="39" t="s">
        <v>1</v>
      </c>
      <c r="G10" s="39" t="s">
        <v>1</v>
      </c>
      <c r="H10" s="39" t="s">
        <v>1</v>
      </c>
      <c r="I10" s="39" t="s">
        <v>1</v>
      </c>
      <c r="J10" s="39" t="s">
        <v>1</v>
      </c>
      <c r="K10" s="39" t="s">
        <v>26</v>
      </c>
      <c r="L10" s="39" t="s">
        <v>26</v>
      </c>
      <c r="M10" s="39" t="s">
        <v>26</v>
      </c>
      <c r="N10" s="39" t="s">
        <v>26</v>
      </c>
      <c r="O10" s="39" t="s">
        <v>26</v>
      </c>
      <c r="P10" s="39" t="s">
        <v>26</v>
      </c>
      <c r="Q10" s="39" t="s">
        <v>3</v>
      </c>
      <c r="R10" s="39" t="s">
        <v>160</v>
      </c>
      <c r="S10" s="39" t="s">
        <v>26</v>
      </c>
      <c r="T10" s="39" t="s">
        <v>26</v>
      </c>
      <c r="U10" s="39" t="s">
        <v>1</v>
      </c>
      <c r="V10" s="39" t="s">
        <v>26</v>
      </c>
      <c r="W10" s="39" t="s">
        <v>26</v>
      </c>
      <c r="X10" s="39" t="s">
        <v>26</v>
      </c>
      <c r="Y10" s="39" t="s">
        <v>26</v>
      </c>
      <c r="Z10" s="39" t="s">
        <v>26</v>
      </c>
      <c r="AA10" s="39" t="s">
        <v>26</v>
      </c>
      <c r="AB10" s="39" t="s">
        <v>26</v>
      </c>
      <c r="AC10" s="39"/>
      <c r="AD10" s="39"/>
      <c r="AE10" s="39"/>
      <c r="AF10" s="39"/>
      <c r="AG10" s="39"/>
      <c r="AH10" s="39"/>
      <c r="AI10" s="39"/>
      <c r="AJ10" s="39"/>
      <c r="AK10" s="24">
        <v>21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2</v>
      </c>
      <c r="AU10" s="25">
        <v>0</v>
      </c>
      <c r="AV10" s="25">
        <v>0</v>
      </c>
    </row>
    <row r="11" spans="1:49" ht="15.75" x14ac:dyDescent="0.25">
      <c r="A11" s="20">
        <v>8</v>
      </c>
      <c r="B11" s="38" t="s">
        <v>61</v>
      </c>
      <c r="C11" s="38" t="s">
        <v>62</v>
      </c>
      <c r="D11" s="38" t="s">
        <v>56</v>
      </c>
      <c r="E11" s="38" t="s">
        <v>103</v>
      </c>
      <c r="F11" s="39" t="s">
        <v>2</v>
      </c>
      <c r="G11" s="39" t="s">
        <v>160</v>
      </c>
      <c r="H11" s="39" t="s">
        <v>160</v>
      </c>
      <c r="I11" s="39" t="s">
        <v>2</v>
      </c>
      <c r="J11" s="39" t="s">
        <v>2</v>
      </c>
      <c r="K11" s="39" t="s">
        <v>1</v>
      </c>
      <c r="L11" s="39" t="s">
        <v>1</v>
      </c>
      <c r="M11" s="39" t="s">
        <v>1</v>
      </c>
      <c r="N11" s="39" t="s">
        <v>160</v>
      </c>
      <c r="O11" s="39" t="s">
        <v>160</v>
      </c>
      <c r="P11" s="39" t="s">
        <v>1</v>
      </c>
      <c r="Q11" s="39" t="s">
        <v>1</v>
      </c>
      <c r="R11" s="39" t="s">
        <v>1</v>
      </c>
      <c r="S11" s="39" t="s">
        <v>1</v>
      </c>
      <c r="T11" s="39" t="s">
        <v>1</v>
      </c>
      <c r="U11" s="39" t="s">
        <v>160</v>
      </c>
      <c r="V11" s="39" t="s">
        <v>160</v>
      </c>
      <c r="W11" s="39" t="s">
        <v>1</v>
      </c>
      <c r="X11" s="39" t="s">
        <v>1</v>
      </c>
      <c r="Y11" s="39" t="s">
        <v>1</v>
      </c>
      <c r="Z11" s="39" t="s">
        <v>1</v>
      </c>
      <c r="AA11" s="39" t="s">
        <v>1</v>
      </c>
      <c r="AB11" s="39" t="s">
        <v>3</v>
      </c>
      <c r="AC11" s="39"/>
      <c r="AD11" s="39"/>
      <c r="AE11" s="39"/>
      <c r="AF11" s="39"/>
      <c r="AG11" s="39"/>
      <c r="AH11" s="39"/>
      <c r="AI11" s="39"/>
      <c r="AJ11" s="39"/>
      <c r="AK11" s="24">
        <v>13</v>
      </c>
      <c r="AL11" s="24">
        <v>3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7</v>
      </c>
      <c r="AU11" s="25">
        <v>0</v>
      </c>
      <c r="AV11" s="25">
        <v>0</v>
      </c>
    </row>
    <row r="12" spans="1:49" ht="15.75" x14ac:dyDescent="0.25">
      <c r="A12" s="20">
        <v>9</v>
      </c>
      <c r="B12" s="38" t="s">
        <v>63</v>
      </c>
      <c r="C12" s="38" t="s">
        <v>64</v>
      </c>
      <c r="D12" s="38" t="s">
        <v>103</v>
      </c>
      <c r="E12" s="38" t="s">
        <v>103</v>
      </c>
      <c r="F12" s="39" t="s">
        <v>161</v>
      </c>
      <c r="G12" s="39" t="s">
        <v>161</v>
      </c>
      <c r="H12" s="39" t="s">
        <v>161</v>
      </c>
      <c r="I12" s="39" t="s">
        <v>161</v>
      </c>
      <c r="J12" s="39" t="s">
        <v>161</v>
      </c>
      <c r="K12" s="39" t="s">
        <v>161</v>
      </c>
      <c r="L12" s="39" t="s">
        <v>161</v>
      </c>
      <c r="M12" s="39" t="s">
        <v>161</v>
      </c>
      <c r="N12" s="39" t="s">
        <v>161</v>
      </c>
      <c r="O12" s="39" t="s">
        <v>161</v>
      </c>
      <c r="P12" s="39" t="s">
        <v>161</v>
      </c>
      <c r="Q12" s="39" t="s">
        <v>161</v>
      </c>
      <c r="R12" s="39" t="s">
        <v>161</v>
      </c>
      <c r="S12" s="39" t="s">
        <v>161</v>
      </c>
      <c r="T12" s="39" t="s">
        <v>161</v>
      </c>
      <c r="U12" s="39" t="s">
        <v>161</v>
      </c>
      <c r="V12" s="39" t="s">
        <v>161</v>
      </c>
      <c r="W12" s="39" t="s">
        <v>161</v>
      </c>
      <c r="X12" s="39" t="s">
        <v>161</v>
      </c>
      <c r="Y12" s="39" t="s">
        <v>161</v>
      </c>
      <c r="Z12" s="39" t="s">
        <v>161</v>
      </c>
      <c r="AA12" s="39" t="s">
        <v>161</v>
      </c>
      <c r="AB12" s="39" t="s">
        <v>161</v>
      </c>
      <c r="AC12" s="39"/>
      <c r="AD12" s="39"/>
      <c r="AE12" s="39"/>
      <c r="AF12" s="39"/>
      <c r="AG12" s="39"/>
      <c r="AH12" s="39"/>
      <c r="AI12" s="39"/>
      <c r="AJ12" s="39"/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5">
        <v>0</v>
      </c>
      <c r="AV12" s="25">
        <v>0</v>
      </c>
      <c r="AW12" s="10"/>
    </row>
    <row r="13" spans="1:49" ht="15.75" x14ac:dyDescent="0.25">
      <c r="A13" s="20">
        <v>10</v>
      </c>
      <c r="B13" s="38" t="s">
        <v>65</v>
      </c>
      <c r="C13" s="38" t="s">
        <v>66</v>
      </c>
      <c r="D13" s="38" t="s">
        <v>51</v>
      </c>
      <c r="E13" s="38" t="s">
        <v>103</v>
      </c>
      <c r="F13" s="39" t="s">
        <v>1</v>
      </c>
      <c r="G13" s="39" t="s">
        <v>1</v>
      </c>
      <c r="H13" s="39" t="s">
        <v>1</v>
      </c>
      <c r="I13" s="39" t="s">
        <v>160</v>
      </c>
      <c r="J13" s="39" t="s">
        <v>1</v>
      </c>
      <c r="K13" s="39" t="s">
        <v>1</v>
      </c>
      <c r="L13" s="39" t="s">
        <v>1</v>
      </c>
      <c r="M13" s="39" t="s">
        <v>1</v>
      </c>
      <c r="N13" s="39" t="s">
        <v>1</v>
      </c>
      <c r="O13" s="39" t="s">
        <v>1</v>
      </c>
      <c r="P13" s="39" t="s">
        <v>1</v>
      </c>
      <c r="Q13" s="39" t="s">
        <v>1</v>
      </c>
      <c r="R13" s="39" t="s">
        <v>21</v>
      </c>
      <c r="S13" s="39" t="s">
        <v>160</v>
      </c>
      <c r="T13" s="39" t="s">
        <v>160</v>
      </c>
      <c r="U13" s="39" t="s">
        <v>160</v>
      </c>
      <c r="V13" s="39" t="s">
        <v>160</v>
      </c>
      <c r="W13" s="39" t="s">
        <v>1</v>
      </c>
      <c r="X13" s="39" t="s">
        <v>1</v>
      </c>
      <c r="Y13" s="39" t="s">
        <v>1</v>
      </c>
      <c r="Z13" s="39" t="s">
        <v>1</v>
      </c>
      <c r="AA13" s="39" t="s">
        <v>1</v>
      </c>
      <c r="AB13" s="39" t="s">
        <v>1</v>
      </c>
      <c r="AC13" s="39"/>
      <c r="AD13" s="39"/>
      <c r="AE13" s="39"/>
      <c r="AF13" s="39"/>
      <c r="AG13" s="39"/>
      <c r="AH13" s="39"/>
      <c r="AI13" s="39"/>
      <c r="AJ13" s="39"/>
      <c r="AK13" s="24">
        <v>17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1</v>
      </c>
      <c r="AR13" s="24">
        <v>0</v>
      </c>
      <c r="AS13" s="24">
        <v>0</v>
      </c>
      <c r="AT13" s="24">
        <v>5</v>
      </c>
      <c r="AU13" s="25">
        <v>0</v>
      </c>
      <c r="AV13" s="25">
        <v>0</v>
      </c>
      <c r="AW13" s="10"/>
    </row>
    <row r="14" spans="1:49" ht="15.75" x14ac:dyDescent="0.25">
      <c r="A14" s="20">
        <v>11</v>
      </c>
      <c r="B14" s="38" t="s">
        <v>67</v>
      </c>
      <c r="C14" s="38" t="s">
        <v>68</v>
      </c>
      <c r="D14" s="38" t="s">
        <v>56</v>
      </c>
      <c r="E14" s="38" t="s">
        <v>103</v>
      </c>
      <c r="F14" s="39" t="s">
        <v>1</v>
      </c>
      <c r="G14" s="39" t="s">
        <v>160</v>
      </c>
      <c r="H14" s="39" t="s">
        <v>1</v>
      </c>
      <c r="I14" s="39" t="s">
        <v>1</v>
      </c>
      <c r="J14" s="39" t="s">
        <v>160</v>
      </c>
      <c r="K14" s="39" t="s">
        <v>1</v>
      </c>
      <c r="L14" s="39" t="s">
        <v>1</v>
      </c>
      <c r="M14" s="39" t="s">
        <v>1</v>
      </c>
      <c r="N14" s="39" t="s">
        <v>1</v>
      </c>
      <c r="O14" s="39" t="s">
        <v>1</v>
      </c>
      <c r="P14" s="39" t="s">
        <v>1</v>
      </c>
      <c r="Q14" s="39" t="s">
        <v>160</v>
      </c>
      <c r="R14" s="39" t="s">
        <v>160</v>
      </c>
      <c r="S14" s="39" t="s">
        <v>1</v>
      </c>
      <c r="T14" s="39" t="s">
        <v>1</v>
      </c>
      <c r="U14" s="39" t="s">
        <v>160</v>
      </c>
      <c r="V14" s="39" t="s">
        <v>1</v>
      </c>
      <c r="W14" s="39" t="s">
        <v>160</v>
      </c>
      <c r="X14" s="39" t="s">
        <v>1</v>
      </c>
      <c r="Y14" s="39" t="s">
        <v>1</v>
      </c>
      <c r="Z14" s="39" t="s">
        <v>1</v>
      </c>
      <c r="AA14" s="39" t="s">
        <v>1</v>
      </c>
      <c r="AB14" s="39" t="s">
        <v>3</v>
      </c>
      <c r="AC14" s="39"/>
      <c r="AD14" s="39"/>
      <c r="AE14" s="39"/>
      <c r="AF14" s="39"/>
      <c r="AG14" s="39"/>
      <c r="AH14" s="39"/>
      <c r="AI14" s="39"/>
      <c r="AJ14" s="39"/>
      <c r="AK14" s="24">
        <v>16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7</v>
      </c>
      <c r="AU14" s="25">
        <v>0</v>
      </c>
      <c r="AV14" s="25">
        <v>0</v>
      </c>
      <c r="AW14" s="10"/>
    </row>
    <row r="15" spans="1:49" ht="15.75" x14ac:dyDescent="0.25">
      <c r="A15" s="20">
        <v>12</v>
      </c>
      <c r="B15" s="38" t="s">
        <v>69</v>
      </c>
      <c r="C15" s="38" t="s">
        <v>70</v>
      </c>
      <c r="D15" s="38" t="s">
        <v>60</v>
      </c>
      <c r="E15" s="38" t="s">
        <v>103</v>
      </c>
      <c r="F15" s="39" t="s">
        <v>1</v>
      </c>
      <c r="G15" s="39" t="s">
        <v>160</v>
      </c>
      <c r="H15" s="39" t="s">
        <v>160</v>
      </c>
      <c r="I15" s="39" t="s">
        <v>2</v>
      </c>
      <c r="J15" s="39" t="s">
        <v>2</v>
      </c>
      <c r="K15" s="39" t="s">
        <v>1</v>
      </c>
      <c r="L15" s="39" t="s">
        <v>1</v>
      </c>
      <c r="M15" s="39" t="s">
        <v>1</v>
      </c>
      <c r="N15" s="39" t="s">
        <v>160</v>
      </c>
      <c r="O15" s="39" t="s">
        <v>1</v>
      </c>
      <c r="P15" s="39" t="s">
        <v>1</v>
      </c>
      <c r="Q15" s="39" t="s">
        <v>1</v>
      </c>
      <c r="R15" s="39" t="s">
        <v>160</v>
      </c>
      <c r="S15" s="39" t="s">
        <v>1</v>
      </c>
      <c r="T15" s="39" t="s">
        <v>1</v>
      </c>
      <c r="U15" s="39" t="s">
        <v>160</v>
      </c>
      <c r="V15" s="39" t="s">
        <v>1</v>
      </c>
      <c r="W15" s="39" t="s">
        <v>1</v>
      </c>
      <c r="X15" s="39" t="s">
        <v>1</v>
      </c>
      <c r="Y15" s="39" t="s">
        <v>1</v>
      </c>
      <c r="Z15" s="39" t="s">
        <v>160</v>
      </c>
      <c r="AA15" s="39" t="s">
        <v>1</v>
      </c>
      <c r="AB15" s="39" t="s">
        <v>1</v>
      </c>
      <c r="AC15" s="39"/>
      <c r="AD15" s="39"/>
      <c r="AE15" s="39"/>
      <c r="AF15" s="39"/>
      <c r="AG15" s="39"/>
      <c r="AH15" s="39"/>
      <c r="AI15" s="39"/>
      <c r="AJ15" s="39"/>
      <c r="AK15" s="24">
        <v>15</v>
      </c>
      <c r="AL15" s="24">
        <v>2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6</v>
      </c>
      <c r="AU15" s="25">
        <v>0</v>
      </c>
      <c r="AV15" s="25">
        <v>0</v>
      </c>
      <c r="AW15" s="10"/>
    </row>
    <row r="16" spans="1:49" ht="15.75" x14ac:dyDescent="0.25">
      <c r="A16" s="20">
        <v>13</v>
      </c>
      <c r="B16" s="38" t="s">
        <v>71</v>
      </c>
      <c r="C16" s="38" t="s">
        <v>72</v>
      </c>
      <c r="D16" s="38" t="s">
        <v>56</v>
      </c>
      <c r="E16" s="38" t="s">
        <v>103</v>
      </c>
      <c r="F16" s="39" t="s">
        <v>1</v>
      </c>
      <c r="G16" s="39" t="s">
        <v>1</v>
      </c>
      <c r="H16" s="39" t="s">
        <v>160</v>
      </c>
      <c r="I16" s="39" t="s">
        <v>1</v>
      </c>
      <c r="J16" s="39" t="s">
        <v>1</v>
      </c>
      <c r="K16" s="39" t="s">
        <v>1</v>
      </c>
      <c r="L16" s="39" t="s">
        <v>1</v>
      </c>
      <c r="M16" s="39" t="s">
        <v>1</v>
      </c>
      <c r="N16" s="39" t="s">
        <v>1</v>
      </c>
      <c r="O16" s="39" t="s">
        <v>160</v>
      </c>
      <c r="P16" s="39" t="s">
        <v>160</v>
      </c>
      <c r="Q16" s="39" t="s">
        <v>1</v>
      </c>
      <c r="R16" s="39" t="s">
        <v>1</v>
      </c>
      <c r="S16" s="39" t="s">
        <v>1</v>
      </c>
      <c r="T16" s="39" t="s">
        <v>1</v>
      </c>
      <c r="U16" s="39" t="s">
        <v>2</v>
      </c>
      <c r="V16" s="39" t="s">
        <v>160</v>
      </c>
      <c r="W16" s="39" t="s">
        <v>160</v>
      </c>
      <c r="X16" s="39" t="s">
        <v>1</v>
      </c>
      <c r="Y16" s="39" t="s">
        <v>1</v>
      </c>
      <c r="Z16" s="39" t="s">
        <v>1</v>
      </c>
      <c r="AA16" s="39" t="s">
        <v>1</v>
      </c>
      <c r="AB16" s="39" t="s">
        <v>1</v>
      </c>
      <c r="AC16" s="39"/>
      <c r="AD16" s="39"/>
      <c r="AE16" s="39"/>
      <c r="AF16" s="39"/>
      <c r="AG16" s="39"/>
      <c r="AH16" s="39"/>
      <c r="AI16" s="39"/>
      <c r="AJ16" s="39"/>
      <c r="AK16" s="24">
        <v>17</v>
      </c>
      <c r="AL16" s="24">
        <v>1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5</v>
      </c>
      <c r="AU16" s="25">
        <v>0</v>
      </c>
      <c r="AV16" s="25">
        <v>0</v>
      </c>
    </row>
    <row r="17" spans="1:49" ht="15.75" x14ac:dyDescent="0.25">
      <c r="A17" s="20">
        <v>14</v>
      </c>
      <c r="B17" s="38" t="s">
        <v>73</v>
      </c>
      <c r="C17" s="38" t="s">
        <v>74</v>
      </c>
      <c r="D17" s="38" t="s">
        <v>60</v>
      </c>
      <c r="E17" s="38" t="s">
        <v>103</v>
      </c>
      <c r="F17" s="39" t="s">
        <v>1</v>
      </c>
      <c r="G17" s="39" t="s">
        <v>1</v>
      </c>
      <c r="H17" s="39" t="s">
        <v>160</v>
      </c>
      <c r="I17" s="39" t="s">
        <v>3</v>
      </c>
      <c r="J17" s="39" t="s">
        <v>1</v>
      </c>
      <c r="K17" s="39" t="s">
        <v>1</v>
      </c>
      <c r="L17" s="39" t="s">
        <v>1</v>
      </c>
      <c r="M17" s="39" t="s">
        <v>1</v>
      </c>
      <c r="N17" s="39" t="s">
        <v>1</v>
      </c>
      <c r="O17" s="39" t="s">
        <v>160</v>
      </c>
      <c r="P17" s="39" t="s">
        <v>1</v>
      </c>
      <c r="Q17" s="39" t="s">
        <v>1</v>
      </c>
      <c r="R17" s="39" t="s">
        <v>1</v>
      </c>
      <c r="S17" s="39" t="s">
        <v>1</v>
      </c>
      <c r="T17" s="39" t="s">
        <v>3</v>
      </c>
      <c r="U17" s="39" t="s">
        <v>1</v>
      </c>
      <c r="V17" s="39" t="s">
        <v>1</v>
      </c>
      <c r="W17" s="39" t="s">
        <v>1</v>
      </c>
      <c r="X17" s="39" t="s">
        <v>1</v>
      </c>
      <c r="Y17" s="39" t="s">
        <v>1</v>
      </c>
      <c r="Z17" s="39" t="s">
        <v>160</v>
      </c>
      <c r="AA17" s="39" t="s">
        <v>160</v>
      </c>
      <c r="AB17" s="39" t="s">
        <v>3</v>
      </c>
      <c r="AC17" s="39"/>
      <c r="AD17" s="39"/>
      <c r="AE17" s="39"/>
      <c r="AF17" s="39"/>
      <c r="AG17" s="39"/>
      <c r="AH17" s="39"/>
      <c r="AI17" s="39"/>
      <c r="AJ17" s="39"/>
      <c r="AK17" s="24">
        <v>16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7</v>
      </c>
      <c r="AU17" s="25">
        <v>0</v>
      </c>
      <c r="AV17" s="25">
        <v>0</v>
      </c>
    </row>
    <row r="18" spans="1:49" ht="15.75" x14ac:dyDescent="0.25">
      <c r="A18" s="20">
        <v>15</v>
      </c>
      <c r="B18" s="38" t="s">
        <v>75</v>
      </c>
      <c r="C18" s="38" t="s">
        <v>76</v>
      </c>
      <c r="D18" s="38" t="s">
        <v>60</v>
      </c>
      <c r="E18" s="38" t="s">
        <v>103</v>
      </c>
      <c r="F18" s="39" t="s">
        <v>1</v>
      </c>
      <c r="G18" s="39" t="s">
        <v>1</v>
      </c>
      <c r="H18" s="39" t="s">
        <v>160</v>
      </c>
      <c r="I18" s="39" t="s">
        <v>1</v>
      </c>
      <c r="J18" s="39" t="s">
        <v>1</v>
      </c>
      <c r="K18" s="39" t="s">
        <v>1</v>
      </c>
      <c r="L18" s="39" t="s">
        <v>1</v>
      </c>
      <c r="M18" s="39" t="s">
        <v>1</v>
      </c>
      <c r="N18" s="39" t="s">
        <v>1</v>
      </c>
      <c r="O18" s="39" t="s">
        <v>160</v>
      </c>
      <c r="P18" s="39" t="s">
        <v>1</v>
      </c>
      <c r="Q18" s="39" t="s">
        <v>1</v>
      </c>
      <c r="R18" s="39" t="s">
        <v>1</v>
      </c>
      <c r="S18" s="39" t="s">
        <v>1</v>
      </c>
      <c r="T18" s="39" t="s">
        <v>3</v>
      </c>
      <c r="U18" s="39" t="s">
        <v>1</v>
      </c>
      <c r="V18" s="39" t="s">
        <v>1</v>
      </c>
      <c r="W18" s="39" t="s">
        <v>1</v>
      </c>
      <c r="X18" s="39" t="s">
        <v>1</v>
      </c>
      <c r="Y18" s="39" t="s">
        <v>1</v>
      </c>
      <c r="Z18" s="39" t="s">
        <v>160</v>
      </c>
      <c r="AA18" s="39" t="s">
        <v>160</v>
      </c>
      <c r="AB18" s="39" t="s">
        <v>1</v>
      </c>
      <c r="AC18" s="39"/>
      <c r="AD18" s="39"/>
      <c r="AE18" s="39"/>
      <c r="AF18" s="39"/>
      <c r="AG18" s="39"/>
      <c r="AH18" s="39"/>
      <c r="AI18" s="39"/>
      <c r="AJ18" s="39"/>
      <c r="AK18" s="24">
        <v>18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5</v>
      </c>
      <c r="AU18" s="25">
        <v>0</v>
      </c>
      <c r="AV18" s="25">
        <v>0</v>
      </c>
    </row>
    <row r="19" spans="1:49" ht="15.75" x14ac:dyDescent="0.25">
      <c r="A19" s="20">
        <v>16</v>
      </c>
      <c r="B19" s="38" t="s">
        <v>77</v>
      </c>
      <c r="C19" s="38" t="s">
        <v>78</v>
      </c>
      <c r="D19" s="38" t="s">
        <v>51</v>
      </c>
      <c r="E19" s="38" t="s">
        <v>103</v>
      </c>
      <c r="F19" s="39" t="s">
        <v>1</v>
      </c>
      <c r="G19" s="39" t="s">
        <v>160</v>
      </c>
      <c r="H19" s="39" t="s">
        <v>1</v>
      </c>
      <c r="I19" s="39" t="s">
        <v>1</v>
      </c>
      <c r="J19" s="39" t="s">
        <v>3</v>
      </c>
      <c r="K19" s="39" t="s">
        <v>1</v>
      </c>
      <c r="L19" s="39" t="s">
        <v>1</v>
      </c>
      <c r="M19" s="39" t="s">
        <v>1</v>
      </c>
      <c r="N19" s="39" t="s">
        <v>160</v>
      </c>
      <c r="O19" s="39" t="s">
        <v>1</v>
      </c>
      <c r="P19" s="39" t="s">
        <v>1</v>
      </c>
      <c r="Q19" s="39" t="s">
        <v>1</v>
      </c>
      <c r="R19" s="39" t="s">
        <v>1</v>
      </c>
      <c r="S19" s="39" t="s">
        <v>1</v>
      </c>
      <c r="T19" s="39" t="s">
        <v>1</v>
      </c>
      <c r="U19" s="39" t="s">
        <v>160</v>
      </c>
      <c r="V19" s="39" t="s">
        <v>1</v>
      </c>
      <c r="W19" s="39" t="s">
        <v>1</v>
      </c>
      <c r="X19" s="39" t="s">
        <v>1</v>
      </c>
      <c r="Y19" s="39" t="s">
        <v>1</v>
      </c>
      <c r="Z19" s="39" t="s">
        <v>1</v>
      </c>
      <c r="AA19" s="39" t="s">
        <v>1</v>
      </c>
      <c r="AB19" s="39" t="s">
        <v>3</v>
      </c>
      <c r="AC19" s="39"/>
      <c r="AD19" s="39"/>
      <c r="AE19" s="39"/>
      <c r="AF19" s="39"/>
      <c r="AG19" s="39"/>
      <c r="AH19" s="39"/>
      <c r="AI19" s="39"/>
      <c r="AJ19" s="39"/>
      <c r="AK19" s="24">
        <v>18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5</v>
      </c>
      <c r="AU19" s="25">
        <v>0</v>
      </c>
      <c r="AV19" s="25">
        <v>0</v>
      </c>
    </row>
    <row r="20" spans="1:49" ht="15.75" x14ac:dyDescent="0.25">
      <c r="A20" s="20">
        <v>17</v>
      </c>
      <c r="B20" s="38" t="s">
        <v>79</v>
      </c>
      <c r="C20" s="38" t="s">
        <v>80</v>
      </c>
      <c r="D20" s="38" t="s">
        <v>56</v>
      </c>
      <c r="E20" s="38" t="s">
        <v>103</v>
      </c>
      <c r="F20" s="39" t="s">
        <v>160</v>
      </c>
      <c r="G20" s="39" t="s">
        <v>1</v>
      </c>
      <c r="H20" s="39" t="s">
        <v>1</v>
      </c>
      <c r="I20" s="39" t="s">
        <v>1</v>
      </c>
      <c r="J20" s="39" t="s">
        <v>1</v>
      </c>
      <c r="K20" s="39" t="s">
        <v>1</v>
      </c>
      <c r="L20" s="39" t="s">
        <v>160</v>
      </c>
      <c r="M20" s="39" t="s">
        <v>160</v>
      </c>
      <c r="N20" s="39" t="s">
        <v>1</v>
      </c>
      <c r="O20" s="39" t="s">
        <v>1</v>
      </c>
      <c r="P20" s="39" t="s">
        <v>1</v>
      </c>
      <c r="Q20" s="39" t="s">
        <v>1</v>
      </c>
      <c r="R20" s="39" t="s">
        <v>1</v>
      </c>
      <c r="S20" s="39" t="s">
        <v>160</v>
      </c>
      <c r="T20" s="39" t="s">
        <v>160</v>
      </c>
      <c r="U20" s="39" t="s">
        <v>1</v>
      </c>
      <c r="V20" s="39" t="s">
        <v>160</v>
      </c>
      <c r="W20" s="39" t="s">
        <v>1</v>
      </c>
      <c r="X20" s="39" t="s">
        <v>1</v>
      </c>
      <c r="Y20" s="39" t="s">
        <v>1</v>
      </c>
      <c r="Z20" s="39" t="s">
        <v>160</v>
      </c>
      <c r="AA20" s="39" t="s">
        <v>2</v>
      </c>
      <c r="AB20" s="39" t="s">
        <v>1</v>
      </c>
      <c r="AC20" s="39"/>
      <c r="AD20" s="39"/>
      <c r="AE20" s="39"/>
      <c r="AF20" s="39"/>
      <c r="AG20" s="39"/>
      <c r="AH20" s="39"/>
      <c r="AI20" s="39"/>
      <c r="AJ20" s="39"/>
      <c r="AK20" s="24">
        <v>15</v>
      </c>
      <c r="AL20" s="24">
        <v>1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7</v>
      </c>
      <c r="AU20" s="25">
        <v>0</v>
      </c>
      <c r="AV20" s="25">
        <v>0</v>
      </c>
      <c r="AW20" s="10"/>
    </row>
    <row r="21" spans="1:49" ht="15.75" x14ac:dyDescent="0.25">
      <c r="A21" s="20">
        <v>18</v>
      </c>
      <c r="B21" s="38" t="s">
        <v>81</v>
      </c>
      <c r="C21" s="38" t="s">
        <v>82</v>
      </c>
      <c r="D21" s="38" t="s">
        <v>56</v>
      </c>
      <c r="E21" s="38" t="s">
        <v>103</v>
      </c>
      <c r="F21" s="39" t="s">
        <v>160</v>
      </c>
      <c r="G21" s="39" t="s">
        <v>1</v>
      </c>
      <c r="H21" s="39" t="s">
        <v>160</v>
      </c>
      <c r="I21" s="39" t="s">
        <v>1</v>
      </c>
      <c r="J21" s="39" t="s">
        <v>1</v>
      </c>
      <c r="K21" s="39" t="s">
        <v>1</v>
      </c>
      <c r="L21" s="39" t="s">
        <v>1</v>
      </c>
      <c r="M21" s="39" t="s">
        <v>160</v>
      </c>
      <c r="N21" s="39" t="s">
        <v>1</v>
      </c>
      <c r="O21" s="39" t="s">
        <v>1</v>
      </c>
      <c r="P21" s="39" t="s">
        <v>1</v>
      </c>
      <c r="Q21" s="39" t="s">
        <v>1</v>
      </c>
      <c r="R21" s="39" t="s">
        <v>160</v>
      </c>
      <c r="S21" s="39" t="s">
        <v>1</v>
      </c>
      <c r="T21" s="39" t="s">
        <v>160</v>
      </c>
      <c r="U21" s="39" t="s">
        <v>162</v>
      </c>
      <c r="V21" s="39" t="s">
        <v>1</v>
      </c>
      <c r="W21" s="39" t="s">
        <v>1</v>
      </c>
      <c r="X21" s="39" t="s">
        <v>1</v>
      </c>
      <c r="Y21" s="39" t="s">
        <v>1</v>
      </c>
      <c r="Z21" s="39" t="s">
        <v>1</v>
      </c>
      <c r="AA21" s="39" t="s">
        <v>160</v>
      </c>
      <c r="AB21" s="39" t="s">
        <v>3</v>
      </c>
      <c r="AC21" s="39"/>
      <c r="AD21" s="39"/>
      <c r="AE21" s="39"/>
      <c r="AF21" s="39"/>
      <c r="AG21" s="39"/>
      <c r="AH21" s="39"/>
      <c r="AI21" s="39"/>
      <c r="AJ21" s="39"/>
      <c r="AK21" s="24">
        <v>15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8</v>
      </c>
      <c r="AU21" s="25">
        <v>0</v>
      </c>
      <c r="AV21" s="25">
        <v>0</v>
      </c>
    </row>
    <row r="22" spans="1:49" ht="15.75" x14ac:dyDescent="0.25">
      <c r="A22" s="20">
        <v>19</v>
      </c>
      <c r="B22" s="38" t="s">
        <v>83</v>
      </c>
      <c r="C22" s="38" t="s">
        <v>84</v>
      </c>
      <c r="D22" s="38" t="s">
        <v>56</v>
      </c>
      <c r="E22" s="38" t="s">
        <v>103</v>
      </c>
      <c r="F22" s="39" t="s">
        <v>3</v>
      </c>
      <c r="G22" s="39" t="s">
        <v>1</v>
      </c>
      <c r="H22" s="39" t="s">
        <v>1</v>
      </c>
      <c r="I22" s="39" t="s">
        <v>1</v>
      </c>
      <c r="J22" s="39" t="s">
        <v>162</v>
      </c>
      <c r="K22" s="39" t="s">
        <v>1</v>
      </c>
      <c r="L22" s="39" t="s">
        <v>1</v>
      </c>
      <c r="M22" s="39" t="s">
        <v>160</v>
      </c>
      <c r="N22" s="39" t="s">
        <v>1</v>
      </c>
      <c r="O22" s="39" t="s">
        <v>1</v>
      </c>
      <c r="P22" s="39" t="s">
        <v>1</v>
      </c>
      <c r="Q22" s="39" t="s">
        <v>162</v>
      </c>
      <c r="R22" s="39" t="s">
        <v>1</v>
      </c>
      <c r="S22" s="39" t="s">
        <v>1</v>
      </c>
      <c r="T22" s="39" t="s">
        <v>160</v>
      </c>
      <c r="U22" s="39" t="s">
        <v>1</v>
      </c>
      <c r="V22" s="39" t="s">
        <v>1</v>
      </c>
      <c r="W22" s="39" t="s">
        <v>1</v>
      </c>
      <c r="X22" s="39" t="s">
        <v>160</v>
      </c>
      <c r="Y22" s="39" t="s">
        <v>1</v>
      </c>
      <c r="Z22" s="39" t="s">
        <v>1</v>
      </c>
      <c r="AA22" s="39" t="s">
        <v>160</v>
      </c>
      <c r="AB22" s="39" t="s">
        <v>1</v>
      </c>
      <c r="AC22" s="39"/>
      <c r="AD22" s="39"/>
      <c r="AE22" s="39"/>
      <c r="AF22" s="39"/>
      <c r="AG22" s="39"/>
      <c r="AH22" s="39"/>
      <c r="AI22" s="39"/>
      <c r="AJ22" s="39"/>
      <c r="AK22" s="24">
        <v>16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7</v>
      </c>
      <c r="AU22" s="25">
        <v>0</v>
      </c>
      <c r="AV22" s="25">
        <v>0</v>
      </c>
      <c r="AW22" s="10"/>
    </row>
    <row r="23" spans="1:49" ht="15.75" x14ac:dyDescent="0.25">
      <c r="A23" s="20">
        <v>20</v>
      </c>
      <c r="B23" s="38" t="s">
        <v>85</v>
      </c>
      <c r="C23" s="38" t="s">
        <v>86</v>
      </c>
      <c r="D23" s="38" t="s">
        <v>60</v>
      </c>
      <c r="E23" s="38" t="s">
        <v>103</v>
      </c>
      <c r="F23" s="39" t="s">
        <v>160</v>
      </c>
      <c r="G23" s="39" t="s">
        <v>1</v>
      </c>
      <c r="H23" s="39" t="s">
        <v>1</v>
      </c>
      <c r="I23" s="39" t="s">
        <v>1</v>
      </c>
      <c r="J23" s="39" t="s">
        <v>1</v>
      </c>
      <c r="K23" s="39" t="s">
        <v>160</v>
      </c>
      <c r="L23" s="39" t="s">
        <v>160</v>
      </c>
      <c r="M23" s="39" t="s">
        <v>1</v>
      </c>
      <c r="N23" s="39" t="s">
        <v>1</v>
      </c>
      <c r="O23" s="39" t="s">
        <v>1</v>
      </c>
      <c r="P23" s="39" t="s">
        <v>1</v>
      </c>
      <c r="Q23" s="39" t="s">
        <v>1</v>
      </c>
      <c r="R23" s="39" t="s">
        <v>160</v>
      </c>
      <c r="S23" s="39" t="s">
        <v>160</v>
      </c>
      <c r="T23" s="39" t="s">
        <v>1</v>
      </c>
      <c r="U23" s="39" t="s">
        <v>1</v>
      </c>
      <c r="V23" s="39" t="s">
        <v>1</v>
      </c>
      <c r="W23" s="39" t="s">
        <v>2</v>
      </c>
      <c r="X23" s="39" t="s">
        <v>160</v>
      </c>
      <c r="Y23" s="39" t="s">
        <v>1</v>
      </c>
      <c r="Z23" s="39" t="s">
        <v>160</v>
      </c>
      <c r="AA23" s="39" t="s">
        <v>1</v>
      </c>
      <c r="AB23" s="39" t="s">
        <v>1</v>
      </c>
      <c r="AC23" s="39"/>
      <c r="AD23" s="39"/>
      <c r="AE23" s="39"/>
      <c r="AF23" s="39"/>
      <c r="AG23" s="39"/>
      <c r="AH23" s="39"/>
      <c r="AI23" s="39"/>
      <c r="AJ23" s="39"/>
      <c r="AK23" s="24">
        <v>15</v>
      </c>
      <c r="AL23" s="24">
        <v>1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7</v>
      </c>
      <c r="AU23" s="25">
        <v>0</v>
      </c>
      <c r="AV23" s="25">
        <v>0</v>
      </c>
    </row>
    <row r="24" spans="1:49" ht="15.75" x14ac:dyDescent="0.25">
      <c r="A24" s="20">
        <v>21</v>
      </c>
      <c r="B24" s="38" t="s">
        <v>87</v>
      </c>
      <c r="C24" s="38" t="s">
        <v>88</v>
      </c>
      <c r="D24" s="38" t="s">
        <v>60</v>
      </c>
      <c r="E24" s="38" t="s">
        <v>103</v>
      </c>
      <c r="F24" s="39" t="s">
        <v>160</v>
      </c>
      <c r="G24" s="39" t="s">
        <v>1</v>
      </c>
      <c r="H24" s="39" t="s">
        <v>1</v>
      </c>
      <c r="I24" s="39" t="s">
        <v>1</v>
      </c>
      <c r="J24" s="39" t="s">
        <v>1</v>
      </c>
      <c r="K24" s="39" t="s">
        <v>1</v>
      </c>
      <c r="L24" s="39" t="s">
        <v>1</v>
      </c>
      <c r="M24" s="39" t="s">
        <v>160</v>
      </c>
      <c r="N24" s="39" t="s">
        <v>1</v>
      </c>
      <c r="O24" s="39" t="s">
        <v>1</v>
      </c>
      <c r="P24" s="39" t="s">
        <v>1</v>
      </c>
      <c r="Q24" s="39" t="s">
        <v>1</v>
      </c>
      <c r="R24" s="39" t="s">
        <v>1</v>
      </c>
      <c r="S24" s="39" t="s">
        <v>3</v>
      </c>
      <c r="T24" s="39" t="s">
        <v>3</v>
      </c>
      <c r="U24" s="39" t="s">
        <v>1</v>
      </c>
      <c r="V24" s="39" t="s">
        <v>1</v>
      </c>
      <c r="W24" s="39" t="s">
        <v>1</v>
      </c>
      <c r="X24" s="39" t="s">
        <v>1</v>
      </c>
      <c r="Y24" s="39" t="s">
        <v>1</v>
      </c>
      <c r="Z24" s="39" t="s">
        <v>3</v>
      </c>
      <c r="AA24" s="39" t="s">
        <v>160</v>
      </c>
      <c r="AB24" s="39" t="s">
        <v>3</v>
      </c>
      <c r="AC24" s="39"/>
      <c r="AD24" s="39"/>
      <c r="AE24" s="39"/>
      <c r="AF24" s="39"/>
      <c r="AG24" s="39"/>
      <c r="AH24" s="39"/>
      <c r="AI24" s="39"/>
      <c r="AJ24" s="39"/>
      <c r="AK24" s="24">
        <v>16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7</v>
      </c>
      <c r="AU24" s="25">
        <v>0</v>
      </c>
      <c r="AV24" s="25">
        <v>0</v>
      </c>
    </row>
    <row r="25" spans="1:49" ht="15.75" x14ac:dyDescent="0.25">
      <c r="A25" s="20">
        <v>22</v>
      </c>
      <c r="B25" s="38" t="s">
        <v>89</v>
      </c>
      <c r="C25" s="38" t="s">
        <v>90</v>
      </c>
      <c r="D25" s="38" t="s">
        <v>56</v>
      </c>
      <c r="E25" s="38" t="s">
        <v>103</v>
      </c>
      <c r="F25" s="39" t="s">
        <v>160</v>
      </c>
      <c r="G25" s="39" t="s">
        <v>3</v>
      </c>
      <c r="H25" s="39" t="s">
        <v>1</v>
      </c>
      <c r="I25" s="39" t="s">
        <v>1</v>
      </c>
      <c r="J25" s="39" t="s">
        <v>1</v>
      </c>
      <c r="K25" s="39" t="s">
        <v>1</v>
      </c>
      <c r="L25" s="39" t="s">
        <v>160</v>
      </c>
      <c r="M25" s="39" t="s">
        <v>1</v>
      </c>
      <c r="N25" s="39" t="s">
        <v>1</v>
      </c>
      <c r="O25" s="39" t="s">
        <v>160</v>
      </c>
      <c r="P25" s="39" t="s">
        <v>1</v>
      </c>
      <c r="Q25" s="39" t="s">
        <v>1</v>
      </c>
      <c r="R25" s="39" t="s">
        <v>1</v>
      </c>
      <c r="S25" s="39" t="s">
        <v>1</v>
      </c>
      <c r="T25" s="39" t="s">
        <v>26</v>
      </c>
      <c r="U25" s="39" t="s">
        <v>26</v>
      </c>
      <c r="V25" s="39" t="s">
        <v>1</v>
      </c>
      <c r="W25" s="39" t="s">
        <v>1</v>
      </c>
      <c r="X25" s="39" t="s">
        <v>1</v>
      </c>
      <c r="Y25" s="39" t="s">
        <v>1</v>
      </c>
      <c r="Z25" s="39" t="s">
        <v>1</v>
      </c>
      <c r="AA25" s="39" t="s">
        <v>26</v>
      </c>
      <c r="AB25" s="39" t="s">
        <v>26</v>
      </c>
      <c r="AC25" s="39"/>
      <c r="AD25" s="39"/>
      <c r="AE25" s="39"/>
      <c r="AF25" s="39"/>
      <c r="AG25" s="39"/>
      <c r="AH25" s="39"/>
      <c r="AI25" s="39"/>
      <c r="AJ25" s="39"/>
      <c r="AK25" s="24">
        <v>19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4</v>
      </c>
      <c r="AU25" s="25">
        <v>0</v>
      </c>
      <c r="AV25" s="25">
        <v>0</v>
      </c>
    </row>
    <row r="26" spans="1:49" ht="15.75" x14ac:dyDescent="0.25">
      <c r="A26" s="20">
        <v>23</v>
      </c>
      <c r="B26" s="38" t="s">
        <v>91</v>
      </c>
      <c r="C26" s="38" t="s">
        <v>92</v>
      </c>
      <c r="D26" s="38" t="s">
        <v>51</v>
      </c>
      <c r="E26" s="38" t="s">
        <v>103</v>
      </c>
      <c r="F26" s="39" t="s">
        <v>1</v>
      </c>
      <c r="G26" s="39" t="s">
        <v>1</v>
      </c>
      <c r="H26" s="39" t="s">
        <v>1</v>
      </c>
      <c r="I26" s="39" t="s">
        <v>160</v>
      </c>
      <c r="J26" s="39" t="s">
        <v>1</v>
      </c>
      <c r="K26" s="39" t="s">
        <v>1</v>
      </c>
      <c r="L26" s="39" t="s">
        <v>1</v>
      </c>
      <c r="M26" s="39" t="s">
        <v>1</v>
      </c>
      <c r="N26" s="39" t="s">
        <v>1</v>
      </c>
      <c r="O26" s="39" t="s">
        <v>1</v>
      </c>
      <c r="P26" s="39" t="s">
        <v>160</v>
      </c>
      <c r="Q26" s="39" t="s">
        <v>1</v>
      </c>
      <c r="R26" s="39" t="s">
        <v>1</v>
      </c>
      <c r="S26" s="39" t="s">
        <v>160</v>
      </c>
      <c r="T26" s="39" t="s">
        <v>1</v>
      </c>
      <c r="U26" s="39" t="s">
        <v>2</v>
      </c>
      <c r="V26" s="39" t="s">
        <v>160</v>
      </c>
      <c r="W26" s="39" t="s">
        <v>2</v>
      </c>
      <c r="X26" s="39" t="s">
        <v>2</v>
      </c>
      <c r="Y26" s="39" t="s">
        <v>2</v>
      </c>
      <c r="Z26" s="39" t="s">
        <v>2</v>
      </c>
      <c r="AA26" s="39" t="s">
        <v>160</v>
      </c>
      <c r="AB26" s="39" t="s">
        <v>160</v>
      </c>
      <c r="AC26" s="39"/>
      <c r="AD26" s="39"/>
      <c r="AE26" s="39"/>
      <c r="AF26" s="39"/>
      <c r="AG26" s="39"/>
      <c r="AH26" s="39"/>
      <c r="AI26" s="39"/>
      <c r="AJ26" s="39"/>
      <c r="AK26" s="24">
        <v>12</v>
      </c>
      <c r="AL26" s="24">
        <v>5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6</v>
      </c>
      <c r="AU26" s="25">
        <v>0</v>
      </c>
      <c r="AV26" s="25">
        <v>0</v>
      </c>
    </row>
    <row r="27" spans="1:49" ht="15.75" x14ac:dyDescent="0.25">
      <c r="A27" s="20">
        <v>24</v>
      </c>
      <c r="B27" s="38" t="s">
        <v>93</v>
      </c>
      <c r="C27" s="38" t="s">
        <v>94</v>
      </c>
      <c r="D27" s="38" t="s">
        <v>51</v>
      </c>
      <c r="E27" s="38" t="s">
        <v>103</v>
      </c>
      <c r="F27" s="39" t="s">
        <v>1</v>
      </c>
      <c r="G27" s="39" t="s">
        <v>1</v>
      </c>
      <c r="H27" s="39" t="s">
        <v>1</v>
      </c>
      <c r="I27" s="39" t="s">
        <v>1</v>
      </c>
      <c r="J27" s="39" t="s">
        <v>1</v>
      </c>
      <c r="K27" s="39" t="s">
        <v>3</v>
      </c>
      <c r="L27" s="39" t="s">
        <v>1</v>
      </c>
      <c r="M27" s="39" t="s">
        <v>1</v>
      </c>
      <c r="N27" s="39" t="s">
        <v>1</v>
      </c>
      <c r="O27" s="39" t="s">
        <v>1</v>
      </c>
      <c r="P27" s="39" t="s">
        <v>1</v>
      </c>
      <c r="Q27" s="39" t="s">
        <v>160</v>
      </c>
      <c r="R27" s="39" t="s">
        <v>3</v>
      </c>
      <c r="S27" s="39" t="s">
        <v>1</v>
      </c>
      <c r="T27" s="39" t="s">
        <v>1</v>
      </c>
      <c r="U27" s="39" t="s">
        <v>1</v>
      </c>
      <c r="V27" s="39" t="s">
        <v>1</v>
      </c>
      <c r="W27" s="39" t="s">
        <v>160</v>
      </c>
      <c r="X27" s="39" t="s">
        <v>160</v>
      </c>
      <c r="Y27" s="39" t="s">
        <v>2</v>
      </c>
      <c r="Z27" s="39" t="s">
        <v>1</v>
      </c>
      <c r="AA27" s="39" t="s">
        <v>1</v>
      </c>
      <c r="AB27" s="39" t="s">
        <v>1</v>
      </c>
      <c r="AC27" s="39"/>
      <c r="AD27" s="39"/>
      <c r="AE27" s="39"/>
      <c r="AF27" s="39"/>
      <c r="AG27" s="39"/>
      <c r="AH27" s="39"/>
      <c r="AI27" s="39"/>
      <c r="AJ27" s="39"/>
      <c r="AK27" s="24">
        <v>17</v>
      </c>
      <c r="AL27" s="24">
        <v>1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5</v>
      </c>
      <c r="AU27" s="25">
        <v>0</v>
      </c>
      <c r="AV27" s="25">
        <v>0</v>
      </c>
    </row>
    <row r="28" spans="1:49" ht="15.75" x14ac:dyDescent="0.25">
      <c r="A28" s="20">
        <v>25</v>
      </c>
      <c r="B28" s="38" t="s">
        <v>95</v>
      </c>
      <c r="C28" s="38" t="s">
        <v>96</v>
      </c>
      <c r="D28" s="38" t="s">
        <v>51</v>
      </c>
      <c r="E28" s="38" t="s">
        <v>103</v>
      </c>
      <c r="F28" s="39" t="s">
        <v>1</v>
      </c>
      <c r="G28" s="39" t="s">
        <v>1</v>
      </c>
      <c r="H28" s="39" t="s">
        <v>160</v>
      </c>
      <c r="I28" s="39" t="s">
        <v>1</v>
      </c>
      <c r="J28" s="39" t="s">
        <v>1</v>
      </c>
      <c r="K28" s="39" t="s">
        <v>8</v>
      </c>
      <c r="L28" s="39" t="s">
        <v>1</v>
      </c>
      <c r="M28" s="39" t="s">
        <v>1</v>
      </c>
      <c r="N28" s="39" t="s">
        <v>1</v>
      </c>
      <c r="O28" s="39" t="s">
        <v>1</v>
      </c>
      <c r="P28" s="39" t="s">
        <v>1</v>
      </c>
      <c r="Q28" s="39" t="s">
        <v>160</v>
      </c>
      <c r="R28" s="39" t="s">
        <v>160</v>
      </c>
      <c r="S28" s="39" t="s">
        <v>1</v>
      </c>
      <c r="T28" s="39" t="s">
        <v>1</v>
      </c>
      <c r="U28" s="39" t="s">
        <v>3</v>
      </c>
      <c r="V28" s="39" t="s">
        <v>160</v>
      </c>
      <c r="W28" s="39" t="s">
        <v>2</v>
      </c>
      <c r="X28" s="39" t="s">
        <v>160</v>
      </c>
      <c r="Y28" s="39" t="s">
        <v>2</v>
      </c>
      <c r="Z28" s="39" t="s">
        <v>1</v>
      </c>
      <c r="AA28" s="39" t="s">
        <v>1</v>
      </c>
      <c r="AB28" s="39" t="s">
        <v>1</v>
      </c>
      <c r="AC28" s="39"/>
      <c r="AD28" s="39"/>
      <c r="AE28" s="39"/>
      <c r="AF28" s="39"/>
      <c r="AG28" s="39"/>
      <c r="AH28" s="39"/>
      <c r="AI28" s="39"/>
      <c r="AJ28" s="39"/>
      <c r="AK28" s="24">
        <v>14</v>
      </c>
      <c r="AL28" s="24">
        <v>2</v>
      </c>
      <c r="AM28" s="24">
        <v>1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6</v>
      </c>
      <c r="AU28" s="25">
        <v>0</v>
      </c>
      <c r="AV28" s="25">
        <v>0</v>
      </c>
    </row>
    <row r="29" spans="1:49" ht="15.75" x14ac:dyDescent="0.25">
      <c r="A29" s="20">
        <v>26</v>
      </c>
      <c r="B29" s="38" t="s">
        <v>97</v>
      </c>
      <c r="C29" s="38" t="s">
        <v>98</v>
      </c>
      <c r="D29" s="38" t="s">
        <v>60</v>
      </c>
      <c r="E29" s="38" t="s">
        <v>103</v>
      </c>
      <c r="F29" s="39" t="s">
        <v>160</v>
      </c>
      <c r="G29" s="39" t="s">
        <v>1</v>
      </c>
      <c r="H29" s="39" t="s">
        <v>1</v>
      </c>
      <c r="I29" s="39" t="s">
        <v>1</v>
      </c>
      <c r="J29" s="39" t="s">
        <v>1</v>
      </c>
      <c r="K29" s="39" t="s">
        <v>1</v>
      </c>
      <c r="L29" s="39" t="s">
        <v>160</v>
      </c>
      <c r="M29" s="39" t="s">
        <v>160</v>
      </c>
      <c r="N29" s="39" t="s">
        <v>1</v>
      </c>
      <c r="O29" s="39" t="s">
        <v>1</v>
      </c>
      <c r="P29" s="39" t="s">
        <v>1</v>
      </c>
      <c r="Q29" s="39" t="s">
        <v>1</v>
      </c>
      <c r="R29" s="39" t="s">
        <v>1</v>
      </c>
      <c r="S29" s="39" t="s">
        <v>160</v>
      </c>
      <c r="T29" s="39" t="s">
        <v>160</v>
      </c>
      <c r="U29" s="39" t="s">
        <v>1</v>
      </c>
      <c r="V29" s="39" t="s">
        <v>1</v>
      </c>
      <c r="W29" s="39" t="s">
        <v>1</v>
      </c>
      <c r="X29" s="39" t="s">
        <v>1</v>
      </c>
      <c r="Y29" s="39" t="s">
        <v>160</v>
      </c>
      <c r="Z29" s="39" t="s">
        <v>1</v>
      </c>
      <c r="AA29" s="39" t="s">
        <v>160</v>
      </c>
      <c r="AB29" s="39" t="s">
        <v>1</v>
      </c>
      <c r="AC29" s="39"/>
      <c r="AD29" s="39"/>
      <c r="AE29" s="39"/>
      <c r="AF29" s="39"/>
      <c r="AG29" s="39"/>
      <c r="AH29" s="39"/>
      <c r="AI29" s="39"/>
      <c r="AJ29" s="39"/>
      <c r="AK29" s="24">
        <v>16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7</v>
      </c>
      <c r="AU29" s="25">
        <v>0</v>
      </c>
      <c r="AV29" s="25">
        <v>0</v>
      </c>
    </row>
    <row r="30" spans="1:49" ht="15.75" x14ac:dyDescent="0.25">
      <c r="A30" s="20">
        <v>27</v>
      </c>
      <c r="B30" s="38" t="s">
        <v>99</v>
      </c>
      <c r="C30" s="38" t="s">
        <v>100</v>
      </c>
      <c r="D30" s="38" t="s">
        <v>56</v>
      </c>
      <c r="E30" s="38" t="s">
        <v>103</v>
      </c>
      <c r="F30" s="39" t="s">
        <v>1</v>
      </c>
      <c r="G30" s="39" t="s">
        <v>1</v>
      </c>
      <c r="H30" s="39" t="s">
        <v>1</v>
      </c>
      <c r="I30" s="39" t="s">
        <v>160</v>
      </c>
      <c r="J30" s="39" t="s">
        <v>1</v>
      </c>
      <c r="K30" s="39" t="s">
        <v>160</v>
      </c>
      <c r="L30" s="39" t="s">
        <v>1</v>
      </c>
      <c r="M30" s="39" t="s">
        <v>1</v>
      </c>
      <c r="N30" s="39" t="s">
        <v>160</v>
      </c>
      <c r="O30" s="39" t="s">
        <v>1</v>
      </c>
      <c r="P30" s="39" t="s">
        <v>160</v>
      </c>
      <c r="Q30" s="39" t="s">
        <v>1</v>
      </c>
      <c r="R30" s="39" t="s">
        <v>1</v>
      </c>
      <c r="S30" s="39" t="s">
        <v>1</v>
      </c>
      <c r="T30" s="39" t="s">
        <v>1</v>
      </c>
      <c r="U30" s="39" t="s">
        <v>160</v>
      </c>
      <c r="V30" s="39" t="s">
        <v>1</v>
      </c>
      <c r="W30" s="39" t="s">
        <v>160</v>
      </c>
      <c r="X30" s="39" t="s">
        <v>1</v>
      </c>
      <c r="Y30" s="39" t="s">
        <v>160</v>
      </c>
      <c r="Z30" s="39" t="s">
        <v>1</v>
      </c>
      <c r="AA30" s="39" t="s">
        <v>1</v>
      </c>
      <c r="AB30" s="39" t="s">
        <v>3</v>
      </c>
      <c r="AC30" s="39"/>
      <c r="AD30" s="39"/>
      <c r="AE30" s="39"/>
      <c r="AF30" s="39"/>
      <c r="AG30" s="39"/>
      <c r="AH30" s="39"/>
      <c r="AI30" s="39"/>
      <c r="AJ30" s="39"/>
      <c r="AK30" s="24">
        <v>15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8</v>
      </c>
      <c r="AU30" s="25">
        <v>0</v>
      </c>
      <c r="AV30" s="25">
        <v>0</v>
      </c>
    </row>
    <row r="31" spans="1:49" ht="15.75" x14ac:dyDescent="0.25">
      <c r="A31" s="20">
        <v>28</v>
      </c>
      <c r="B31" s="38" t="s">
        <v>101</v>
      </c>
      <c r="C31" s="38" t="s">
        <v>102</v>
      </c>
      <c r="D31" s="38" t="s">
        <v>60</v>
      </c>
      <c r="E31" s="38" t="s">
        <v>103</v>
      </c>
      <c r="F31" s="39" t="s">
        <v>160</v>
      </c>
      <c r="G31" s="39" t="s">
        <v>1</v>
      </c>
      <c r="H31" s="39" t="s">
        <v>1</v>
      </c>
      <c r="I31" s="39" t="s">
        <v>1</v>
      </c>
      <c r="J31" s="39" t="s">
        <v>1</v>
      </c>
      <c r="K31" s="39" t="s">
        <v>1</v>
      </c>
      <c r="L31" s="39" t="s">
        <v>160</v>
      </c>
      <c r="M31" s="39" t="s">
        <v>160</v>
      </c>
      <c r="N31" s="39" t="s">
        <v>1</v>
      </c>
      <c r="O31" s="39" t="s">
        <v>1</v>
      </c>
      <c r="P31" s="39" t="s">
        <v>1</v>
      </c>
      <c r="Q31" s="39" t="s">
        <v>1</v>
      </c>
      <c r="R31" s="39" t="s">
        <v>1</v>
      </c>
      <c r="S31" s="39" t="s">
        <v>160</v>
      </c>
      <c r="T31" s="39" t="s">
        <v>160</v>
      </c>
      <c r="U31" s="39" t="s">
        <v>1</v>
      </c>
      <c r="V31" s="39" t="s">
        <v>1</v>
      </c>
      <c r="W31" s="39" t="s">
        <v>1</v>
      </c>
      <c r="X31" s="39" t="s">
        <v>1</v>
      </c>
      <c r="Y31" s="39" t="s">
        <v>2</v>
      </c>
      <c r="Z31" s="39" t="s">
        <v>160</v>
      </c>
      <c r="AA31" s="39" t="s">
        <v>160</v>
      </c>
      <c r="AB31" s="39" t="s">
        <v>1</v>
      </c>
      <c r="AC31" s="39"/>
      <c r="AD31" s="39"/>
      <c r="AE31" s="39"/>
      <c r="AF31" s="39"/>
      <c r="AG31" s="39"/>
      <c r="AH31" s="39"/>
      <c r="AI31" s="39"/>
      <c r="AJ31" s="39"/>
      <c r="AK31" s="24">
        <v>15</v>
      </c>
      <c r="AL31" s="24">
        <v>1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7</v>
      </c>
      <c r="AU31" s="25">
        <v>0</v>
      </c>
      <c r="AV31" s="25">
        <v>0</v>
      </c>
    </row>
    <row r="32" spans="1:49" ht="15.75" x14ac:dyDescent="0.25">
      <c r="A32" s="20">
        <v>29</v>
      </c>
      <c r="B32" s="38" t="s">
        <v>108</v>
      </c>
      <c r="C32" s="38" t="s">
        <v>109</v>
      </c>
      <c r="D32" s="38" t="s">
        <v>51</v>
      </c>
      <c r="E32" s="38" t="s">
        <v>103</v>
      </c>
      <c r="F32" s="39" t="s">
        <v>160</v>
      </c>
      <c r="G32" s="39" t="s">
        <v>1</v>
      </c>
      <c r="H32" s="39" t="s">
        <v>1</v>
      </c>
      <c r="I32" s="39" t="s">
        <v>1</v>
      </c>
      <c r="J32" s="39" t="s">
        <v>1</v>
      </c>
      <c r="K32" s="39" t="s">
        <v>1</v>
      </c>
      <c r="L32" s="39" t="s">
        <v>160</v>
      </c>
      <c r="M32" s="39" t="s">
        <v>160</v>
      </c>
      <c r="N32" s="39" t="s">
        <v>1</v>
      </c>
      <c r="O32" s="39" t="s">
        <v>1</v>
      </c>
      <c r="P32" s="39" t="s">
        <v>1</v>
      </c>
      <c r="Q32" s="39" t="s">
        <v>1</v>
      </c>
      <c r="R32" s="39" t="s">
        <v>1</v>
      </c>
      <c r="S32" s="39" t="s">
        <v>160</v>
      </c>
      <c r="T32" s="39" t="s">
        <v>160</v>
      </c>
      <c r="U32" s="39" t="s">
        <v>1</v>
      </c>
      <c r="V32" s="39" t="s">
        <v>1</v>
      </c>
      <c r="W32" s="39" t="s">
        <v>1</v>
      </c>
      <c r="X32" s="39" t="s">
        <v>1</v>
      </c>
      <c r="Y32" s="39" t="s">
        <v>1</v>
      </c>
      <c r="Z32" s="39" t="s">
        <v>160</v>
      </c>
      <c r="AA32" s="39" t="s">
        <v>160</v>
      </c>
      <c r="AB32" s="39" t="s">
        <v>1</v>
      </c>
      <c r="AC32" s="39"/>
      <c r="AD32" s="39"/>
      <c r="AE32" s="39"/>
      <c r="AF32" s="39"/>
      <c r="AG32" s="39"/>
      <c r="AH32" s="39"/>
      <c r="AI32" s="39"/>
      <c r="AJ32" s="39"/>
      <c r="AK32" s="24">
        <v>16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4">
        <v>7</v>
      </c>
      <c r="AU32" s="25">
        <v>0</v>
      </c>
      <c r="AV32" s="25">
        <v>0</v>
      </c>
    </row>
    <row r="33" spans="1:48" ht="15.75" x14ac:dyDescent="0.25">
      <c r="A33" s="20">
        <v>30</v>
      </c>
      <c r="B33" s="38" t="s">
        <v>111</v>
      </c>
      <c r="C33" s="38" t="s">
        <v>112</v>
      </c>
      <c r="D33" s="38" t="s">
        <v>51</v>
      </c>
      <c r="E33" s="38" t="s">
        <v>103</v>
      </c>
      <c r="F33" s="39" t="s">
        <v>1</v>
      </c>
      <c r="G33" s="39" t="s">
        <v>1</v>
      </c>
      <c r="H33" s="39" t="s">
        <v>1</v>
      </c>
      <c r="I33" s="39" t="s">
        <v>1</v>
      </c>
      <c r="J33" s="39" t="s">
        <v>160</v>
      </c>
      <c r="K33" s="39" t="s">
        <v>160</v>
      </c>
      <c r="L33" s="39" t="s">
        <v>1</v>
      </c>
      <c r="M33" s="39" t="s">
        <v>1</v>
      </c>
      <c r="N33" s="39" t="s">
        <v>1</v>
      </c>
      <c r="O33" s="39" t="s">
        <v>1</v>
      </c>
      <c r="P33" s="39" t="s">
        <v>1</v>
      </c>
      <c r="Q33" s="39" t="s">
        <v>160</v>
      </c>
      <c r="R33" s="39" t="s">
        <v>160</v>
      </c>
      <c r="S33" s="39" t="s">
        <v>1</v>
      </c>
      <c r="T33" s="39" t="s">
        <v>1</v>
      </c>
      <c r="U33" s="39" t="s">
        <v>1</v>
      </c>
      <c r="V33" s="39" t="s">
        <v>1</v>
      </c>
      <c r="W33" s="39" t="s">
        <v>1</v>
      </c>
      <c r="X33" s="39" t="s">
        <v>160</v>
      </c>
      <c r="Y33" s="39" t="s">
        <v>160</v>
      </c>
      <c r="Z33" s="39" t="s">
        <v>1</v>
      </c>
      <c r="AA33" s="39" t="s">
        <v>1</v>
      </c>
      <c r="AB33" s="39" t="s">
        <v>1</v>
      </c>
      <c r="AC33" s="39"/>
      <c r="AD33" s="39"/>
      <c r="AE33" s="39"/>
      <c r="AF33" s="39"/>
      <c r="AG33" s="39"/>
      <c r="AH33" s="39"/>
      <c r="AI33" s="39"/>
      <c r="AJ33" s="39"/>
      <c r="AK33" s="24">
        <v>17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4">
        <v>0</v>
      </c>
      <c r="AS33" s="24">
        <v>0</v>
      </c>
      <c r="AT33" s="24">
        <v>6</v>
      </c>
      <c r="AU33" s="25">
        <v>0</v>
      </c>
      <c r="AV33" s="25">
        <v>0</v>
      </c>
    </row>
    <row r="34" spans="1:48" ht="15.75" x14ac:dyDescent="0.25">
      <c r="A34" s="20">
        <v>31</v>
      </c>
      <c r="B34" s="38" t="s">
        <v>113</v>
      </c>
      <c r="C34" s="38" t="s">
        <v>114</v>
      </c>
      <c r="D34" s="38" t="s">
        <v>51</v>
      </c>
      <c r="E34" s="38" t="s">
        <v>103</v>
      </c>
      <c r="F34" s="39" t="s">
        <v>160</v>
      </c>
      <c r="G34" s="39" t="s">
        <v>1</v>
      </c>
      <c r="H34" s="39" t="s">
        <v>1</v>
      </c>
      <c r="I34" s="39" t="s">
        <v>1</v>
      </c>
      <c r="J34" s="39" t="s">
        <v>1</v>
      </c>
      <c r="K34" s="39" t="s">
        <v>1</v>
      </c>
      <c r="L34" s="39" t="s">
        <v>160</v>
      </c>
      <c r="M34" s="39" t="s">
        <v>160</v>
      </c>
      <c r="N34" s="39" t="s">
        <v>1</v>
      </c>
      <c r="O34" s="39" t="s">
        <v>160</v>
      </c>
      <c r="P34" s="39" t="s">
        <v>1</v>
      </c>
      <c r="Q34" s="39" t="s">
        <v>1</v>
      </c>
      <c r="R34" s="39" t="s">
        <v>1</v>
      </c>
      <c r="S34" s="39" t="s">
        <v>3</v>
      </c>
      <c r="T34" s="39" t="s">
        <v>1</v>
      </c>
      <c r="U34" s="39" t="s">
        <v>1</v>
      </c>
      <c r="V34" s="39" t="s">
        <v>1</v>
      </c>
      <c r="W34" s="39" t="s">
        <v>1</v>
      </c>
      <c r="X34" s="39" t="s">
        <v>1</v>
      </c>
      <c r="Y34" s="39" t="s">
        <v>160</v>
      </c>
      <c r="Z34" s="39" t="s">
        <v>160</v>
      </c>
      <c r="AA34" s="39" t="s">
        <v>160</v>
      </c>
      <c r="AB34" s="39" t="s">
        <v>160</v>
      </c>
      <c r="AC34" s="39"/>
      <c r="AD34" s="39"/>
      <c r="AE34" s="39"/>
      <c r="AF34" s="39"/>
      <c r="AG34" s="39"/>
      <c r="AH34" s="39"/>
      <c r="AI34" s="39"/>
      <c r="AJ34" s="39"/>
      <c r="AK34" s="24">
        <v>14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24">
        <v>0</v>
      </c>
      <c r="AR34" s="24">
        <v>0</v>
      </c>
      <c r="AS34" s="24">
        <v>0</v>
      </c>
      <c r="AT34" s="24">
        <v>9</v>
      </c>
      <c r="AU34" s="25">
        <v>0</v>
      </c>
      <c r="AV34" s="25">
        <v>0</v>
      </c>
    </row>
    <row r="35" spans="1:48" ht="15.75" x14ac:dyDescent="0.25">
      <c r="A35" s="20">
        <v>32</v>
      </c>
      <c r="B35" s="38" t="s">
        <v>115</v>
      </c>
      <c r="C35" s="38" t="s">
        <v>116</v>
      </c>
      <c r="D35" s="38" t="s">
        <v>51</v>
      </c>
      <c r="E35" s="38" t="s">
        <v>103</v>
      </c>
      <c r="F35" s="39" t="s">
        <v>1</v>
      </c>
      <c r="G35" s="39" t="s">
        <v>160</v>
      </c>
      <c r="H35" s="39" t="s">
        <v>1</v>
      </c>
      <c r="I35" s="39" t="s">
        <v>1</v>
      </c>
      <c r="J35" s="39" t="s">
        <v>1</v>
      </c>
      <c r="K35" s="39" t="s">
        <v>1</v>
      </c>
      <c r="L35" s="39" t="s">
        <v>1</v>
      </c>
      <c r="M35" s="39" t="s">
        <v>1</v>
      </c>
      <c r="N35" s="39" t="s">
        <v>1</v>
      </c>
      <c r="O35" s="39" t="s">
        <v>1</v>
      </c>
      <c r="P35" s="39" t="s">
        <v>160</v>
      </c>
      <c r="Q35" s="39" t="s">
        <v>160</v>
      </c>
      <c r="R35" s="39" t="s">
        <v>1</v>
      </c>
      <c r="S35" s="39" t="s">
        <v>1</v>
      </c>
      <c r="T35" s="39" t="s">
        <v>1</v>
      </c>
      <c r="U35" s="39" t="s">
        <v>1</v>
      </c>
      <c r="V35" s="39" t="s">
        <v>1</v>
      </c>
      <c r="W35" s="39" t="s">
        <v>1</v>
      </c>
      <c r="X35" s="39" t="s">
        <v>1</v>
      </c>
      <c r="Y35" s="39" t="s">
        <v>1</v>
      </c>
      <c r="Z35" s="39" t="s">
        <v>160</v>
      </c>
      <c r="AA35" s="39" t="s">
        <v>160</v>
      </c>
      <c r="AB35" s="39" t="s">
        <v>1</v>
      </c>
      <c r="AC35" s="39"/>
      <c r="AD35" s="39"/>
      <c r="AE35" s="39"/>
      <c r="AF35" s="39"/>
      <c r="AG35" s="39"/>
      <c r="AH35" s="39"/>
      <c r="AI35" s="39"/>
      <c r="AJ35" s="39"/>
      <c r="AK35" s="24">
        <v>18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0</v>
      </c>
      <c r="AT35" s="24">
        <v>5</v>
      </c>
      <c r="AU35" s="25">
        <v>0</v>
      </c>
      <c r="AV35" s="25">
        <v>0</v>
      </c>
    </row>
    <row r="36" spans="1:48" ht="15.75" x14ac:dyDescent="0.25">
      <c r="A36" s="20">
        <v>33</v>
      </c>
      <c r="B36" s="38" t="s">
        <v>117</v>
      </c>
      <c r="C36" s="38" t="s">
        <v>118</v>
      </c>
      <c r="D36" s="38" t="s">
        <v>60</v>
      </c>
      <c r="E36" s="38" t="s">
        <v>103</v>
      </c>
      <c r="F36" s="39" t="s">
        <v>3</v>
      </c>
      <c r="G36" s="39" t="s">
        <v>1</v>
      </c>
      <c r="H36" s="39" t="s">
        <v>1</v>
      </c>
      <c r="I36" s="39" t="s">
        <v>160</v>
      </c>
      <c r="J36" s="39" t="s">
        <v>1</v>
      </c>
      <c r="K36" s="39" t="s">
        <v>1</v>
      </c>
      <c r="L36" s="39" t="s">
        <v>1</v>
      </c>
      <c r="M36" s="39" t="s">
        <v>1</v>
      </c>
      <c r="N36" s="39" t="s">
        <v>1</v>
      </c>
      <c r="O36" s="39" t="s">
        <v>1</v>
      </c>
      <c r="P36" s="39" t="s">
        <v>1</v>
      </c>
      <c r="Q36" s="39" t="s">
        <v>1</v>
      </c>
      <c r="R36" s="39" t="s">
        <v>160</v>
      </c>
      <c r="S36" s="39" t="s">
        <v>1</v>
      </c>
      <c r="T36" s="39" t="s">
        <v>1</v>
      </c>
      <c r="U36" s="39" t="s">
        <v>1</v>
      </c>
      <c r="V36" s="39" t="s">
        <v>160</v>
      </c>
      <c r="W36" s="39" t="s">
        <v>160</v>
      </c>
      <c r="X36" s="39" t="s">
        <v>1</v>
      </c>
      <c r="Y36" s="39" t="s">
        <v>1</v>
      </c>
      <c r="Z36" s="39" t="s">
        <v>1</v>
      </c>
      <c r="AA36" s="39" t="s">
        <v>1</v>
      </c>
      <c r="AB36" s="39" t="s">
        <v>1</v>
      </c>
      <c r="AC36" s="39"/>
      <c r="AD36" s="39"/>
      <c r="AE36" s="39"/>
      <c r="AF36" s="39"/>
      <c r="AG36" s="39"/>
      <c r="AH36" s="39"/>
      <c r="AI36" s="39"/>
      <c r="AJ36" s="39"/>
      <c r="AK36" s="24">
        <v>18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24">
        <v>0</v>
      </c>
      <c r="AR36" s="24">
        <v>0</v>
      </c>
      <c r="AS36" s="24">
        <v>0</v>
      </c>
      <c r="AT36" s="24">
        <v>5</v>
      </c>
      <c r="AU36" s="25">
        <v>0</v>
      </c>
      <c r="AV36" s="25">
        <v>0</v>
      </c>
    </row>
    <row r="37" spans="1:48" ht="15.75" x14ac:dyDescent="0.25">
      <c r="A37" s="20">
        <v>34</v>
      </c>
      <c r="B37" s="38" t="s">
        <v>119</v>
      </c>
      <c r="C37" s="38" t="s">
        <v>120</v>
      </c>
      <c r="D37" s="38" t="s">
        <v>60</v>
      </c>
      <c r="E37" s="38" t="s">
        <v>103</v>
      </c>
      <c r="F37" s="39" t="s">
        <v>1</v>
      </c>
      <c r="G37" s="39" t="s">
        <v>1</v>
      </c>
      <c r="H37" s="39" t="s">
        <v>160</v>
      </c>
      <c r="I37" s="39" t="s">
        <v>1</v>
      </c>
      <c r="J37" s="39" t="s">
        <v>1</v>
      </c>
      <c r="K37" s="39" t="s">
        <v>1</v>
      </c>
      <c r="L37" s="39" t="s">
        <v>1</v>
      </c>
      <c r="M37" s="39" t="s">
        <v>1</v>
      </c>
      <c r="N37" s="39" t="s">
        <v>1</v>
      </c>
      <c r="O37" s="39" t="s">
        <v>160</v>
      </c>
      <c r="P37" s="39" t="s">
        <v>1</v>
      </c>
      <c r="Q37" s="39" t="s">
        <v>1</v>
      </c>
      <c r="R37" s="39" t="s">
        <v>1</v>
      </c>
      <c r="S37" s="39" t="s">
        <v>1</v>
      </c>
      <c r="T37" s="39" t="s">
        <v>160</v>
      </c>
      <c r="U37" s="39" t="s">
        <v>1</v>
      </c>
      <c r="V37" s="39" t="s">
        <v>160</v>
      </c>
      <c r="W37" s="39" t="s">
        <v>160</v>
      </c>
      <c r="X37" s="39" t="s">
        <v>2</v>
      </c>
      <c r="Y37" s="39" t="s">
        <v>2</v>
      </c>
      <c r="Z37" s="39" t="s">
        <v>2</v>
      </c>
      <c r="AA37" s="39" t="s">
        <v>1</v>
      </c>
      <c r="AB37" s="39" t="s">
        <v>1</v>
      </c>
      <c r="AC37" s="39"/>
      <c r="AD37" s="39"/>
      <c r="AE37" s="39"/>
      <c r="AF37" s="39"/>
      <c r="AG37" s="39"/>
      <c r="AH37" s="39"/>
      <c r="AI37" s="39"/>
      <c r="AJ37" s="39"/>
      <c r="AK37" s="24">
        <v>15</v>
      </c>
      <c r="AL37" s="24">
        <v>3</v>
      </c>
      <c r="AM37" s="24">
        <v>0</v>
      </c>
      <c r="AN37" s="24">
        <v>0</v>
      </c>
      <c r="AO37" s="24">
        <v>0</v>
      </c>
      <c r="AP37" s="24">
        <v>0</v>
      </c>
      <c r="AQ37" s="24">
        <v>0</v>
      </c>
      <c r="AR37" s="24">
        <v>0</v>
      </c>
      <c r="AS37" s="24">
        <v>0</v>
      </c>
      <c r="AT37" s="24">
        <v>5</v>
      </c>
      <c r="AU37" s="25">
        <v>0</v>
      </c>
      <c r="AV37" s="25">
        <v>0</v>
      </c>
    </row>
    <row r="38" spans="1:48" ht="15.75" x14ac:dyDescent="0.25">
      <c r="A38" s="20">
        <v>35</v>
      </c>
      <c r="B38" s="38" t="s">
        <v>121</v>
      </c>
      <c r="C38" s="38" t="s">
        <v>122</v>
      </c>
      <c r="D38" s="38" t="s">
        <v>56</v>
      </c>
      <c r="E38" s="38" t="s">
        <v>103</v>
      </c>
      <c r="F38" s="39" t="s">
        <v>160</v>
      </c>
      <c r="G38" s="39" t="s">
        <v>1</v>
      </c>
      <c r="H38" s="39" t="s">
        <v>1</v>
      </c>
      <c r="I38" s="39" t="s">
        <v>1</v>
      </c>
      <c r="J38" s="39" t="s">
        <v>1</v>
      </c>
      <c r="K38" s="39" t="s">
        <v>1</v>
      </c>
      <c r="L38" s="39" t="s">
        <v>160</v>
      </c>
      <c r="M38" s="39" t="s">
        <v>160</v>
      </c>
      <c r="N38" s="39" t="s">
        <v>1</v>
      </c>
      <c r="O38" s="39" t="s">
        <v>1</v>
      </c>
      <c r="P38" s="39" t="s">
        <v>1</v>
      </c>
      <c r="Q38" s="39" t="s">
        <v>1</v>
      </c>
      <c r="R38" s="39" t="s">
        <v>1</v>
      </c>
      <c r="S38" s="39" t="s">
        <v>160</v>
      </c>
      <c r="T38" s="39" t="s">
        <v>160</v>
      </c>
      <c r="U38" s="39" t="s">
        <v>2</v>
      </c>
      <c r="V38" s="39" t="s">
        <v>1</v>
      </c>
      <c r="W38" s="39" t="s">
        <v>1</v>
      </c>
      <c r="X38" s="39" t="s">
        <v>1</v>
      </c>
      <c r="Y38" s="39" t="s">
        <v>1</v>
      </c>
      <c r="Z38" s="39" t="s">
        <v>160</v>
      </c>
      <c r="AA38" s="39" t="s">
        <v>160</v>
      </c>
      <c r="AB38" s="39" t="s">
        <v>3</v>
      </c>
      <c r="AC38" s="39"/>
      <c r="AD38" s="39"/>
      <c r="AE38" s="39"/>
      <c r="AF38" s="39"/>
      <c r="AG38" s="39"/>
      <c r="AH38" s="39"/>
      <c r="AI38" s="39"/>
      <c r="AJ38" s="39"/>
      <c r="AK38" s="24">
        <v>14</v>
      </c>
      <c r="AL38" s="24">
        <v>1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8</v>
      </c>
      <c r="AU38" s="25">
        <v>0</v>
      </c>
      <c r="AV38" s="25">
        <v>0</v>
      </c>
    </row>
    <row r="39" spans="1:48" ht="15.75" x14ac:dyDescent="0.25">
      <c r="A39" s="20">
        <v>36</v>
      </c>
      <c r="B39" s="38" t="s">
        <v>123</v>
      </c>
      <c r="C39" s="38" t="s">
        <v>124</v>
      </c>
      <c r="D39" s="38" t="s">
        <v>56</v>
      </c>
      <c r="E39" s="38" t="s">
        <v>103</v>
      </c>
      <c r="F39" s="39" t="s">
        <v>1</v>
      </c>
      <c r="G39" s="39" t="s">
        <v>1</v>
      </c>
      <c r="H39" s="39" t="s">
        <v>1</v>
      </c>
      <c r="I39" s="39" t="s">
        <v>160</v>
      </c>
      <c r="J39" s="39" t="s">
        <v>160</v>
      </c>
      <c r="K39" s="39" t="s">
        <v>1</v>
      </c>
      <c r="L39" s="39" t="s">
        <v>1</v>
      </c>
      <c r="M39" s="39" t="s">
        <v>2</v>
      </c>
      <c r="N39" s="39" t="s">
        <v>2</v>
      </c>
      <c r="O39" s="39" t="s">
        <v>2</v>
      </c>
      <c r="P39" s="39" t="s">
        <v>1</v>
      </c>
      <c r="Q39" s="39" t="s">
        <v>160</v>
      </c>
      <c r="R39" s="39" t="s">
        <v>2</v>
      </c>
      <c r="S39" s="39" t="s">
        <v>1</v>
      </c>
      <c r="T39" s="39" t="s">
        <v>160</v>
      </c>
      <c r="U39" s="39" t="s">
        <v>26</v>
      </c>
      <c r="V39" s="39" t="s">
        <v>1</v>
      </c>
      <c r="W39" s="39" t="s">
        <v>1</v>
      </c>
      <c r="X39" s="39" t="s">
        <v>1</v>
      </c>
      <c r="Y39" s="39" t="s">
        <v>1</v>
      </c>
      <c r="Z39" s="39" t="s">
        <v>1</v>
      </c>
      <c r="AA39" s="39" t="s">
        <v>26</v>
      </c>
      <c r="AB39" s="39" t="s">
        <v>26</v>
      </c>
      <c r="AC39" s="39"/>
      <c r="AD39" s="39"/>
      <c r="AE39" s="39"/>
      <c r="AF39" s="39"/>
      <c r="AG39" s="39"/>
      <c r="AH39" s="39"/>
      <c r="AI39" s="39"/>
      <c r="AJ39" s="39"/>
      <c r="AK39" s="24">
        <v>15</v>
      </c>
      <c r="AL39" s="24">
        <v>4</v>
      </c>
      <c r="AM39" s="24">
        <v>0</v>
      </c>
      <c r="AN39" s="24">
        <v>0</v>
      </c>
      <c r="AO39" s="24">
        <v>0</v>
      </c>
      <c r="AP39" s="24">
        <v>0</v>
      </c>
      <c r="AQ39" s="24">
        <v>0</v>
      </c>
      <c r="AR39" s="24">
        <v>0</v>
      </c>
      <c r="AS39" s="24">
        <v>0</v>
      </c>
      <c r="AT39" s="24">
        <v>4</v>
      </c>
      <c r="AU39" s="25">
        <v>0</v>
      </c>
      <c r="AV39" s="25">
        <v>0</v>
      </c>
    </row>
    <row r="40" spans="1:48" ht="15.75" x14ac:dyDescent="0.25">
      <c r="A40" s="20">
        <v>37</v>
      </c>
      <c r="B40" s="38" t="s">
        <v>125</v>
      </c>
      <c r="C40" s="38" t="s">
        <v>126</v>
      </c>
      <c r="D40" s="38" t="s">
        <v>51</v>
      </c>
      <c r="E40" s="38" t="s">
        <v>103</v>
      </c>
      <c r="F40" s="39" t="s">
        <v>1</v>
      </c>
      <c r="G40" s="39" t="s">
        <v>1</v>
      </c>
      <c r="H40" s="39" t="s">
        <v>1</v>
      </c>
      <c r="I40" s="39" t="s">
        <v>160</v>
      </c>
      <c r="J40" s="39" t="s">
        <v>1</v>
      </c>
      <c r="K40" s="39" t="s">
        <v>160</v>
      </c>
      <c r="L40" s="39" t="s">
        <v>1</v>
      </c>
      <c r="M40" s="39" t="s">
        <v>1</v>
      </c>
      <c r="N40" s="39" t="s">
        <v>1</v>
      </c>
      <c r="O40" s="39" t="s">
        <v>1</v>
      </c>
      <c r="P40" s="39" t="s">
        <v>1</v>
      </c>
      <c r="Q40" s="39" t="s">
        <v>1</v>
      </c>
      <c r="R40" s="39" t="s">
        <v>160</v>
      </c>
      <c r="S40" s="39" t="s">
        <v>1</v>
      </c>
      <c r="T40" s="39" t="s">
        <v>160</v>
      </c>
      <c r="U40" s="39" t="s">
        <v>1</v>
      </c>
      <c r="V40" s="39" t="s">
        <v>1</v>
      </c>
      <c r="W40" s="39" t="s">
        <v>160</v>
      </c>
      <c r="X40" s="39" t="s">
        <v>160</v>
      </c>
      <c r="Y40" s="39" t="s">
        <v>1</v>
      </c>
      <c r="Z40" s="39" t="s">
        <v>1</v>
      </c>
      <c r="AA40" s="39" t="s">
        <v>1</v>
      </c>
      <c r="AB40" s="39" t="s">
        <v>1</v>
      </c>
      <c r="AC40" s="39"/>
      <c r="AD40" s="39"/>
      <c r="AE40" s="39"/>
      <c r="AF40" s="39"/>
      <c r="AG40" s="39"/>
      <c r="AH40" s="39"/>
      <c r="AI40" s="39"/>
      <c r="AJ40" s="39"/>
      <c r="AK40" s="24">
        <v>17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6</v>
      </c>
      <c r="AU40" s="25">
        <v>0</v>
      </c>
      <c r="AV40" s="25">
        <v>0</v>
      </c>
    </row>
    <row r="41" spans="1:48" ht="15.75" x14ac:dyDescent="0.25">
      <c r="A41" s="20">
        <v>38</v>
      </c>
      <c r="B41" s="38" t="s">
        <v>127</v>
      </c>
      <c r="C41" s="38" t="s">
        <v>128</v>
      </c>
      <c r="D41" s="38" t="s">
        <v>110</v>
      </c>
      <c r="E41" s="38" t="s">
        <v>110</v>
      </c>
      <c r="F41" s="39" t="s">
        <v>1</v>
      </c>
      <c r="G41" s="39" t="s">
        <v>1</v>
      </c>
      <c r="H41" s="39" t="s">
        <v>1</v>
      </c>
      <c r="I41" s="39" t="s">
        <v>1</v>
      </c>
      <c r="J41" s="39" t="s">
        <v>162</v>
      </c>
      <c r="K41" s="39" t="s">
        <v>162</v>
      </c>
      <c r="L41" s="39" t="s">
        <v>1</v>
      </c>
      <c r="M41" s="39" t="s">
        <v>1</v>
      </c>
      <c r="N41" s="39" t="s">
        <v>2</v>
      </c>
      <c r="O41" s="39" t="s">
        <v>1</v>
      </c>
      <c r="P41" s="39" t="s">
        <v>1</v>
      </c>
      <c r="Q41" s="39" t="s">
        <v>31</v>
      </c>
      <c r="R41" s="39" t="s">
        <v>31</v>
      </c>
      <c r="S41" s="39" t="s">
        <v>31</v>
      </c>
      <c r="T41" s="39" t="s">
        <v>31</v>
      </c>
      <c r="U41" s="39" t="s">
        <v>31</v>
      </c>
      <c r="V41" s="39" t="s">
        <v>31</v>
      </c>
      <c r="W41" s="39" t="s">
        <v>31</v>
      </c>
      <c r="X41" s="39" t="s">
        <v>31</v>
      </c>
      <c r="Y41" s="39" t="s">
        <v>31</v>
      </c>
      <c r="Z41" s="39" t="s">
        <v>31</v>
      </c>
      <c r="AA41" s="39" t="s">
        <v>31</v>
      </c>
      <c r="AB41" s="39" t="s">
        <v>31</v>
      </c>
      <c r="AC41" s="39"/>
      <c r="AD41" s="39"/>
      <c r="AE41" s="39"/>
      <c r="AF41" s="39"/>
      <c r="AG41" s="39"/>
      <c r="AH41" s="39"/>
      <c r="AI41" s="39"/>
      <c r="AJ41" s="39"/>
      <c r="AK41" s="24">
        <v>8</v>
      </c>
      <c r="AL41" s="24">
        <v>1</v>
      </c>
      <c r="AM41" s="24">
        <v>0</v>
      </c>
      <c r="AN41" s="24">
        <v>0</v>
      </c>
      <c r="AO41" s="24">
        <v>0</v>
      </c>
      <c r="AP41" s="24">
        <v>0</v>
      </c>
      <c r="AQ41" s="24">
        <v>0</v>
      </c>
      <c r="AR41" s="24">
        <v>12</v>
      </c>
      <c r="AS41" s="24">
        <v>0</v>
      </c>
      <c r="AT41" s="24">
        <v>2</v>
      </c>
      <c r="AU41" s="25">
        <v>0</v>
      </c>
      <c r="AV41" s="25">
        <v>0</v>
      </c>
    </row>
    <row r="42" spans="1:48" ht="15.75" x14ac:dyDescent="0.25">
      <c r="A42" s="20">
        <v>39</v>
      </c>
      <c r="B42" s="38" t="s">
        <v>129</v>
      </c>
      <c r="C42" s="38" t="s">
        <v>130</v>
      </c>
      <c r="D42" s="38" t="s">
        <v>60</v>
      </c>
      <c r="E42" s="38" t="s">
        <v>103</v>
      </c>
      <c r="F42" s="39" t="s">
        <v>1</v>
      </c>
      <c r="G42" s="39" t="s">
        <v>1</v>
      </c>
      <c r="H42" s="39" t="s">
        <v>1</v>
      </c>
      <c r="I42" s="39" t="s">
        <v>160</v>
      </c>
      <c r="J42" s="39" t="s">
        <v>160</v>
      </c>
      <c r="K42" s="39" t="s">
        <v>1</v>
      </c>
      <c r="L42" s="39" t="s">
        <v>1</v>
      </c>
      <c r="M42" s="39" t="s">
        <v>1</v>
      </c>
      <c r="N42" s="39" t="s">
        <v>1</v>
      </c>
      <c r="O42" s="39" t="s">
        <v>1</v>
      </c>
      <c r="P42" s="39" t="s">
        <v>1</v>
      </c>
      <c r="Q42" s="39" t="s">
        <v>160</v>
      </c>
      <c r="R42" s="39" t="s">
        <v>1</v>
      </c>
      <c r="S42" s="39" t="s">
        <v>1</v>
      </c>
      <c r="T42" s="39" t="s">
        <v>3</v>
      </c>
      <c r="U42" s="39" t="s">
        <v>1</v>
      </c>
      <c r="V42" s="39" t="s">
        <v>1</v>
      </c>
      <c r="W42" s="39" t="s">
        <v>1</v>
      </c>
      <c r="X42" s="39" t="s">
        <v>160</v>
      </c>
      <c r="Y42" s="39" t="s">
        <v>160</v>
      </c>
      <c r="Z42" s="39" t="s">
        <v>1</v>
      </c>
      <c r="AA42" s="39" t="s">
        <v>1</v>
      </c>
      <c r="AB42" s="39" t="s">
        <v>1</v>
      </c>
      <c r="AC42" s="39"/>
      <c r="AD42" s="39"/>
      <c r="AE42" s="39"/>
      <c r="AF42" s="39"/>
      <c r="AG42" s="39"/>
      <c r="AH42" s="39"/>
      <c r="AI42" s="39"/>
      <c r="AJ42" s="39"/>
      <c r="AK42" s="24">
        <v>17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6</v>
      </c>
      <c r="AU42" s="25">
        <v>0</v>
      </c>
      <c r="AV42" s="25">
        <v>0</v>
      </c>
    </row>
    <row r="43" spans="1:48" ht="15.75" x14ac:dyDescent="0.25">
      <c r="A43" s="20">
        <v>40</v>
      </c>
      <c r="B43" s="38" t="s">
        <v>131</v>
      </c>
      <c r="C43" s="38" t="s">
        <v>132</v>
      </c>
      <c r="D43" s="38" t="s">
        <v>60</v>
      </c>
      <c r="E43" s="38" t="s">
        <v>103</v>
      </c>
      <c r="F43" s="39" t="s">
        <v>152</v>
      </c>
      <c r="G43" s="39" t="s">
        <v>152</v>
      </c>
      <c r="H43" s="39" t="s">
        <v>152</v>
      </c>
      <c r="I43" s="39" t="s">
        <v>152</v>
      </c>
      <c r="J43" s="39" t="s">
        <v>152</v>
      </c>
      <c r="K43" s="39" t="s">
        <v>152</v>
      </c>
      <c r="L43" s="39" t="s">
        <v>152</v>
      </c>
      <c r="M43" s="39" t="s">
        <v>152</v>
      </c>
      <c r="N43" s="39" t="s">
        <v>152</v>
      </c>
      <c r="O43" s="39" t="s">
        <v>152</v>
      </c>
      <c r="P43" s="39" t="s">
        <v>152</v>
      </c>
      <c r="Q43" s="39" t="s">
        <v>1</v>
      </c>
      <c r="R43" s="39" t="s">
        <v>1</v>
      </c>
      <c r="S43" s="39" t="s">
        <v>1</v>
      </c>
      <c r="T43" s="39" t="s">
        <v>1</v>
      </c>
      <c r="U43" s="39" t="s">
        <v>1</v>
      </c>
      <c r="V43" s="39" t="s">
        <v>1</v>
      </c>
      <c r="W43" s="39" t="s">
        <v>160</v>
      </c>
      <c r="X43" s="39" t="s">
        <v>1</v>
      </c>
      <c r="Y43" s="39" t="s">
        <v>160</v>
      </c>
      <c r="Z43" s="39" t="s">
        <v>1</v>
      </c>
      <c r="AA43" s="39" t="s">
        <v>1</v>
      </c>
      <c r="AB43" s="39" t="s">
        <v>1</v>
      </c>
      <c r="AC43" s="39"/>
      <c r="AD43" s="39"/>
      <c r="AE43" s="39"/>
      <c r="AF43" s="39"/>
      <c r="AG43" s="39"/>
      <c r="AH43" s="39"/>
      <c r="AI43" s="39"/>
      <c r="AJ43" s="39"/>
      <c r="AK43" s="24">
        <v>10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2</v>
      </c>
      <c r="AU43" s="25">
        <v>0</v>
      </c>
      <c r="AV43" s="25">
        <v>0</v>
      </c>
    </row>
    <row r="44" spans="1:48" ht="15.75" x14ac:dyDescent="0.25">
      <c r="A44" s="20">
        <v>41</v>
      </c>
      <c r="B44" s="38" t="s">
        <v>134</v>
      </c>
      <c r="C44" s="38" t="s">
        <v>135</v>
      </c>
      <c r="D44" s="38" t="s">
        <v>56</v>
      </c>
      <c r="E44" s="38" t="s">
        <v>103</v>
      </c>
      <c r="F44" s="39" t="s">
        <v>152</v>
      </c>
      <c r="G44" s="39" t="s">
        <v>152</v>
      </c>
      <c r="H44" s="39" t="s">
        <v>152</v>
      </c>
      <c r="I44" s="39" t="s">
        <v>152</v>
      </c>
      <c r="J44" s="39" t="s">
        <v>152</v>
      </c>
      <c r="K44" s="39" t="s">
        <v>152</v>
      </c>
      <c r="L44" s="39" t="s">
        <v>152</v>
      </c>
      <c r="M44" s="39" t="s">
        <v>152</v>
      </c>
      <c r="N44" s="39" t="s">
        <v>152</v>
      </c>
      <c r="O44" s="39" t="s">
        <v>152</v>
      </c>
      <c r="P44" s="39" t="s">
        <v>152</v>
      </c>
      <c r="Q44" s="39" t="s">
        <v>1</v>
      </c>
      <c r="R44" s="39" t="s">
        <v>1</v>
      </c>
      <c r="S44" s="39" t="s">
        <v>1</v>
      </c>
      <c r="T44" s="39" t="s">
        <v>1</v>
      </c>
      <c r="U44" s="39" t="s">
        <v>1</v>
      </c>
      <c r="V44" s="39" t="s">
        <v>1</v>
      </c>
      <c r="W44" s="39" t="s">
        <v>1</v>
      </c>
      <c r="X44" s="39" t="s">
        <v>160</v>
      </c>
      <c r="Y44" s="39" t="s">
        <v>1</v>
      </c>
      <c r="Z44" s="39" t="s">
        <v>1</v>
      </c>
      <c r="AA44" s="39" t="s">
        <v>1</v>
      </c>
      <c r="AB44" s="39" t="s">
        <v>2</v>
      </c>
      <c r="AC44" s="39"/>
      <c r="AD44" s="39"/>
      <c r="AE44" s="39"/>
      <c r="AF44" s="39"/>
      <c r="AG44" s="39"/>
      <c r="AH44" s="39"/>
      <c r="AI44" s="39"/>
      <c r="AJ44" s="39"/>
      <c r="AK44" s="24">
        <v>10</v>
      </c>
      <c r="AL44" s="24">
        <v>1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4">
        <v>0</v>
      </c>
      <c r="AT44" s="24">
        <v>1</v>
      </c>
      <c r="AU44" s="25">
        <v>0</v>
      </c>
      <c r="AV44" s="25">
        <v>0</v>
      </c>
    </row>
    <row r="45" spans="1:48" ht="15.75" x14ac:dyDescent="0.25">
      <c r="A45" s="20">
        <v>42</v>
      </c>
      <c r="B45" s="38" t="s">
        <v>136</v>
      </c>
      <c r="C45" s="38" t="s">
        <v>137</v>
      </c>
      <c r="D45" s="38" t="s">
        <v>60</v>
      </c>
      <c r="E45" s="38" t="s">
        <v>103</v>
      </c>
      <c r="F45" s="39" t="s">
        <v>152</v>
      </c>
      <c r="G45" s="39" t="s">
        <v>152</v>
      </c>
      <c r="H45" s="39" t="s">
        <v>152</v>
      </c>
      <c r="I45" s="39" t="s">
        <v>152</v>
      </c>
      <c r="J45" s="39" t="s">
        <v>152</v>
      </c>
      <c r="K45" s="39" t="s">
        <v>152</v>
      </c>
      <c r="L45" s="39" t="s">
        <v>152</v>
      </c>
      <c r="M45" s="39" t="s">
        <v>152</v>
      </c>
      <c r="N45" s="39" t="s">
        <v>152</v>
      </c>
      <c r="O45" s="39" t="s">
        <v>152</v>
      </c>
      <c r="P45" s="39" t="s">
        <v>152</v>
      </c>
      <c r="Q45" s="39" t="s">
        <v>1</v>
      </c>
      <c r="R45" s="39" t="s">
        <v>1</v>
      </c>
      <c r="S45" s="39" t="s">
        <v>1</v>
      </c>
      <c r="T45" s="39" t="s">
        <v>1</v>
      </c>
      <c r="U45" s="39" t="s">
        <v>1</v>
      </c>
      <c r="V45" s="39" t="s">
        <v>1</v>
      </c>
      <c r="W45" s="39" t="s">
        <v>1</v>
      </c>
      <c r="X45" s="39" t="s">
        <v>1</v>
      </c>
      <c r="Y45" s="39" t="s">
        <v>160</v>
      </c>
      <c r="Z45" s="39" t="s">
        <v>1</v>
      </c>
      <c r="AA45" s="39" t="s">
        <v>160</v>
      </c>
      <c r="AB45" s="39" t="s">
        <v>1</v>
      </c>
      <c r="AC45" s="39"/>
      <c r="AD45" s="39"/>
      <c r="AE45" s="39"/>
      <c r="AF45" s="39"/>
      <c r="AG45" s="39"/>
      <c r="AH45" s="39"/>
      <c r="AI45" s="39"/>
      <c r="AJ45" s="39"/>
      <c r="AK45" s="24">
        <v>10</v>
      </c>
      <c r="AL45" s="24">
        <v>0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4">
        <v>2</v>
      </c>
      <c r="AU45" s="25">
        <v>0</v>
      </c>
      <c r="AV45" s="25">
        <v>0</v>
      </c>
    </row>
    <row r="46" spans="1:48" ht="15.75" x14ac:dyDescent="0.25">
      <c r="A46" s="20">
        <v>43</v>
      </c>
      <c r="B46" s="38" t="s">
        <v>138</v>
      </c>
      <c r="C46" s="38" t="s">
        <v>139</v>
      </c>
      <c r="D46" s="38" t="s">
        <v>54</v>
      </c>
      <c r="E46" s="38" t="s">
        <v>133</v>
      </c>
      <c r="F46" s="39" t="s">
        <v>152</v>
      </c>
      <c r="G46" s="39" t="s">
        <v>152</v>
      </c>
      <c r="H46" s="39" t="s">
        <v>152</v>
      </c>
      <c r="I46" s="39" t="s">
        <v>152</v>
      </c>
      <c r="J46" s="39" t="s">
        <v>152</v>
      </c>
      <c r="K46" s="39" t="s">
        <v>152</v>
      </c>
      <c r="L46" s="39" t="s">
        <v>152</v>
      </c>
      <c r="M46" s="39" t="s">
        <v>152</v>
      </c>
      <c r="N46" s="39" t="s">
        <v>152</v>
      </c>
      <c r="O46" s="39" t="s">
        <v>152</v>
      </c>
      <c r="P46" s="39" t="s">
        <v>152</v>
      </c>
      <c r="Q46" s="39" t="s">
        <v>1</v>
      </c>
      <c r="R46" s="39" t="s">
        <v>31</v>
      </c>
      <c r="S46" s="39" t="s">
        <v>31</v>
      </c>
      <c r="T46" s="39" t="s">
        <v>31</v>
      </c>
      <c r="U46" s="39" t="s">
        <v>31</v>
      </c>
      <c r="V46" s="39" t="s">
        <v>31</v>
      </c>
      <c r="W46" s="39" t="s">
        <v>31</v>
      </c>
      <c r="X46" s="39" t="s">
        <v>31</v>
      </c>
      <c r="Y46" s="39" t="s">
        <v>31</v>
      </c>
      <c r="Z46" s="39" t="s">
        <v>31</v>
      </c>
      <c r="AA46" s="39" t="s">
        <v>31</v>
      </c>
      <c r="AB46" s="39" t="s">
        <v>31</v>
      </c>
      <c r="AC46" s="39"/>
      <c r="AD46" s="39"/>
      <c r="AE46" s="39"/>
      <c r="AF46" s="39"/>
      <c r="AG46" s="39"/>
      <c r="AH46" s="39"/>
      <c r="AI46" s="39"/>
      <c r="AJ46" s="39"/>
      <c r="AK46" s="24">
        <v>1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4">
        <v>11</v>
      </c>
      <c r="AS46" s="24">
        <v>0</v>
      </c>
      <c r="AT46" s="24">
        <v>0</v>
      </c>
      <c r="AU46" s="25">
        <v>0</v>
      </c>
      <c r="AV46" s="25">
        <v>0</v>
      </c>
    </row>
    <row r="47" spans="1:48" ht="15.75" x14ac:dyDescent="0.25">
      <c r="A47" s="20">
        <v>44</v>
      </c>
      <c r="B47" s="38" t="s">
        <v>140</v>
      </c>
      <c r="C47" s="38" t="s">
        <v>141</v>
      </c>
      <c r="D47" s="38" t="s">
        <v>56</v>
      </c>
      <c r="E47" s="38" t="s">
        <v>103</v>
      </c>
      <c r="F47" s="39" t="s">
        <v>152</v>
      </c>
      <c r="G47" s="39" t="s">
        <v>152</v>
      </c>
      <c r="H47" s="39" t="s">
        <v>152</v>
      </c>
      <c r="I47" s="39" t="s">
        <v>152</v>
      </c>
      <c r="J47" s="39" t="s">
        <v>152</v>
      </c>
      <c r="K47" s="39" t="s">
        <v>152</v>
      </c>
      <c r="L47" s="39" t="s">
        <v>152</v>
      </c>
      <c r="M47" s="39" t="s">
        <v>152</v>
      </c>
      <c r="N47" s="39" t="s">
        <v>152</v>
      </c>
      <c r="O47" s="39" t="s">
        <v>152</v>
      </c>
      <c r="P47" s="39" t="s">
        <v>152</v>
      </c>
      <c r="Q47" s="39" t="s">
        <v>33</v>
      </c>
      <c r="R47" s="39" t="s">
        <v>1</v>
      </c>
      <c r="S47" s="39" t="s">
        <v>1</v>
      </c>
      <c r="T47" s="39" t="s">
        <v>1</v>
      </c>
      <c r="U47" s="39" t="s">
        <v>1</v>
      </c>
      <c r="V47" s="39" t="s">
        <v>160</v>
      </c>
      <c r="W47" s="39" t="s">
        <v>1</v>
      </c>
      <c r="X47" s="39" t="s">
        <v>1</v>
      </c>
      <c r="Y47" s="39" t="s">
        <v>160</v>
      </c>
      <c r="Z47" s="39" t="s">
        <v>1</v>
      </c>
      <c r="AA47" s="39" t="s">
        <v>1</v>
      </c>
      <c r="AB47" s="39" t="s">
        <v>1</v>
      </c>
      <c r="AC47" s="39"/>
      <c r="AD47" s="39"/>
      <c r="AE47" s="39"/>
      <c r="AF47" s="39"/>
      <c r="AG47" s="39"/>
      <c r="AH47" s="39"/>
      <c r="AI47" s="39"/>
      <c r="AJ47" s="39"/>
      <c r="AK47" s="24">
        <v>9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0</v>
      </c>
      <c r="AS47" s="24">
        <v>0</v>
      </c>
      <c r="AT47" s="24">
        <v>2</v>
      </c>
      <c r="AU47" s="25">
        <v>0</v>
      </c>
      <c r="AV47" s="25">
        <v>1</v>
      </c>
    </row>
    <row r="48" spans="1:48" ht="15.75" x14ac:dyDescent="0.25">
      <c r="A48" s="20">
        <v>45</v>
      </c>
      <c r="B48" s="38" t="s">
        <v>142</v>
      </c>
      <c r="C48" s="38" t="s">
        <v>143</v>
      </c>
      <c r="D48" s="38" t="s">
        <v>56</v>
      </c>
      <c r="E48" s="38" t="s">
        <v>103</v>
      </c>
      <c r="F48" s="39" t="s">
        <v>152</v>
      </c>
      <c r="G48" s="39" t="s">
        <v>152</v>
      </c>
      <c r="H48" s="39" t="s">
        <v>152</v>
      </c>
      <c r="I48" s="39" t="s">
        <v>152</v>
      </c>
      <c r="J48" s="39" t="s">
        <v>152</v>
      </c>
      <c r="K48" s="39" t="s">
        <v>152</v>
      </c>
      <c r="L48" s="39" t="s">
        <v>152</v>
      </c>
      <c r="M48" s="39" t="s">
        <v>152</v>
      </c>
      <c r="N48" s="39" t="s">
        <v>152</v>
      </c>
      <c r="O48" s="39" t="s">
        <v>152</v>
      </c>
      <c r="P48" s="39" t="s">
        <v>152</v>
      </c>
      <c r="Q48" s="39" t="s">
        <v>33</v>
      </c>
      <c r="R48" s="39" t="s">
        <v>163</v>
      </c>
      <c r="S48" s="39" t="s">
        <v>163</v>
      </c>
      <c r="T48" s="39" t="s">
        <v>163</v>
      </c>
      <c r="U48" s="39" t="s">
        <v>163</v>
      </c>
      <c r="V48" s="39" t="s">
        <v>163</v>
      </c>
      <c r="W48" s="39" t="s">
        <v>163</v>
      </c>
      <c r="X48" s="39" t="s">
        <v>163</v>
      </c>
      <c r="Y48" s="39" t="s">
        <v>163</v>
      </c>
      <c r="Z48" s="39" t="s">
        <v>163</v>
      </c>
      <c r="AA48" s="39" t="s">
        <v>163</v>
      </c>
      <c r="AB48" s="39" t="s">
        <v>163</v>
      </c>
      <c r="AC48" s="39"/>
      <c r="AD48" s="39"/>
      <c r="AE48" s="39"/>
      <c r="AF48" s="39"/>
      <c r="AG48" s="39"/>
      <c r="AH48" s="39"/>
      <c r="AI48" s="39"/>
      <c r="AJ48" s="39"/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0</v>
      </c>
      <c r="AS48" s="24">
        <v>11</v>
      </c>
      <c r="AT48" s="24">
        <v>0</v>
      </c>
      <c r="AU48" s="25">
        <v>0</v>
      </c>
      <c r="AV48" s="25">
        <v>1</v>
      </c>
    </row>
    <row r="49" spans="1:48" ht="15.75" x14ac:dyDescent="0.25">
      <c r="A49" s="20">
        <v>46</v>
      </c>
      <c r="B49" s="38" t="s">
        <v>144</v>
      </c>
      <c r="C49" s="38" t="s">
        <v>145</v>
      </c>
      <c r="D49" s="38" t="s">
        <v>60</v>
      </c>
      <c r="E49" s="38" t="s">
        <v>103</v>
      </c>
      <c r="F49" s="39" t="s">
        <v>152</v>
      </c>
      <c r="G49" s="39" t="s">
        <v>152</v>
      </c>
      <c r="H49" s="39" t="s">
        <v>152</v>
      </c>
      <c r="I49" s="39" t="s">
        <v>152</v>
      </c>
      <c r="J49" s="39" t="s">
        <v>152</v>
      </c>
      <c r="K49" s="39" t="s">
        <v>152</v>
      </c>
      <c r="L49" s="39" t="s">
        <v>152</v>
      </c>
      <c r="M49" s="39" t="s">
        <v>152</v>
      </c>
      <c r="N49" s="39" t="s">
        <v>152</v>
      </c>
      <c r="O49" s="39" t="s">
        <v>152</v>
      </c>
      <c r="P49" s="39" t="s">
        <v>152</v>
      </c>
      <c r="Q49" s="39" t="s">
        <v>1</v>
      </c>
      <c r="R49" s="39" t="s">
        <v>1</v>
      </c>
      <c r="S49" s="39" t="s">
        <v>1</v>
      </c>
      <c r="T49" s="39" t="s">
        <v>1</v>
      </c>
      <c r="U49" s="39" t="s">
        <v>1</v>
      </c>
      <c r="V49" s="39" t="s">
        <v>1</v>
      </c>
      <c r="W49" s="39" t="s">
        <v>1</v>
      </c>
      <c r="X49" s="39" t="s">
        <v>2</v>
      </c>
      <c r="Y49" s="39" t="s">
        <v>1</v>
      </c>
      <c r="Z49" s="39" t="s">
        <v>1</v>
      </c>
      <c r="AA49" s="39" t="s">
        <v>160</v>
      </c>
      <c r="AB49" s="39" t="s">
        <v>1</v>
      </c>
      <c r="AC49" s="39"/>
      <c r="AD49" s="39"/>
      <c r="AE49" s="39"/>
      <c r="AF49" s="39"/>
      <c r="AG49" s="39"/>
      <c r="AH49" s="39"/>
      <c r="AI49" s="39"/>
      <c r="AJ49" s="39"/>
      <c r="AK49" s="24">
        <v>10</v>
      </c>
      <c r="AL49" s="24">
        <v>1</v>
      </c>
      <c r="AM49" s="24">
        <v>0</v>
      </c>
      <c r="AN49" s="24">
        <v>0</v>
      </c>
      <c r="AO49" s="24">
        <v>0</v>
      </c>
      <c r="AP49" s="24">
        <v>0</v>
      </c>
      <c r="AQ49" s="24">
        <v>0</v>
      </c>
      <c r="AR49" s="24">
        <v>0</v>
      </c>
      <c r="AS49" s="24">
        <v>0</v>
      </c>
      <c r="AT49" s="24">
        <v>1</v>
      </c>
      <c r="AU49" s="25">
        <v>0</v>
      </c>
      <c r="AV49" s="25">
        <v>0</v>
      </c>
    </row>
    <row r="50" spans="1:48" ht="15.75" x14ac:dyDescent="0.25">
      <c r="A50" s="20">
        <v>47</v>
      </c>
      <c r="B50" s="38" t="s">
        <v>146</v>
      </c>
      <c r="C50" s="38" t="s">
        <v>147</v>
      </c>
      <c r="D50" s="38" t="s">
        <v>51</v>
      </c>
      <c r="E50" s="38" t="s">
        <v>103</v>
      </c>
      <c r="F50" s="39" t="s">
        <v>152</v>
      </c>
      <c r="G50" s="39" t="s">
        <v>152</v>
      </c>
      <c r="H50" s="39" t="s">
        <v>152</v>
      </c>
      <c r="I50" s="39" t="s">
        <v>152</v>
      </c>
      <c r="J50" s="39" t="s">
        <v>152</v>
      </c>
      <c r="K50" s="39" t="s">
        <v>152</v>
      </c>
      <c r="L50" s="39" t="s">
        <v>152</v>
      </c>
      <c r="M50" s="39" t="s">
        <v>152</v>
      </c>
      <c r="N50" s="39" t="s">
        <v>152</v>
      </c>
      <c r="O50" s="39" t="s">
        <v>152</v>
      </c>
      <c r="P50" s="39" t="s">
        <v>152</v>
      </c>
      <c r="Q50" s="39" t="s">
        <v>1</v>
      </c>
      <c r="R50" s="39" t="s">
        <v>1</v>
      </c>
      <c r="S50" s="39" t="s">
        <v>1</v>
      </c>
      <c r="T50" s="39" t="s">
        <v>1</v>
      </c>
      <c r="U50" s="39" t="s">
        <v>1</v>
      </c>
      <c r="V50" s="39" t="s">
        <v>1</v>
      </c>
      <c r="W50" s="39" t="s">
        <v>160</v>
      </c>
      <c r="X50" s="39" t="s">
        <v>1</v>
      </c>
      <c r="Y50" s="39" t="s">
        <v>1</v>
      </c>
      <c r="Z50" s="39" t="s">
        <v>2</v>
      </c>
      <c r="AA50" s="39" t="s">
        <v>1</v>
      </c>
      <c r="AB50" s="39" t="s">
        <v>160</v>
      </c>
      <c r="AC50" s="39"/>
      <c r="AD50" s="39"/>
      <c r="AE50" s="39"/>
      <c r="AF50" s="39"/>
      <c r="AG50" s="39"/>
      <c r="AH50" s="39"/>
      <c r="AI50" s="39"/>
      <c r="AJ50" s="39"/>
      <c r="AK50" s="24">
        <v>9</v>
      </c>
      <c r="AL50" s="24">
        <v>1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0</v>
      </c>
      <c r="AS50" s="24">
        <v>0</v>
      </c>
      <c r="AT50" s="24">
        <v>2</v>
      </c>
      <c r="AU50" s="25">
        <v>0</v>
      </c>
      <c r="AV50" s="25">
        <v>0</v>
      </c>
    </row>
    <row r="51" spans="1:48" ht="15.75" x14ac:dyDescent="0.25">
      <c r="A51" s="20">
        <v>48</v>
      </c>
      <c r="B51" s="38" t="s">
        <v>148</v>
      </c>
      <c r="C51" s="38" t="s">
        <v>149</v>
      </c>
      <c r="D51" s="38" t="s">
        <v>51</v>
      </c>
      <c r="E51" s="38" t="s">
        <v>103</v>
      </c>
      <c r="F51" s="39" t="s">
        <v>152</v>
      </c>
      <c r="G51" s="39" t="s">
        <v>152</v>
      </c>
      <c r="H51" s="39" t="s">
        <v>152</v>
      </c>
      <c r="I51" s="39" t="s">
        <v>152</v>
      </c>
      <c r="J51" s="39" t="s">
        <v>152</v>
      </c>
      <c r="K51" s="39" t="s">
        <v>152</v>
      </c>
      <c r="L51" s="39" t="s">
        <v>152</v>
      </c>
      <c r="M51" s="39" t="s">
        <v>152</v>
      </c>
      <c r="N51" s="39" t="s">
        <v>152</v>
      </c>
      <c r="O51" s="39" t="s">
        <v>152</v>
      </c>
      <c r="P51" s="39" t="s">
        <v>152</v>
      </c>
      <c r="Q51" s="39" t="s">
        <v>1</v>
      </c>
      <c r="R51" s="39" t="s">
        <v>1</v>
      </c>
      <c r="S51" s="39" t="s">
        <v>1</v>
      </c>
      <c r="T51" s="39" t="s">
        <v>1</v>
      </c>
      <c r="U51" s="39" t="s">
        <v>1</v>
      </c>
      <c r="V51" s="39" t="s">
        <v>1</v>
      </c>
      <c r="W51" s="39" t="s">
        <v>1</v>
      </c>
      <c r="X51" s="39" t="s">
        <v>160</v>
      </c>
      <c r="Y51" s="39" t="s">
        <v>1</v>
      </c>
      <c r="Z51" s="39" t="s">
        <v>1</v>
      </c>
      <c r="AA51" s="39" t="s">
        <v>1</v>
      </c>
      <c r="AB51" s="39" t="s">
        <v>1</v>
      </c>
      <c r="AC51" s="39"/>
      <c r="AD51" s="39"/>
      <c r="AE51" s="39"/>
      <c r="AF51" s="39"/>
      <c r="AG51" s="39"/>
      <c r="AH51" s="39"/>
      <c r="AI51" s="39"/>
      <c r="AJ51" s="39"/>
      <c r="AK51" s="24">
        <v>11</v>
      </c>
      <c r="AL51" s="24">
        <v>0</v>
      </c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4">
        <v>1</v>
      </c>
      <c r="AU51" s="25">
        <v>0</v>
      </c>
      <c r="AV51" s="25">
        <v>0</v>
      </c>
    </row>
    <row r="52" spans="1:48" ht="15.75" x14ac:dyDescent="0.25">
      <c r="A52" s="20">
        <v>49</v>
      </c>
      <c r="B52" s="38" t="s">
        <v>150</v>
      </c>
      <c r="C52" s="38" t="s">
        <v>151</v>
      </c>
      <c r="D52" s="38" t="s">
        <v>51</v>
      </c>
      <c r="E52" s="38" t="s">
        <v>103</v>
      </c>
      <c r="F52" s="39" t="s">
        <v>152</v>
      </c>
      <c r="G52" s="39" t="s">
        <v>152</v>
      </c>
      <c r="H52" s="39" t="s">
        <v>152</v>
      </c>
      <c r="I52" s="39" t="s">
        <v>152</v>
      </c>
      <c r="J52" s="39" t="s">
        <v>152</v>
      </c>
      <c r="K52" s="39" t="s">
        <v>152</v>
      </c>
      <c r="L52" s="39" t="s">
        <v>152</v>
      </c>
      <c r="M52" s="39" t="s">
        <v>152</v>
      </c>
      <c r="N52" s="39" t="s">
        <v>152</v>
      </c>
      <c r="O52" s="39" t="s">
        <v>152</v>
      </c>
      <c r="P52" s="39" t="s">
        <v>152</v>
      </c>
      <c r="Q52" s="39" t="s">
        <v>33</v>
      </c>
      <c r="R52" s="39" t="s">
        <v>163</v>
      </c>
      <c r="S52" s="39" t="s">
        <v>10</v>
      </c>
      <c r="T52" s="39" t="s">
        <v>163</v>
      </c>
      <c r="U52" s="39" t="s">
        <v>163</v>
      </c>
      <c r="V52" s="39" t="s">
        <v>163</v>
      </c>
      <c r="W52" s="39" t="s">
        <v>33</v>
      </c>
      <c r="X52" s="39" t="s">
        <v>1</v>
      </c>
      <c r="Y52" s="39" t="s">
        <v>1</v>
      </c>
      <c r="Z52" s="39" t="s">
        <v>1</v>
      </c>
      <c r="AA52" s="39" t="s">
        <v>1</v>
      </c>
      <c r="AB52" s="39" t="s">
        <v>160</v>
      </c>
      <c r="AC52" s="39"/>
      <c r="AD52" s="39"/>
      <c r="AE52" s="39"/>
      <c r="AF52" s="39"/>
      <c r="AG52" s="39"/>
      <c r="AH52" s="39"/>
      <c r="AI52" s="39"/>
      <c r="AJ52" s="39"/>
      <c r="AK52" s="24">
        <v>4</v>
      </c>
      <c r="AL52" s="24">
        <v>0</v>
      </c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4">
        <v>0</v>
      </c>
      <c r="AS52" s="24">
        <v>5</v>
      </c>
      <c r="AT52" s="24">
        <v>1</v>
      </c>
      <c r="AU52" s="25">
        <v>0</v>
      </c>
      <c r="AV52" s="25">
        <v>2</v>
      </c>
    </row>
  </sheetData>
  <sortState ref="A4:AU23">
    <sortCondition ref="D4:D23"/>
  </sortState>
  <mergeCells count="34">
    <mergeCell ref="N1:N2"/>
    <mergeCell ref="O1:O2"/>
    <mergeCell ref="P1:P2"/>
    <mergeCell ref="Q1:Q2"/>
    <mergeCell ref="R1:R2"/>
    <mergeCell ref="I1:I2"/>
    <mergeCell ref="J1:J2"/>
    <mergeCell ref="K1:K2"/>
    <mergeCell ref="L1:L2"/>
    <mergeCell ref="M1:M2"/>
    <mergeCell ref="A2:E2"/>
    <mergeCell ref="F1:F2"/>
    <mergeCell ref="G1:G2"/>
    <mergeCell ref="H1:H2"/>
    <mergeCell ref="A1:E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H1:AH2"/>
    <mergeCell ref="AI1:AI2"/>
    <mergeCell ref="AJ1:AJ2"/>
    <mergeCell ref="AK1:AV2"/>
    <mergeCell ref="AC1:AC2"/>
    <mergeCell ref="AD1:AD2"/>
    <mergeCell ref="AE1:AE2"/>
    <mergeCell ref="AF1:AF2"/>
    <mergeCell ref="AG1:AG2"/>
  </mergeCells>
  <conditionalFormatting sqref="F4:AJ52">
    <cfRule type="expression" dxfId="422" priority="2">
      <formula>F$1="FRI"</formula>
    </cfRule>
    <cfRule type="containsText" dxfId="421" priority="3" operator="containsText" text="app issue">
      <formula>NOT(ISERROR(SEARCH("app issue",F4)))</formula>
    </cfRule>
    <cfRule type="containsText" dxfId="420" priority="4" operator="containsText" text="annual">
      <formula>NOT(ISERROR(SEARCH("annual",F4)))</formula>
    </cfRule>
    <cfRule type="containsText" dxfId="419" priority="5" operator="containsText" text="Training">
      <formula>NOT(ISERROR(SEARCH("Training",F4)))</formula>
    </cfRule>
    <cfRule type="containsText" dxfId="418" priority="6" operator="containsText" text="Task">
      <formula>NOT(ISERROR(SEARCH("Task",F4)))</formula>
    </cfRule>
    <cfRule type="containsText" dxfId="417" priority="7" operator="containsText" text="UPL">
      <formula>NOT(ISERROR(SEARCH("UPL",F4)))</formula>
    </cfRule>
    <cfRule type="containsText" dxfId="416" priority="8" operator="containsText" text="No Show">
      <formula>NOT(ISERROR(SEARCH("No Show",F4)))</formula>
    </cfRule>
    <cfRule type="containsText" dxfId="415" priority="9" operator="containsText" text="OFF">
      <formula>NOT(ISERROR(SEARCH("OFF",F4)))</formula>
    </cfRule>
    <cfRule type="containsText" dxfId="414" priority="10" operator="containsText" text="Attend">
      <formula>NOT(ISERROR(SEARCH("Attend",F4)))</formula>
    </cfRule>
  </conditionalFormatting>
  <conditionalFormatting sqref="B1:B1048576">
    <cfRule type="duplicateValues" dxfId="41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O52"/>
  <sheetViews>
    <sheetView zoomScale="70" zoomScaleNormal="70" workbookViewId="0">
      <pane xSplit="2" ySplit="3" topLeftCell="N25" activePane="bottomRight" state="frozen"/>
      <selection activeCell="A2" sqref="A2"/>
      <selection pane="topRight" activeCell="C2" sqref="C2"/>
      <selection pane="bottomLeft" activeCell="A4" sqref="A4"/>
      <selection pane="bottomRight" sqref="A1:AJ52"/>
    </sheetView>
  </sheetViews>
  <sheetFormatPr defaultColWidth="9.140625" defaultRowHeight="15" outlineLevelCol="1" x14ac:dyDescent="0.25"/>
  <cols>
    <col min="1" max="1" width="12.140625" bestFit="1" customWidth="1"/>
    <col min="2" max="2" width="23.5703125" bestFit="1" customWidth="1"/>
    <col min="3" max="3" width="41.7109375" bestFit="1" customWidth="1"/>
    <col min="4" max="4" width="38.85546875" bestFit="1" customWidth="1"/>
    <col min="5" max="12" width="11.140625" customWidth="1" outlineLevel="1"/>
    <col min="13" max="13" width="10.85546875" customWidth="1" outlineLevel="1"/>
    <col min="14" max="14" width="10.42578125" customWidth="1" outlineLevel="1"/>
    <col min="15" max="15" width="10" customWidth="1" outlineLevel="1"/>
    <col min="16" max="16" width="10" bestFit="1" customWidth="1" outlineLevel="1"/>
    <col min="17" max="17" width="8.28515625" customWidth="1" outlineLevel="1"/>
    <col min="18" max="21" width="10.140625" customWidth="1" outlineLevel="1"/>
    <col min="22" max="22" width="9.28515625" customWidth="1" outlineLevel="1"/>
    <col min="23" max="26" width="9.7109375" customWidth="1" outlineLevel="1"/>
    <col min="27" max="35" width="9.85546875" customWidth="1" outlineLevel="1"/>
    <col min="36" max="36" width="15.42578125" bestFit="1" customWidth="1"/>
    <col min="37" max="55" width="9.140625" customWidth="1"/>
  </cols>
  <sheetData>
    <row r="1" spans="1:41" s="5" customFormat="1" ht="23.25" x14ac:dyDescent="0.25">
      <c r="A1" s="69" t="s">
        <v>104</v>
      </c>
      <c r="B1" s="69"/>
      <c r="C1" s="69"/>
      <c r="D1" s="69"/>
      <c r="E1" s="53" t="s">
        <v>153</v>
      </c>
      <c r="F1" s="53" t="s">
        <v>154</v>
      </c>
      <c r="G1" s="53" t="s">
        <v>155</v>
      </c>
      <c r="H1" s="53" t="s">
        <v>156</v>
      </c>
      <c r="I1" s="53" t="s">
        <v>157</v>
      </c>
      <c r="J1" s="53" t="s">
        <v>158</v>
      </c>
      <c r="K1" s="53" t="s">
        <v>159</v>
      </c>
      <c r="L1" s="53" t="s">
        <v>153</v>
      </c>
      <c r="M1" s="53" t="s">
        <v>154</v>
      </c>
      <c r="N1" s="53" t="s">
        <v>155</v>
      </c>
      <c r="O1" s="53" t="s">
        <v>156</v>
      </c>
      <c r="P1" s="53" t="s">
        <v>157</v>
      </c>
      <c r="Q1" s="53" t="s">
        <v>158</v>
      </c>
      <c r="R1" s="53" t="s">
        <v>159</v>
      </c>
      <c r="S1" s="53" t="s">
        <v>153</v>
      </c>
      <c r="T1" s="53" t="s">
        <v>154</v>
      </c>
      <c r="U1" s="53" t="s">
        <v>155</v>
      </c>
      <c r="V1" s="53" t="s">
        <v>156</v>
      </c>
      <c r="W1" s="53" t="s">
        <v>157</v>
      </c>
      <c r="X1" s="53" t="s">
        <v>158</v>
      </c>
      <c r="Y1" s="53" t="s">
        <v>159</v>
      </c>
      <c r="Z1" s="53" t="s">
        <v>153</v>
      </c>
      <c r="AA1" s="53" t="s">
        <v>154</v>
      </c>
      <c r="AB1" s="53" t="s">
        <v>155</v>
      </c>
      <c r="AC1" s="53" t="s">
        <v>156</v>
      </c>
      <c r="AD1" s="53" t="s">
        <v>157</v>
      </c>
      <c r="AE1" s="53" t="s">
        <v>158</v>
      </c>
      <c r="AF1" s="53" t="s">
        <v>159</v>
      </c>
      <c r="AG1" s="53" t="s">
        <v>153</v>
      </c>
      <c r="AH1" s="53" t="s">
        <v>154</v>
      </c>
      <c r="AI1" s="53" t="s">
        <v>155</v>
      </c>
      <c r="AJ1" s="67" t="s">
        <v>0</v>
      </c>
    </row>
    <row r="2" spans="1:41" s="5" customFormat="1" ht="23.25" x14ac:dyDescent="0.25">
      <c r="A2" s="70" t="s">
        <v>37</v>
      </c>
      <c r="B2" s="70"/>
      <c r="C2" s="70"/>
      <c r="D2" s="7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68"/>
    </row>
    <row r="3" spans="1:41" s="5" customFormat="1" ht="15.75" x14ac:dyDescent="0.25">
      <c r="A3" s="16">
        <v>0</v>
      </c>
      <c r="B3" s="20" t="s">
        <v>5</v>
      </c>
      <c r="C3" s="20" t="s">
        <v>4</v>
      </c>
      <c r="D3" s="20" t="s">
        <v>6</v>
      </c>
      <c r="E3" s="17">
        <v>45982</v>
      </c>
      <c r="F3" s="17">
        <v>45983</v>
      </c>
      <c r="G3" s="17">
        <v>45984</v>
      </c>
      <c r="H3" s="17">
        <v>45985</v>
      </c>
      <c r="I3" s="17">
        <v>45986</v>
      </c>
      <c r="J3" s="17">
        <v>45987</v>
      </c>
      <c r="K3" s="17">
        <v>45988</v>
      </c>
      <c r="L3" s="17">
        <v>45989</v>
      </c>
      <c r="M3" s="17">
        <v>45990</v>
      </c>
      <c r="N3" s="17">
        <v>45991</v>
      </c>
      <c r="O3" s="17">
        <v>45992</v>
      </c>
      <c r="P3" s="17">
        <v>45993</v>
      </c>
      <c r="Q3" s="17">
        <v>45994</v>
      </c>
      <c r="R3" s="17">
        <v>45995</v>
      </c>
      <c r="S3" s="17">
        <v>45996</v>
      </c>
      <c r="T3" s="17">
        <v>45997</v>
      </c>
      <c r="U3" s="17">
        <v>45998</v>
      </c>
      <c r="V3" s="17">
        <v>45999</v>
      </c>
      <c r="W3" s="17">
        <v>46000</v>
      </c>
      <c r="X3" s="17">
        <v>46001</v>
      </c>
      <c r="Y3" s="17">
        <v>46002</v>
      </c>
      <c r="Z3" s="17">
        <v>46003</v>
      </c>
      <c r="AA3" s="17">
        <v>46004</v>
      </c>
      <c r="AB3" s="17">
        <v>46005</v>
      </c>
      <c r="AC3" s="17">
        <v>46006</v>
      </c>
      <c r="AD3" s="17">
        <v>46007</v>
      </c>
      <c r="AE3" s="17">
        <v>46008</v>
      </c>
      <c r="AF3" s="17">
        <v>46009</v>
      </c>
      <c r="AG3" s="17">
        <v>46010</v>
      </c>
      <c r="AH3" s="17">
        <v>46011</v>
      </c>
      <c r="AI3" s="17">
        <v>46012</v>
      </c>
      <c r="AJ3" s="18" t="s">
        <v>39</v>
      </c>
    </row>
    <row r="4" spans="1:41" s="5" customFormat="1" ht="15.75" x14ac:dyDescent="0.25">
      <c r="A4" s="16">
        <v>1</v>
      </c>
      <c r="B4" s="38" t="s">
        <v>46</v>
      </c>
      <c r="C4" s="38" t="s">
        <v>47</v>
      </c>
      <c r="D4" s="38" t="s">
        <v>103</v>
      </c>
      <c r="E4" s="37" t="s">
        <v>164</v>
      </c>
      <c r="F4" s="37" t="s">
        <v>164</v>
      </c>
      <c r="G4" s="37" t="s">
        <v>164</v>
      </c>
      <c r="H4" s="37" t="s">
        <v>164</v>
      </c>
      <c r="I4" s="37" t="s">
        <v>164</v>
      </c>
      <c r="J4" s="37" t="s">
        <v>164</v>
      </c>
      <c r="K4" s="37" t="s">
        <v>164</v>
      </c>
      <c r="L4" s="37" t="s">
        <v>164</v>
      </c>
      <c r="M4" s="37" t="s">
        <v>164</v>
      </c>
      <c r="N4" s="37" t="s">
        <v>164</v>
      </c>
      <c r="O4" s="37" t="s">
        <v>164</v>
      </c>
      <c r="P4" s="37" t="s">
        <v>164</v>
      </c>
      <c r="Q4" s="37" t="s">
        <v>164</v>
      </c>
      <c r="R4" s="37" t="s">
        <v>164</v>
      </c>
      <c r="S4" s="37" t="s">
        <v>164</v>
      </c>
      <c r="T4" s="37" t="s">
        <v>164</v>
      </c>
      <c r="U4" s="37" t="s">
        <v>164</v>
      </c>
      <c r="V4" s="37" t="s">
        <v>164</v>
      </c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19">
        <v>0</v>
      </c>
    </row>
    <row r="5" spans="1:41" s="5" customFormat="1" ht="15.75" x14ac:dyDescent="0.25">
      <c r="A5" s="16">
        <v>2</v>
      </c>
      <c r="B5" s="38" t="s">
        <v>48</v>
      </c>
      <c r="C5" s="38" t="s">
        <v>49</v>
      </c>
      <c r="D5" s="38" t="s">
        <v>51</v>
      </c>
      <c r="E5" s="37">
        <v>7.1180555555555953E-3</v>
      </c>
      <c r="F5" s="37" t="s">
        <v>164</v>
      </c>
      <c r="G5" s="37" t="s">
        <v>164</v>
      </c>
      <c r="H5" s="37">
        <v>2.0243055555555573E-2</v>
      </c>
      <c r="I5" s="37">
        <v>1.4814814814814909E-3</v>
      </c>
      <c r="J5" s="37">
        <v>2.6805555555555527E-2</v>
      </c>
      <c r="K5" s="37">
        <v>1.1898148148148158E-2</v>
      </c>
      <c r="L5" s="37">
        <v>1.6747685185185174E-2</v>
      </c>
      <c r="M5" s="37" t="s">
        <v>164</v>
      </c>
      <c r="N5" s="37" t="s">
        <v>164</v>
      </c>
      <c r="O5" s="37" t="s">
        <v>164</v>
      </c>
      <c r="P5" s="37">
        <v>9.3171296296296422E-3</v>
      </c>
      <c r="Q5" s="37">
        <v>7.9212962962962943E-2</v>
      </c>
      <c r="R5" s="37">
        <v>1.4120370370370356E-3</v>
      </c>
      <c r="S5" s="37" t="s">
        <v>164</v>
      </c>
      <c r="T5" s="37" t="s">
        <v>164</v>
      </c>
      <c r="U5" s="37" t="s">
        <v>164</v>
      </c>
      <c r="V5" s="37" t="s">
        <v>164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19">
        <v>0.17423611111111115</v>
      </c>
    </row>
    <row r="6" spans="1:41" s="5" customFormat="1" ht="15.75" x14ac:dyDescent="0.25">
      <c r="A6" s="16">
        <v>3</v>
      </c>
      <c r="B6" s="38" t="s">
        <v>50</v>
      </c>
      <c r="C6" s="38" t="s">
        <v>51</v>
      </c>
      <c r="D6" s="38" t="s">
        <v>103</v>
      </c>
      <c r="E6" s="37" t="s">
        <v>164</v>
      </c>
      <c r="F6" s="37" t="s">
        <v>164</v>
      </c>
      <c r="G6" s="37" t="s">
        <v>164</v>
      </c>
      <c r="H6" s="37">
        <v>0</v>
      </c>
      <c r="I6" s="37" t="s">
        <v>164</v>
      </c>
      <c r="J6" s="37" t="s">
        <v>164</v>
      </c>
      <c r="K6" s="37">
        <v>0</v>
      </c>
      <c r="L6" s="37" t="s">
        <v>164</v>
      </c>
      <c r="M6" s="37" t="s">
        <v>164</v>
      </c>
      <c r="N6" s="37" t="s">
        <v>164</v>
      </c>
      <c r="O6" s="37" t="s">
        <v>164</v>
      </c>
      <c r="P6" s="37" t="s">
        <v>164</v>
      </c>
      <c r="Q6" s="37">
        <v>4.6296296296303531E-5</v>
      </c>
      <c r="R6" s="37" t="s">
        <v>164</v>
      </c>
      <c r="S6" s="37">
        <v>0.23561342592592593</v>
      </c>
      <c r="T6" s="37" t="s">
        <v>164</v>
      </c>
      <c r="U6" s="37" t="s">
        <v>164</v>
      </c>
      <c r="V6" s="37" t="s">
        <v>164</v>
      </c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19">
        <v>0.23565972222222223</v>
      </c>
    </row>
    <row r="7" spans="1:41" s="5" customFormat="1" ht="15.75" x14ac:dyDescent="0.25">
      <c r="A7" s="16">
        <v>4</v>
      </c>
      <c r="B7" s="38" t="s">
        <v>52</v>
      </c>
      <c r="C7" s="38" t="s">
        <v>53</v>
      </c>
      <c r="D7" s="38" t="s">
        <v>56</v>
      </c>
      <c r="E7" s="37" t="s">
        <v>164</v>
      </c>
      <c r="F7" s="37" t="s">
        <v>164</v>
      </c>
      <c r="G7" s="37" t="s">
        <v>164</v>
      </c>
      <c r="H7" s="37" t="s">
        <v>164</v>
      </c>
      <c r="I7" s="37" t="s">
        <v>164</v>
      </c>
      <c r="J7" s="37" t="s">
        <v>164</v>
      </c>
      <c r="K7" s="37" t="s">
        <v>164</v>
      </c>
      <c r="L7" s="37" t="s">
        <v>164</v>
      </c>
      <c r="M7" s="37" t="s">
        <v>164</v>
      </c>
      <c r="N7" s="37" t="s">
        <v>164</v>
      </c>
      <c r="O7" s="37" t="s">
        <v>164</v>
      </c>
      <c r="P7" s="37" t="s">
        <v>164</v>
      </c>
      <c r="Q7" s="37" t="s">
        <v>164</v>
      </c>
      <c r="R7" s="37" t="s">
        <v>164</v>
      </c>
      <c r="S7" s="37" t="s">
        <v>164</v>
      </c>
      <c r="T7" s="37" t="s">
        <v>164</v>
      </c>
      <c r="U7" s="37" t="s">
        <v>164</v>
      </c>
      <c r="V7" s="37" t="s">
        <v>164</v>
      </c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19">
        <v>0</v>
      </c>
    </row>
    <row r="8" spans="1:41" s="5" customFormat="1" ht="15.75" x14ac:dyDescent="0.25">
      <c r="A8" s="16">
        <v>5</v>
      </c>
      <c r="B8" s="38" t="s">
        <v>55</v>
      </c>
      <c r="C8" s="38" t="s">
        <v>56</v>
      </c>
      <c r="D8" s="38" t="s">
        <v>103</v>
      </c>
      <c r="E8" s="37" t="s">
        <v>164</v>
      </c>
      <c r="F8" s="37" t="s">
        <v>164</v>
      </c>
      <c r="G8" s="37" t="s">
        <v>164</v>
      </c>
      <c r="H8" s="37" t="s">
        <v>164</v>
      </c>
      <c r="I8" s="37" t="s">
        <v>164</v>
      </c>
      <c r="J8" s="37" t="s">
        <v>164</v>
      </c>
      <c r="K8" s="37" t="s">
        <v>164</v>
      </c>
      <c r="L8" s="37" t="s">
        <v>164</v>
      </c>
      <c r="M8" s="37" t="s">
        <v>164</v>
      </c>
      <c r="N8" s="37" t="s">
        <v>164</v>
      </c>
      <c r="O8" s="37" t="s">
        <v>164</v>
      </c>
      <c r="P8" s="37" t="s">
        <v>164</v>
      </c>
      <c r="Q8" s="37" t="s">
        <v>164</v>
      </c>
      <c r="R8" s="37" t="s">
        <v>164</v>
      </c>
      <c r="S8" s="37" t="s">
        <v>164</v>
      </c>
      <c r="T8" s="37" t="s">
        <v>164</v>
      </c>
      <c r="U8" s="37" t="s">
        <v>164</v>
      </c>
      <c r="V8" s="37" t="s">
        <v>164</v>
      </c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19">
        <v>0</v>
      </c>
    </row>
    <row r="9" spans="1:41" s="5" customFormat="1" ht="15.75" x14ac:dyDescent="0.25">
      <c r="A9" s="16">
        <v>6</v>
      </c>
      <c r="B9" s="38" t="s">
        <v>57</v>
      </c>
      <c r="C9" s="38" t="s">
        <v>58</v>
      </c>
      <c r="D9" s="38" t="s">
        <v>56</v>
      </c>
      <c r="E9" s="37" t="s">
        <v>164</v>
      </c>
      <c r="F9" s="37" t="s">
        <v>164</v>
      </c>
      <c r="G9" s="37">
        <v>8.3796296296296448E-3</v>
      </c>
      <c r="H9" s="37" t="s">
        <v>164</v>
      </c>
      <c r="I9" s="37" t="s">
        <v>164</v>
      </c>
      <c r="J9" s="37" t="s">
        <v>164</v>
      </c>
      <c r="K9" s="37" t="s">
        <v>164</v>
      </c>
      <c r="L9" s="37" t="s">
        <v>164</v>
      </c>
      <c r="M9" s="37" t="s">
        <v>164</v>
      </c>
      <c r="N9" s="37" t="s">
        <v>164</v>
      </c>
      <c r="O9" s="37" t="s">
        <v>164</v>
      </c>
      <c r="P9" s="37" t="s">
        <v>164</v>
      </c>
      <c r="Q9" s="37" t="s">
        <v>164</v>
      </c>
      <c r="R9" s="37" t="s">
        <v>164</v>
      </c>
      <c r="S9" s="37" t="s">
        <v>164</v>
      </c>
      <c r="T9" s="37" t="s">
        <v>164</v>
      </c>
      <c r="U9" s="37" t="s">
        <v>164</v>
      </c>
      <c r="V9" s="37" t="s">
        <v>164</v>
      </c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19">
        <v>8.3796296296296448E-3</v>
      </c>
    </row>
    <row r="10" spans="1:41" s="5" customFormat="1" ht="15.75" x14ac:dyDescent="0.25">
      <c r="A10" s="16">
        <v>7</v>
      </c>
      <c r="B10" s="38" t="s">
        <v>59</v>
      </c>
      <c r="C10" s="38" t="s">
        <v>60</v>
      </c>
      <c r="D10" s="38" t="s">
        <v>103</v>
      </c>
      <c r="E10" s="37">
        <v>2.3148148148151766E-5</v>
      </c>
      <c r="F10" s="37" t="s">
        <v>164</v>
      </c>
      <c r="G10" s="37" t="s">
        <v>164</v>
      </c>
      <c r="H10" s="37">
        <v>0</v>
      </c>
      <c r="I10" s="37" t="s">
        <v>164</v>
      </c>
      <c r="J10" s="37" t="s">
        <v>164</v>
      </c>
      <c r="K10" s="37" t="s">
        <v>164</v>
      </c>
      <c r="L10" s="37" t="s">
        <v>164</v>
      </c>
      <c r="M10" s="37" t="s">
        <v>164</v>
      </c>
      <c r="N10" s="37" t="s">
        <v>164</v>
      </c>
      <c r="O10" s="37" t="s">
        <v>164</v>
      </c>
      <c r="P10" s="37" t="s">
        <v>164</v>
      </c>
      <c r="Q10" s="37" t="s">
        <v>164</v>
      </c>
      <c r="R10" s="37" t="s">
        <v>164</v>
      </c>
      <c r="S10" s="37" t="s">
        <v>164</v>
      </c>
      <c r="T10" s="37" t="s">
        <v>164</v>
      </c>
      <c r="U10" s="37" t="s">
        <v>164</v>
      </c>
      <c r="V10" s="37" t="s">
        <v>164</v>
      </c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19">
        <v>2.3148148148151766E-5</v>
      </c>
    </row>
    <row r="11" spans="1:41" s="5" customFormat="1" ht="15.75" x14ac:dyDescent="0.25">
      <c r="A11" s="16">
        <v>8</v>
      </c>
      <c r="B11" s="38" t="s">
        <v>61</v>
      </c>
      <c r="C11" s="38" t="s">
        <v>62</v>
      </c>
      <c r="D11" s="38" t="s">
        <v>56</v>
      </c>
      <c r="E11" s="37" t="s">
        <v>164</v>
      </c>
      <c r="F11" s="37" t="s">
        <v>164</v>
      </c>
      <c r="G11" s="37" t="s">
        <v>164</v>
      </c>
      <c r="H11" s="37" t="s">
        <v>164</v>
      </c>
      <c r="I11" s="37" t="s">
        <v>164</v>
      </c>
      <c r="J11" s="37" t="s">
        <v>164</v>
      </c>
      <c r="K11" s="37">
        <v>2.36111111111111E-2</v>
      </c>
      <c r="L11" s="37" t="s">
        <v>164</v>
      </c>
      <c r="M11" s="37" t="s">
        <v>164</v>
      </c>
      <c r="N11" s="37" t="s">
        <v>164</v>
      </c>
      <c r="O11" s="37">
        <v>1.4456018518518521E-2</v>
      </c>
      <c r="P11" s="37">
        <v>1.0416666666666814E-3</v>
      </c>
      <c r="Q11" s="37">
        <v>6.0416666666666492E-3</v>
      </c>
      <c r="R11" s="37" t="s">
        <v>164</v>
      </c>
      <c r="S11" s="37" t="s">
        <v>164</v>
      </c>
      <c r="T11" s="37" t="s">
        <v>164</v>
      </c>
      <c r="U11" s="37" t="s">
        <v>164</v>
      </c>
      <c r="V11" s="37" t="s">
        <v>164</v>
      </c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19">
        <v>4.5150462962962948E-2</v>
      </c>
      <c r="AO11" s="40"/>
    </row>
    <row r="12" spans="1:41" s="5" customFormat="1" ht="15.75" x14ac:dyDescent="0.25">
      <c r="A12" s="16">
        <v>9</v>
      </c>
      <c r="B12" s="38" t="s">
        <v>63</v>
      </c>
      <c r="C12" s="38" t="s">
        <v>64</v>
      </c>
      <c r="D12" s="38" t="s">
        <v>103</v>
      </c>
      <c r="E12" s="37" t="s">
        <v>164</v>
      </c>
      <c r="F12" s="37" t="s">
        <v>164</v>
      </c>
      <c r="G12" s="37" t="s">
        <v>164</v>
      </c>
      <c r="H12" s="37" t="s">
        <v>164</v>
      </c>
      <c r="I12" s="37" t="s">
        <v>164</v>
      </c>
      <c r="J12" s="37" t="s">
        <v>164</v>
      </c>
      <c r="K12" s="37" t="s">
        <v>164</v>
      </c>
      <c r="L12" s="37" t="s">
        <v>164</v>
      </c>
      <c r="M12" s="37" t="s">
        <v>164</v>
      </c>
      <c r="N12" s="37" t="s">
        <v>164</v>
      </c>
      <c r="O12" s="37" t="s">
        <v>164</v>
      </c>
      <c r="P12" s="37" t="s">
        <v>164</v>
      </c>
      <c r="Q12" s="37" t="s">
        <v>164</v>
      </c>
      <c r="R12" s="37" t="s">
        <v>164</v>
      </c>
      <c r="S12" s="37" t="s">
        <v>164</v>
      </c>
      <c r="T12" s="37" t="s">
        <v>164</v>
      </c>
      <c r="U12" s="37" t="s">
        <v>164</v>
      </c>
      <c r="V12" s="37" t="s">
        <v>164</v>
      </c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19">
        <v>0</v>
      </c>
    </row>
    <row r="13" spans="1:41" s="5" customFormat="1" ht="15.75" x14ac:dyDescent="0.25">
      <c r="A13" s="16">
        <v>10</v>
      </c>
      <c r="B13" s="38" t="s">
        <v>65</v>
      </c>
      <c r="C13" s="38" t="s">
        <v>66</v>
      </c>
      <c r="D13" s="38" t="s">
        <v>51</v>
      </c>
      <c r="E13" s="37" t="s">
        <v>164</v>
      </c>
      <c r="F13" s="37" t="s">
        <v>164</v>
      </c>
      <c r="G13" s="37" t="s">
        <v>164</v>
      </c>
      <c r="H13" s="37" t="s">
        <v>164</v>
      </c>
      <c r="I13" s="37" t="s">
        <v>164</v>
      </c>
      <c r="J13" s="37" t="s">
        <v>164</v>
      </c>
      <c r="K13" s="37" t="s">
        <v>164</v>
      </c>
      <c r="L13" s="37" t="s">
        <v>164</v>
      </c>
      <c r="M13" s="37">
        <v>5.0925925925925748E-3</v>
      </c>
      <c r="N13" s="37" t="s">
        <v>164</v>
      </c>
      <c r="O13" s="37" t="s">
        <v>164</v>
      </c>
      <c r="P13" s="37" t="s">
        <v>164</v>
      </c>
      <c r="Q13" s="37" t="s">
        <v>164</v>
      </c>
      <c r="R13" s="37" t="s">
        <v>164</v>
      </c>
      <c r="S13" s="37" t="s">
        <v>164</v>
      </c>
      <c r="T13" s="37" t="s">
        <v>164</v>
      </c>
      <c r="U13" s="37" t="s">
        <v>164</v>
      </c>
      <c r="V13" s="37" t="s">
        <v>164</v>
      </c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19">
        <v>5.0925925925925748E-3</v>
      </c>
    </row>
    <row r="14" spans="1:41" s="5" customFormat="1" ht="15.75" x14ac:dyDescent="0.25">
      <c r="A14" s="16">
        <v>11</v>
      </c>
      <c r="B14" s="38" t="s">
        <v>67</v>
      </c>
      <c r="C14" s="38" t="s">
        <v>68</v>
      </c>
      <c r="D14" s="38" t="s">
        <v>56</v>
      </c>
      <c r="E14" s="37" t="s">
        <v>164</v>
      </c>
      <c r="F14" s="37" t="s">
        <v>164</v>
      </c>
      <c r="G14" s="37" t="s">
        <v>164</v>
      </c>
      <c r="H14" s="37" t="s">
        <v>164</v>
      </c>
      <c r="I14" s="37" t="s">
        <v>164</v>
      </c>
      <c r="J14" s="37" t="s">
        <v>164</v>
      </c>
      <c r="K14" s="37" t="s">
        <v>164</v>
      </c>
      <c r="L14" s="37" t="s">
        <v>164</v>
      </c>
      <c r="M14" s="37" t="s">
        <v>164</v>
      </c>
      <c r="N14" s="37" t="s">
        <v>164</v>
      </c>
      <c r="O14" s="37">
        <v>2.8703703703703751E-3</v>
      </c>
      <c r="P14" s="37" t="s">
        <v>164</v>
      </c>
      <c r="Q14" s="37" t="s">
        <v>164</v>
      </c>
      <c r="R14" s="37" t="s">
        <v>164</v>
      </c>
      <c r="S14" s="37" t="s">
        <v>164</v>
      </c>
      <c r="T14" s="37" t="s">
        <v>164</v>
      </c>
      <c r="U14" s="37" t="s">
        <v>164</v>
      </c>
      <c r="V14" s="37" t="s">
        <v>164</v>
      </c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19">
        <v>2.8703703703703751E-3</v>
      </c>
    </row>
    <row r="15" spans="1:41" s="5" customFormat="1" ht="15.75" x14ac:dyDescent="0.25">
      <c r="A15" s="16">
        <v>12</v>
      </c>
      <c r="B15" s="38" t="s">
        <v>69</v>
      </c>
      <c r="C15" s="38" t="s">
        <v>70</v>
      </c>
      <c r="D15" s="38" t="s">
        <v>60</v>
      </c>
      <c r="E15" s="37" t="s">
        <v>164</v>
      </c>
      <c r="F15" s="37" t="s">
        <v>164</v>
      </c>
      <c r="G15" s="37" t="s">
        <v>164</v>
      </c>
      <c r="H15" s="37" t="s">
        <v>164</v>
      </c>
      <c r="I15" s="37" t="s">
        <v>164</v>
      </c>
      <c r="J15" s="37" t="s">
        <v>164</v>
      </c>
      <c r="K15" s="37" t="s">
        <v>164</v>
      </c>
      <c r="L15" s="37" t="s">
        <v>164</v>
      </c>
      <c r="M15" s="37" t="s">
        <v>164</v>
      </c>
      <c r="N15" s="37" t="s">
        <v>164</v>
      </c>
      <c r="O15" s="37" t="s">
        <v>164</v>
      </c>
      <c r="P15" s="37" t="s">
        <v>164</v>
      </c>
      <c r="Q15" s="37" t="s">
        <v>164</v>
      </c>
      <c r="R15" s="37">
        <v>3.5069444444444375E-3</v>
      </c>
      <c r="S15" s="37" t="s">
        <v>164</v>
      </c>
      <c r="T15" s="37" t="s">
        <v>164</v>
      </c>
      <c r="U15" s="37" t="s">
        <v>164</v>
      </c>
      <c r="V15" s="37" t="s">
        <v>164</v>
      </c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19">
        <v>3.5069444444444375E-3</v>
      </c>
    </row>
    <row r="16" spans="1:41" s="5" customFormat="1" ht="15.75" x14ac:dyDescent="0.25">
      <c r="A16" s="16">
        <v>13</v>
      </c>
      <c r="B16" s="38" t="s">
        <v>71</v>
      </c>
      <c r="C16" s="38" t="s">
        <v>72</v>
      </c>
      <c r="D16" s="38" t="s">
        <v>56</v>
      </c>
      <c r="E16" s="37" t="s">
        <v>164</v>
      </c>
      <c r="F16" s="37" t="s">
        <v>164</v>
      </c>
      <c r="G16" s="37" t="s">
        <v>164</v>
      </c>
      <c r="H16" s="37">
        <v>5.3703703703703214E-3</v>
      </c>
      <c r="I16" s="37" t="s">
        <v>164</v>
      </c>
      <c r="J16" s="37" t="s">
        <v>164</v>
      </c>
      <c r="K16" s="37" t="s">
        <v>164</v>
      </c>
      <c r="L16" s="37" t="s">
        <v>164</v>
      </c>
      <c r="M16" s="37" t="s">
        <v>164</v>
      </c>
      <c r="N16" s="37" t="s">
        <v>164</v>
      </c>
      <c r="O16" s="37" t="s">
        <v>164</v>
      </c>
      <c r="P16" s="37" t="s">
        <v>164</v>
      </c>
      <c r="Q16" s="37" t="s">
        <v>164</v>
      </c>
      <c r="R16" s="37" t="s">
        <v>164</v>
      </c>
      <c r="S16" s="37">
        <v>6.3657407407406996E-3</v>
      </c>
      <c r="T16" s="37" t="s">
        <v>164</v>
      </c>
      <c r="U16" s="37" t="s">
        <v>164</v>
      </c>
      <c r="V16" s="37" t="s">
        <v>164</v>
      </c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19">
        <v>1.173611111111102E-2</v>
      </c>
    </row>
    <row r="17" spans="1:36" s="5" customFormat="1" ht="15.75" x14ac:dyDescent="0.25">
      <c r="A17" s="16">
        <v>14</v>
      </c>
      <c r="B17" s="38" t="s">
        <v>73</v>
      </c>
      <c r="C17" s="38" t="s">
        <v>74</v>
      </c>
      <c r="D17" s="38" t="s">
        <v>60</v>
      </c>
      <c r="E17" s="37" t="s">
        <v>164</v>
      </c>
      <c r="F17" s="37" t="s">
        <v>164</v>
      </c>
      <c r="G17" s="37" t="s">
        <v>164</v>
      </c>
      <c r="H17" s="37" t="s">
        <v>164</v>
      </c>
      <c r="I17" s="37" t="s">
        <v>164</v>
      </c>
      <c r="J17" s="37" t="s">
        <v>164</v>
      </c>
      <c r="K17" s="37">
        <v>1.0891203703703667E-2</v>
      </c>
      <c r="L17" s="37">
        <v>6.293981481481481E-2</v>
      </c>
      <c r="M17" s="37">
        <v>2.9027777777777763E-2</v>
      </c>
      <c r="N17" s="37" t="s">
        <v>164</v>
      </c>
      <c r="O17" s="37">
        <v>6.7939814814814703E-3</v>
      </c>
      <c r="P17" s="37">
        <v>1.1122685185185185E-2</v>
      </c>
      <c r="Q17" s="37" t="s">
        <v>164</v>
      </c>
      <c r="R17" s="37" t="s">
        <v>164</v>
      </c>
      <c r="S17" s="37" t="s">
        <v>164</v>
      </c>
      <c r="T17" s="37" t="s">
        <v>164</v>
      </c>
      <c r="U17" s="37" t="s">
        <v>164</v>
      </c>
      <c r="V17" s="37" t="s">
        <v>164</v>
      </c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19">
        <v>0.12077546296296289</v>
      </c>
    </row>
    <row r="18" spans="1:36" s="5" customFormat="1" ht="15.75" x14ac:dyDescent="0.25">
      <c r="A18" s="16">
        <v>15</v>
      </c>
      <c r="B18" s="38" t="s">
        <v>75</v>
      </c>
      <c r="C18" s="38" t="s">
        <v>76</v>
      </c>
      <c r="D18" s="38" t="s">
        <v>60</v>
      </c>
      <c r="E18" s="37">
        <v>8.2638888888888484E-3</v>
      </c>
      <c r="F18" s="37">
        <v>6.8055555555555092E-3</v>
      </c>
      <c r="G18" s="37" t="s">
        <v>164</v>
      </c>
      <c r="H18" s="37" t="s">
        <v>164</v>
      </c>
      <c r="I18" s="37">
        <v>1.2013888888888916E-2</v>
      </c>
      <c r="J18" s="37" t="s">
        <v>164</v>
      </c>
      <c r="K18" s="37">
        <v>2.1064814814814814E-2</v>
      </c>
      <c r="L18" s="37" t="s">
        <v>164</v>
      </c>
      <c r="M18" s="37">
        <v>1.5960648148148165E-2</v>
      </c>
      <c r="N18" s="37" t="s">
        <v>164</v>
      </c>
      <c r="O18" s="37">
        <v>6.2500000000002365E-4</v>
      </c>
      <c r="P18" s="37">
        <v>4.3981481481480955E-3</v>
      </c>
      <c r="Q18" s="37">
        <v>1.7951388888888881E-2</v>
      </c>
      <c r="R18" s="37">
        <v>1.5949074074074126E-2</v>
      </c>
      <c r="S18" s="37" t="s">
        <v>164</v>
      </c>
      <c r="T18" s="37" t="s">
        <v>164</v>
      </c>
      <c r="U18" s="37" t="s">
        <v>164</v>
      </c>
      <c r="V18" s="37" t="s">
        <v>164</v>
      </c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19">
        <v>0.10303240740740738</v>
      </c>
    </row>
    <row r="19" spans="1:36" s="5" customFormat="1" ht="15.75" x14ac:dyDescent="0.25">
      <c r="A19" s="16">
        <v>16</v>
      </c>
      <c r="B19" s="38" t="s">
        <v>77</v>
      </c>
      <c r="C19" s="38" t="s">
        <v>78</v>
      </c>
      <c r="D19" s="38" t="s">
        <v>51</v>
      </c>
      <c r="E19" s="37">
        <v>6.4930555555555713E-3</v>
      </c>
      <c r="F19" s="37" t="s">
        <v>164</v>
      </c>
      <c r="G19" s="37" t="s">
        <v>164</v>
      </c>
      <c r="H19" s="37" t="s">
        <v>164</v>
      </c>
      <c r="I19" s="37" t="s">
        <v>164</v>
      </c>
      <c r="J19" s="37" t="s">
        <v>164</v>
      </c>
      <c r="K19" s="37" t="s">
        <v>164</v>
      </c>
      <c r="L19" s="37">
        <v>5.9143518518518512E-3</v>
      </c>
      <c r="M19" s="37" t="s">
        <v>164</v>
      </c>
      <c r="N19" s="37" t="s">
        <v>164</v>
      </c>
      <c r="O19" s="37">
        <v>1.4409722222222218E-2</v>
      </c>
      <c r="P19" s="37" t="s">
        <v>164</v>
      </c>
      <c r="Q19" s="37">
        <v>4.1666666666666519E-3</v>
      </c>
      <c r="R19" s="37" t="s">
        <v>164</v>
      </c>
      <c r="S19" s="37">
        <v>1.5000000000000013E-2</v>
      </c>
      <c r="T19" s="37" t="s">
        <v>164</v>
      </c>
      <c r="U19" s="37" t="s">
        <v>164</v>
      </c>
      <c r="V19" s="37" t="s">
        <v>164</v>
      </c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19">
        <v>4.5983796296296307E-2</v>
      </c>
    </row>
    <row r="20" spans="1:36" s="5" customFormat="1" ht="15.75" x14ac:dyDescent="0.25">
      <c r="A20" s="16">
        <v>17</v>
      </c>
      <c r="B20" s="38" t="s">
        <v>79</v>
      </c>
      <c r="C20" s="38" t="s">
        <v>80</v>
      </c>
      <c r="D20" s="38" t="s">
        <v>56</v>
      </c>
      <c r="E20" s="37" t="s">
        <v>164</v>
      </c>
      <c r="F20" s="37" t="s">
        <v>164</v>
      </c>
      <c r="G20" s="37" t="s">
        <v>164</v>
      </c>
      <c r="H20" s="37" t="s">
        <v>164</v>
      </c>
      <c r="I20" s="37" t="s">
        <v>164</v>
      </c>
      <c r="J20" s="37" t="s">
        <v>164</v>
      </c>
      <c r="K20" s="37" t="s">
        <v>164</v>
      </c>
      <c r="L20" s="37" t="s">
        <v>164</v>
      </c>
      <c r="M20" s="37" t="s">
        <v>164</v>
      </c>
      <c r="N20" s="37" t="s">
        <v>164</v>
      </c>
      <c r="O20" s="37" t="s">
        <v>164</v>
      </c>
      <c r="P20" s="37" t="s">
        <v>164</v>
      </c>
      <c r="Q20" s="37" t="s">
        <v>164</v>
      </c>
      <c r="R20" s="37" t="s">
        <v>164</v>
      </c>
      <c r="S20" s="37" t="s">
        <v>164</v>
      </c>
      <c r="T20" s="37" t="s">
        <v>164</v>
      </c>
      <c r="U20" s="37" t="s">
        <v>164</v>
      </c>
      <c r="V20" s="37" t="s">
        <v>164</v>
      </c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19">
        <v>0</v>
      </c>
    </row>
    <row r="21" spans="1:36" s="5" customFormat="1" ht="15.75" x14ac:dyDescent="0.25">
      <c r="A21" s="16">
        <v>18</v>
      </c>
      <c r="B21" s="38" t="s">
        <v>81</v>
      </c>
      <c r="C21" s="38" t="s">
        <v>82</v>
      </c>
      <c r="D21" s="38" t="s">
        <v>56</v>
      </c>
      <c r="E21" s="37" t="s">
        <v>164</v>
      </c>
      <c r="F21" s="37" t="s">
        <v>164</v>
      </c>
      <c r="G21" s="37" t="s">
        <v>164</v>
      </c>
      <c r="H21" s="37" t="s">
        <v>164</v>
      </c>
      <c r="I21" s="37" t="s">
        <v>164</v>
      </c>
      <c r="J21" s="37" t="s">
        <v>164</v>
      </c>
      <c r="K21" s="37" t="s">
        <v>164</v>
      </c>
      <c r="L21" s="37" t="s">
        <v>164</v>
      </c>
      <c r="M21" s="37" t="s">
        <v>164</v>
      </c>
      <c r="N21" s="37" t="s">
        <v>164</v>
      </c>
      <c r="O21" s="37">
        <v>7.407407407407085E-4</v>
      </c>
      <c r="P21" s="37" t="s">
        <v>164</v>
      </c>
      <c r="Q21" s="37" t="s">
        <v>164</v>
      </c>
      <c r="R21" s="37">
        <v>1.8402777777777324E-3</v>
      </c>
      <c r="S21" s="37" t="s">
        <v>164</v>
      </c>
      <c r="T21" s="37" t="s">
        <v>164</v>
      </c>
      <c r="U21" s="37" t="s">
        <v>164</v>
      </c>
      <c r="V21" s="37" t="s">
        <v>164</v>
      </c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19">
        <v>2.5810185185184409E-3</v>
      </c>
    </row>
    <row r="22" spans="1:36" s="5" customFormat="1" ht="15.75" x14ac:dyDescent="0.25">
      <c r="A22" s="16">
        <v>19</v>
      </c>
      <c r="B22" s="38" t="s">
        <v>83</v>
      </c>
      <c r="C22" s="38" t="s">
        <v>84</v>
      </c>
      <c r="D22" s="38" t="s">
        <v>56</v>
      </c>
      <c r="E22" s="37" t="s">
        <v>164</v>
      </c>
      <c r="F22" s="37" t="s">
        <v>164</v>
      </c>
      <c r="G22" s="37" t="s">
        <v>164</v>
      </c>
      <c r="H22" s="37" t="s">
        <v>164</v>
      </c>
      <c r="I22" s="37" t="s">
        <v>164</v>
      </c>
      <c r="J22" s="37" t="s">
        <v>164</v>
      </c>
      <c r="K22" s="37" t="s">
        <v>164</v>
      </c>
      <c r="L22" s="37" t="s">
        <v>164</v>
      </c>
      <c r="M22" s="37" t="s">
        <v>164</v>
      </c>
      <c r="N22" s="37" t="s">
        <v>164</v>
      </c>
      <c r="O22" s="37" t="s">
        <v>164</v>
      </c>
      <c r="P22" s="37" t="s">
        <v>164</v>
      </c>
      <c r="Q22" s="37" t="s">
        <v>164</v>
      </c>
      <c r="R22" s="37" t="s">
        <v>164</v>
      </c>
      <c r="S22" s="37" t="s">
        <v>164</v>
      </c>
      <c r="T22" s="37" t="s">
        <v>164</v>
      </c>
      <c r="U22" s="37" t="s">
        <v>164</v>
      </c>
      <c r="V22" s="37">
        <v>4.3611111111111121E-2</v>
      </c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19">
        <v>4.3611111111111121E-2</v>
      </c>
    </row>
    <row r="23" spans="1:36" s="5" customFormat="1" ht="15.75" x14ac:dyDescent="0.25">
      <c r="A23" s="16">
        <v>20</v>
      </c>
      <c r="B23" s="38" t="s">
        <v>85</v>
      </c>
      <c r="C23" s="38" t="s">
        <v>86</v>
      </c>
      <c r="D23" s="38" t="s">
        <v>60</v>
      </c>
      <c r="E23" s="37" t="s">
        <v>164</v>
      </c>
      <c r="F23" s="37" t="s">
        <v>164</v>
      </c>
      <c r="G23" s="37" t="s">
        <v>164</v>
      </c>
      <c r="H23" s="37" t="s">
        <v>164</v>
      </c>
      <c r="I23" s="37" t="s">
        <v>164</v>
      </c>
      <c r="J23" s="37" t="s">
        <v>164</v>
      </c>
      <c r="K23" s="37" t="s">
        <v>164</v>
      </c>
      <c r="L23" s="37" t="s">
        <v>164</v>
      </c>
      <c r="M23" s="37" t="s">
        <v>164</v>
      </c>
      <c r="N23" s="37" t="s">
        <v>164</v>
      </c>
      <c r="O23" s="37" t="s">
        <v>164</v>
      </c>
      <c r="P23" s="37" t="s">
        <v>164</v>
      </c>
      <c r="Q23" s="37" t="s">
        <v>164</v>
      </c>
      <c r="R23" s="37" t="s">
        <v>164</v>
      </c>
      <c r="S23" s="37">
        <v>0</v>
      </c>
      <c r="T23" s="37" t="s">
        <v>164</v>
      </c>
      <c r="U23" s="37" t="s">
        <v>164</v>
      </c>
      <c r="V23" s="37" t="s">
        <v>164</v>
      </c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19">
        <v>0</v>
      </c>
    </row>
    <row r="24" spans="1:36" s="5" customFormat="1" ht="15.75" x14ac:dyDescent="0.25">
      <c r="A24" s="16">
        <v>21</v>
      </c>
      <c r="B24" s="38" t="s">
        <v>87</v>
      </c>
      <c r="C24" s="38" t="s">
        <v>88</v>
      </c>
      <c r="D24" s="38" t="s">
        <v>60</v>
      </c>
      <c r="E24" s="37" t="s">
        <v>164</v>
      </c>
      <c r="F24" s="37" t="s">
        <v>164</v>
      </c>
      <c r="G24" s="37" t="s">
        <v>164</v>
      </c>
      <c r="H24" s="37">
        <v>2.9745370370370208E-3</v>
      </c>
      <c r="I24" s="37" t="s">
        <v>164</v>
      </c>
      <c r="J24" s="37" t="s">
        <v>164</v>
      </c>
      <c r="K24" s="37" t="s">
        <v>164</v>
      </c>
      <c r="L24" s="37" t="s">
        <v>164</v>
      </c>
      <c r="M24" s="37" t="s">
        <v>164</v>
      </c>
      <c r="N24" s="37" t="s">
        <v>164</v>
      </c>
      <c r="O24" s="37" t="s">
        <v>164</v>
      </c>
      <c r="P24" s="37" t="s">
        <v>164</v>
      </c>
      <c r="Q24" s="37" t="s">
        <v>164</v>
      </c>
      <c r="R24" s="37" t="s">
        <v>164</v>
      </c>
      <c r="S24" s="37" t="s">
        <v>164</v>
      </c>
      <c r="T24" s="37" t="s">
        <v>164</v>
      </c>
      <c r="U24" s="37" t="s">
        <v>164</v>
      </c>
      <c r="V24" s="37" t="s">
        <v>164</v>
      </c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19">
        <v>2.9745370370370208E-3</v>
      </c>
    </row>
    <row r="25" spans="1:36" s="5" customFormat="1" ht="15.75" x14ac:dyDescent="0.25">
      <c r="A25" s="16">
        <v>22</v>
      </c>
      <c r="B25" s="38" t="s">
        <v>89</v>
      </c>
      <c r="C25" s="38" t="s">
        <v>90</v>
      </c>
      <c r="D25" s="38" t="s">
        <v>56</v>
      </c>
      <c r="E25" s="37" t="s">
        <v>164</v>
      </c>
      <c r="F25" s="37" t="s">
        <v>164</v>
      </c>
      <c r="G25" s="37" t="s">
        <v>164</v>
      </c>
      <c r="H25" s="37" t="s">
        <v>164</v>
      </c>
      <c r="I25" s="37" t="s">
        <v>164</v>
      </c>
      <c r="J25" s="37" t="s">
        <v>164</v>
      </c>
      <c r="K25" s="37" t="s">
        <v>164</v>
      </c>
      <c r="L25" s="37" t="s">
        <v>164</v>
      </c>
      <c r="M25" s="37" t="s">
        <v>164</v>
      </c>
      <c r="N25" s="37" t="s">
        <v>164</v>
      </c>
      <c r="O25" s="37" t="s">
        <v>164</v>
      </c>
      <c r="P25" s="37" t="s">
        <v>164</v>
      </c>
      <c r="Q25" s="37" t="s">
        <v>164</v>
      </c>
      <c r="R25" s="37" t="s">
        <v>164</v>
      </c>
      <c r="S25" s="37" t="s">
        <v>164</v>
      </c>
      <c r="T25" s="37" t="s">
        <v>164</v>
      </c>
      <c r="U25" s="37" t="s">
        <v>164</v>
      </c>
      <c r="V25" s="37" t="s">
        <v>164</v>
      </c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19">
        <v>0</v>
      </c>
    </row>
    <row r="26" spans="1:36" s="5" customFormat="1" ht="15.75" x14ac:dyDescent="0.25">
      <c r="A26" s="16">
        <v>23</v>
      </c>
      <c r="B26" s="38" t="s">
        <v>91</v>
      </c>
      <c r="C26" s="38" t="s">
        <v>92</v>
      </c>
      <c r="D26" s="38" t="s">
        <v>51</v>
      </c>
      <c r="E26" s="37">
        <v>4.5833333333333464E-3</v>
      </c>
      <c r="F26" s="37">
        <v>4.4791666666666634E-3</v>
      </c>
      <c r="G26" s="37" t="s">
        <v>164</v>
      </c>
      <c r="H26" s="37" t="s">
        <v>164</v>
      </c>
      <c r="I26" s="37" t="s">
        <v>164</v>
      </c>
      <c r="J26" s="37" t="s">
        <v>164</v>
      </c>
      <c r="K26" s="37" t="s">
        <v>164</v>
      </c>
      <c r="L26" s="37">
        <v>3.8194444444444495E-3</v>
      </c>
      <c r="M26" s="37">
        <v>4.6273148148148126E-2</v>
      </c>
      <c r="N26" s="37" t="s">
        <v>164</v>
      </c>
      <c r="O26" s="37" t="s">
        <v>164</v>
      </c>
      <c r="P26" s="37" t="s">
        <v>164</v>
      </c>
      <c r="Q26" s="37">
        <v>1.7175925925925945E-2</v>
      </c>
      <c r="R26" s="37" t="s">
        <v>164</v>
      </c>
      <c r="S26" s="37">
        <v>3.1018518518518925E-3</v>
      </c>
      <c r="T26" s="37" t="s">
        <v>164</v>
      </c>
      <c r="U26" s="37" t="s">
        <v>164</v>
      </c>
      <c r="V26" s="37" t="s">
        <v>164</v>
      </c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19">
        <v>7.9432870370370431E-2</v>
      </c>
    </row>
    <row r="27" spans="1:36" s="5" customFormat="1" ht="15.75" x14ac:dyDescent="0.25">
      <c r="A27" s="16">
        <v>24</v>
      </c>
      <c r="B27" s="38" t="s">
        <v>93</v>
      </c>
      <c r="C27" s="38" t="s">
        <v>94</v>
      </c>
      <c r="D27" s="38" t="s">
        <v>51</v>
      </c>
      <c r="E27" s="37" t="s">
        <v>164</v>
      </c>
      <c r="F27" s="37" t="s">
        <v>164</v>
      </c>
      <c r="G27" s="37" t="s">
        <v>164</v>
      </c>
      <c r="H27" s="37" t="s">
        <v>164</v>
      </c>
      <c r="I27" s="37">
        <v>3.3564814814816363E-4</v>
      </c>
      <c r="J27" s="37" t="s">
        <v>164</v>
      </c>
      <c r="K27" s="37">
        <v>5.0810185185185359E-3</v>
      </c>
      <c r="L27" s="37" t="s">
        <v>164</v>
      </c>
      <c r="M27" s="37">
        <v>7.0486111111111027E-3</v>
      </c>
      <c r="N27" s="37" t="s">
        <v>164</v>
      </c>
      <c r="O27" s="37" t="s">
        <v>164</v>
      </c>
      <c r="P27" s="37" t="s">
        <v>164</v>
      </c>
      <c r="Q27" s="37" t="s">
        <v>164</v>
      </c>
      <c r="R27" s="37">
        <v>1.4120370370370358E-2</v>
      </c>
      <c r="S27" s="37" t="s">
        <v>164</v>
      </c>
      <c r="T27" s="37" t="s">
        <v>164</v>
      </c>
      <c r="U27" s="37" t="s">
        <v>164</v>
      </c>
      <c r="V27" s="37" t="s">
        <v>164</v>
      </c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19">
        <v>2.658564814814816E-2</v>
      </c>
    </row>
    <row r="28" spans="1:36" s="5" customFormat="1" ht="15.75" x14ac:dyDescent="0.25">
      <c r="A28" s="16">
        <v>25</v>
      </c>
      <c r="B28" s="38" t="s">
        <v>95</v>
      </c>
      <c r="C28" s="38" t="s">
        <v>96</v>
      </c>
      <c r="D28" s="38" t="s">
        <v>51</v>
      </c>
      <c r="E28" s="37" t="s">
        <v>164</v>
      </c>
      <c r="F28" s="37" t="s">
        <v>164</v>
      </c>
      <c r="G28" s="37" t="s">
        <v>164</v>
      </c>
      <c r="H28" s="37" t="s">
        <v>164</v>
      </c>
      <c r="I28" s="37" t="s">
        <v>164</v>
      </c>
      <c r="J28" s="37" t="s">
        <v>164</v>
      </c>
      <c r="K28" s="37">
        <v>1.388888888888884E-3</v>
      </c>
      <c r="L28" s="37" t="s">
        <v>164</v>
      </c>
      <c r="M28" s="37" t="s">
        <v>164</v>
      </c>
      <c r="N28" s="37" t="s">
        <v>164</v>
      </c>
      <c r="O28" s="37" t="s">
        <v>164</v>
      </c>
      <c r="P28" s="37" t="s">
        <v>164</v>
      </c>
      <c r="Q28" s="37" t="s">
        <v>164</v>
      </c>
      <c r="R28" s="37" t="s">
        <v>164</v>
      </c>
      <c r="S28" s="37" t="s">
        <v>164</v>
      </c>
      <c r="T28" s="37" t="s">
        <v>164</v>
      </c>
      <c r="U28" s="37" t="s">
        <v>164</v>
      </c>
      <c r="V28" s="37" t="s">
        <v>164</v>
      </c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19">
        <v>1.388888888888884E-3</v>
      </c>
    </row>
    <row r="29" spans="1:36" s="5" customFormat="1" ht="15.75" x14ac:dyDescent="0.25">
      <c r="A29" s="16">
        <v>26</v>
      </c>
      <c r="B29" s="38" t="s">
        <v>97</v>
      </c>
      <c r="C29" s="38" t="s">
        <v>98</v>
      </c>
      <c r="D29" s="38" t="s">
        <v>60</v>
      </c>
      <c r="E29" s="37" t="s">
        <v>164</v>
      </c>
      <c r="F29" s="37" t="s">
        <v>164</v>
      </c>
      <c r="G29" s="37" t="s">
        <v>164</v>
      </c>
      <c r="H29" s="37" t="s">
        <v>164</v>
      </c>
      <c r="I29" s="37" t="s">
        <v>164</v>
      </c>
      <c r="J29" s="37" t="s">
        <v>164</v>
      </c>
      <c r="K29" s="37" t="s">
        <v>164</v>
      </c>
      <c r="L29" s="37" t="s">
        <v>164</v>
      </c>
      <c r="M29" s="37" t="s">
        <v>164</v>
      </c>
      <c r="N29" s="37" t="s">
        <v>164</v>
      </c>
      <c r="O29" s="37" t="s">
        <v>164</v>
      </c>
      <c r="P29" s="37" t="s">
        <v>164</v>
      </c>
      <c r="Q29" s="37" t="s">
        <v>164</v>
      </c>
      <c r="R29" s="37" t="s">
        <v>164</v>
      </c>
      <c r="S29" s="37" t="s">
        <v>164</v>
      </c>
      <c r="T29" s="37" t="s">
        <v>164</v>
      </c>
      <c r="U29" s="37" t="s">
        <v>164</v>
      </c>
      <c r="V29" s="37" t="s">
        <v>164</v>
      </c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19">
        <v>0</v>
      </c>
    </row>
    <row r="30" spans="1:36" s="5" customFormat="1" ht="15.75" x14ac:dyDescent="0.25">
      <c r="A30" s="16">
        <v>27</v>
      </c>
      <c r="B30" s="38" t="s">
        <v>99</v>
      </c>
      <c r="C30" s="38" t="s">
        <v>100</v>
      </c>
      <c r="D30" s="38" t="s">
        <v>56</v>
      </c>
      <c r="E30" s="37" t="s">
        <v>164</v>
      </c>
      <c r="F30" s="37" t="s">
        <v>164</v>
      </c>
      <c r="G30" s="37" t="s">
        <v>164</v>
      </c>
      <c r="H30" s="37" t="s">
        <v>164</v>
      </c>
      <c r="I30" s="37" t="s">
        <v>164</v>
      </c>
      <c r="J30" s="37" t="s">
        <v>164</v>
      </c>
      <c r="K30" s="37" t="s">
        <v>164</v>
      </c>
      <c r="L30" s="37" t="s">
        <v>164</v>
      </c>
      <c r="M30" s="37" t="s">
        <v>164</v>
      </c>
      <c r="N30" s="37" t="s">
        <v>164</v>
      </c>
      <c r="O30" s="37" t="s">
        <v>164</v>
      </c>
      <c r="P30" s="37" t="s">
        <v>164</v>
      </c>
      <c r="Q30" s="37" t="s">
        <v>164</v>
      </c>
      <c r="R30" s="37" t="s">
        <v>164</v>
      </c>
      <c r="S30" s="37" t="s">
        <v>164</v>
      </c>
      <c r="T30" s="37" t="s">
        <v>164</v>
      </c>
      <c r="U30" s="37" t="s">
        <v>164</v>
      </c>
      <c r="V30" s="37" t="s">
        <v>164</v>
      </c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19">
        <v>0</v>
      </c>
    </row>
    <row r="31" spans="1:36" s="5" customFormat="1" ht="15.75" x14ac:dyDescent="0.25">
      <c r="A31" s="16">
        <v>28</v>
      </c>
      <c r="B31" s="38" t="s">
        <v>101</v>
      </c>
      <c r="C31" s="38" t="s">
        <v>102</v>
      </c>
      <c r="D31" s="38" t="s">
        <v>60</v>
      </c>
      <c r="E31" s="37" t="s">
        <v>164</v>
      </c>
      <c r="F31" s="37">
        <v>5.3935185185185475E-3</v>
      </c>
      <c r="G31" s="37">
        <v>1.8229166666666668E-2</v>
      </c>
      <c r="H31" s="37" t="s">
        <v>164</v>
      </c>
      <c r="I31" s="37" t="s">
        <v>164</v>
      </c>
      <c r="J31" s="37" t="s">
        <v>164</v>
      </c>
      <c r="K31" s="37" t="s">
        <v>164</v>
      </c>
      <c r="L31" s="37" t="s">
        <v>164</v>
      </c>
      <c r="M31" s="37" t="s">
        <v>164</v>
      </c>
      <c r="N31" s="37" t="s">
        <v>164</v>
      </c>
      <c r="O31" s="37" t="s">
        <v>164</v>
      </c>
      <c r="P31" s="37" t="s">
        <v>164</v>
      </c>
      <c r="Q31" s="37" t="s">
        <v>164</v>
      </c>
      <c r="R31" s="37" t="s">
        <v>164</v>
      </c>
      <c r="S31" s="37" t="s">
        <v>164</v>
      </c>
      <c r="T31" s="37" t="s">
        <v>164</v>
      </c>
      <c r="U31" s="37" t="s">
        <v>164</v>
      </c>
      <c r="V31" s="37" t="s">
        <v>164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19">
        <v>2.3622685185185215E-2</v>
      </c>
    </row>
    <row r="32" spans="1:36" s="5" customFormat="1" ht="15.75" x14ac:dyDescent="0.25">
      <c r="A32" s="16">
        <v>29</v>
      </c>
      <c r="B32" s="38" t="s">
        <v>108</v>
      </c>
      <c r="C32" s="38" t="s">
        <v>109</v>
      </c>
      <c r="D32" s="38" t="s">
        <v>51</v>
      </c>
      <c r="E32" s="37" t="s">
        <v>164</v>
      </c>
      <c r="F32" s="37" t="s">
        <v>164</v>
      </c>
      <c r="G32" s="37" t="s">
        <v>164</v>
      </c>
      <c r="H32" s="37">
        <v>1.7939814814815029E-3</v>
      </c>
      <c r="I32" s="37" t="s">
        <v>164</v>
      </c>
      <c r="J32" s="37" t="s">
        <v>164</v>
      </c>
      <c r="K32" s="37" t="s">
        <v>164</v>
      </c>
      <c r="L32" s="37" t="s">
        <v>164</v>
      </c>
      <c r="M32" s="37" t="s">
        <v>164</v>
      </c>
      <c r="N32" s="37" t="s">
        <v>164</v>
      </c>
      <c r="O32" s="37">
        <v>2.5127314814814783E-2</v>
      </c>
      <c r="P32" s="37">
        <v>5.208333333333333E-3</v>
      </c>
      <c r="Q32" s="37" t="s">
        <v>164</v>
      </c>
      <c r="R32" s="37" t="s">
        <v>164</v>
      </c>
      <c r="S32" s="37" t="s">
        <v>164</v>
      </c>
      <c r="T32" s="37" t="s">
        <v>164</v>
      </c>
      <c r="U32" s="37" t="s">
        <v>164</v>
      </c>
      <c r="V32" s="37" t="s">
        <v>164</v>
      </c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19">
        <v>3.2129629629629619E-2</v>
      </c>
    </row>
    <row r="33" spans="1:36" s="5" customFormat="1" ht="15.75" x14ac:dyDescent="0.25">
      <c r="A33" s="16">
        <v>30</v>
      </c>
      <c r="B33" s="38" t="s">
        <v>111</v>
      </c>
      <c r="C33" s="38" t="s">
        <v>112</v>
      </c>
      <c r="D33" s="38" t="s">
        <v>51</v>
      </c>
      <c r="E33" s="37">
        <v>7.407407407407085E-4</v>
      </c>
      <c r="F33" s="37" t="s">
        <v>164</v>
      </c>
      <c r="G33" s="37" t="s">
        <v>164</v>
      </c>
      <c r="H33" s="37" t="s">
        <v>164</v>
      </c>
      <c r="I33" s="37" t="s">
        <v>164</v>
      </c>
      <c r="J33" s="37" t="s">
        <v>164</v>
      </c>
      <c r="K33" s="37" t="s">
        <v>164</v>
      </c>
      <c r="L33" s="37" t="s">
        <v>164</v>
      </c>
      <c r="M33" s="37">
        <v>2.3136574074074101E-2</v>
      </c>
      <c r="N33" s="37" t="s">
        <v>164</v>
      </c>
      <c r="O33" s="37">
        <v>8.6111111111111249E-3</v>
      </c>
      <c r="P33" s="37" t="s">
        <v>164</v>
      </c>
      <c r="Q33" s="37" t="s">
        <v>164</v>
      </c>
      <c r="R33" s="37" t="s">
        <v>164</v>
      </c>
      <c r="S33" s="37" t="s">
        <v>164</v>
      </c>
      <c r="T33" s="37" t="s">
        <v>164</v>
      </c>
      <c r="U33" s="37" t="s">
        <v>164</v>
      </c>
      <c r="V33" s="37" t="s">
        <v>164</v>
      </c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19">
        <v>3.2488425925925934E-2</v>
      </c>
    </row>
    <row r="34" spans="1:36" s="5" customFormat="1" ht="15.75" x14ac:dyDescent="0.25">
      <c r="A34" s="16">
        <v>31</v>
      </c>
      <c r="B34" s="38" t="s">
        <v>113</v>
      </c>
      <c r="C34" s="38" t="s">
        <v>114</v>
      </c>
      <c r="D34" s="38" t="s">
        <v>51</v>
      </c>
      <c r="E34" s="37" t="s">
        <v>164</v>
      </c>
      <c r="F34" s="37" t="s">
        <v>164</v>
      </c>
      <c r="G34" s="37" t="s">
        <v>164</v>
      </c>
      <c r="H34" s="37" t="s">
        <v>164</v>
      </c>
      <c r="I34" s="37">
        <v>1.0300925925925908E-2</v>
      </c>
      <c r="J34" s="37">
        <v>5.1504629629629539E-3</v>
      </c>
      <c r="K34" s="37" t="s">
        <v>164</v>
      </c>
      <c r="L34" s="37" t="s">
        <v>164</v>
      </c>
      <c r="M34" s="37">
        <v>2.3958333333333342E-2</v>
      </c>
      <c r="N34" s="37" t="s">
        <v>164</v>
      </c>
      <c r="O34" s="37" t="s">
        <v>164</v>
      </c>
      <c r="P34" s="37">
        <v>1.3888888888888876E-2</v>
      </c>
      <c r="Q34" s="37">
        <v>2.0763888888888877E-2</v>
      </c>
      <c r="R34" s="37" t="s">
        <v>164</v>
      </c>
      <c r="S34" s="37" t="s">
        <v>164</v>
      </c>
      <c r="T34" s="37" t="s">
        <v>164</v>
      </c>
      <c r="U34" s="37" t="s">
        <v>164</v>
      </c>
      <c r="V34" s="37" t="s">
        <v>164</v>
      </c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19">
        <v>7.4062499999999962E-2</v>
      </c>
    </row>
    <row r="35" spans="1:36" s="5" customFormat="1" ht="15.75" x14ac:dyDescent="0.25">
      <c r="A35" s="16">
        <v>32</v>
      </c>
      <c r="B35" s="38" t="s">
        <v>115</v>
      </c>
      <c r="C35" s="38" t="s">
        <v>116</v>
      </c>
      <c r="D35" s="38" t="s">
        <v>51</v>
      </c>
      <c r="E35" s="37" t="s">
        <v>164</v>
      </c>
      <c r="F35" s="37" t="s">
        <v>164</v>
      </c>
      <c r="G35" s="37">
        <v>3.3564814814816363E-4</v>
      </c>
      <c r="H35" s="37" t="s">
        <v>164</v>
      </c>
      <c r="I35" s="37" t="s">
        <v>164</v>
      </c>
      <c r="J35" s="37" t="s">
        <v>164</v>
      </c>
      <c r="K35" s="37">
        <v>5.172453703703702E-2</v>
      </c>
      <c r="L35" s="37" t="s">
        <v>164</v>
      </c>
      <c r="M35" s="37">
        <v>2.9143518518518523E-2</v>
      </c>
      <c r="N35" s="37" t="s">
        <v>164</v>
      </c>
      <c r="O35" s="37" t="s">
        <v>164</v>
      </c>
      <c r="P35" s="37" t="s">
        <v>164</v>
      </c>
      <c r="Q35" s="37" t="s">
        <v>164</v>
      </c>
      <c r="R35" s="37" t="s">
        <v>164</v>
      </c>
      <c r="S35" s="37" t="s">
        <v>164</v>
      </c>
      <c r="T35" s="37" t="s">
        <v>164</v>
      </c>
      <c r="U35" s="37" t="s">
        <v>164</v>
      </c>
      <c r="V35" s="37" t="s">
        <v>164</v>
      </c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19">
        <v>8.1203703703703708E-2</v>
      </c>
    </row>
    <row r="36" spans="1:36" s="5" customFormat="1" ht="15.75" x14ac:dyDescent="0.25">
      <c r="A36" s="16">
        <v>33</v>
      </c>
      <c r="B36" s="38" t="s">
        <v>117</v>
      </c>
      <c r="C36" s="38" t="s">
        <v>118</v>
      </c>
      <c r="D36" s="38" t="s">
        <v>60</v>
      </c>
      <c r="E36" s="37" t="s">
        <v>164</v>
      </c>
      <c r="F36" s="37" t="s">
        <v>164</v>
      </c>
      <c r="G36" s="37" t="s">
        <v>164</v>
      </c>
      <c r="H36" s="37" t="s">
        <v>164</v>
      </c>
      <c r="I36" s="37" t="s">
        <v>164</v>
      </c>
      <c r="J36" s="37" t="s">
        <v>164</v>
      </c>
      <c r="K36" s="37" t="s">
        <v>164</v>
      </c>
      <c r="L36" s="37">
        <v>2.0949074074074017E-3</v>
      </c>
      <c r="M36" s="37" t="s">
        <v>164</v>
      </c>
      <c r="N36" s="37" t="s">
        <v>164</v>
      </c>
      <c r="O36" s="37" t="s">
        <v>164</v>
      </c>
      <c r="P36" s="37" t="s">
        <v>164</v>
      </c>
      <c r="Q36" s="37" t="s">
        <v>164</v>
      </c>
      <c r="R36" s="37" t="s">
        <v>164</v>
      </c>
      <c r="S36" s="37" t="s">
        <v>164</v>
      </c>
      <c r="T36" s="37" t="s">
        <v>164</v>
      </c>
      <c r="U36" s="37" t="s">
        <v>164</v>
      </c>
      <c r="V36" s="37" t="s">
        <v>164</v>
      </c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19">
        <v>2.0949074074074017E-3</v>
      </c>
    </row>
    <row r="37" spans="1:36" s="5" customFormat="1" ht="15.75" x14ac:dyDescent="0.25">
      <c r="A37" s="16">
        <v>34</v>
      </c>
      <c r="B37" s="38" t="s">
        <v>119</v>
      </c>
      <c r="C37" s="38" t="s">
        <v>120</v>
      </c>
      <c r="D37" s="38" t="s">
        <v>60</v>
      </c>
      <c r="E37" s="37" t="s">
        <v>164</v>
      </c>
      <c r="F37" s="37" t="s">
        <v>164</v>
      </c>
      <c r="G37" s="37" t="s">
        <v>164</v>
      </c>
      <c r="H37" s="37">
        <v>2.4652777777777559E-3</v>
      </c>
      <c r="I37" s="37">
        <v>3.8078703703703365E-3</v>
      </c>
      <c r="J37" s="37" t="s">
        <v>164</v>
      </c>
      <c r="K37" s="37">
        <v>5.9490740740741161E-3</v>
      </c>
      <c r="L37" s="37" t="s">
        <v>164</v>
      </c>
      <c r="M37" s="37" t="s">
        <v>164</v>
      </c>
      <c r="N37" s="37" t="s">
        <v>164</v>
      </c>
      <c r="O37" s="37">
        <v>5.1122685185185146E-2</v>
      </c>
      <c r="P37" s="37" t="s">
        <v>164</v>
      </c>
      <c r="Q37" s="37">
        <v>1.4340277777777763E-2</v>
      </c>
      <c r="R37" s="37">
        <v>5.3217592592592546E-2</v>
      </c>
      <c r="S37" s="37" t="s">
        <v>164</v>
      </c>
      <c r="T37" s="37" t="s">
        <v>164</v>
      </c>
      <c r="U37" s="37" t="s">
        <v>164</v>
      </c>
      <c r="V37" s="37" t="s">
        <v>164</v>
      </c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19">
        <v>0.13090277777777765</v>
      </c>
    </row>
    <row r="38" spans="1:36" s="5" customFormat="1" ht="15.75" x14ac:dyDescent="0.25">
      <c r="A38" s="16">
        <v>35</v>
      </c>
      <c r="B38" s="38" t="s">
        <v>121</v>
      </c>
      <c r="C38" s="38" t="s">
        <v>122</v>
      </c>
      <c r="D38" s="38" t="s">
        <v>56</v>
      </c>
      <c r="E38" s="37" t="s">
        <v>164</v>
      </c>
      <c r="F38" s="37" t="s">
        <v>164</v>
      </c>
      <c r="G38" s="37" t="s">
        <v>164</v>
      </c>
      <c r="H38" s="37" t="s">
        <v>164</v>
      </c>
      <c r="I38" s="37">
        <v>4.3981481481480955E-4</v>
      </c>
      <c r="J38" s="37" t="s">
        <v>164</v>
      </c>
      <c r="K38" s="37" t="s">
        <v>164</v>
      </c>
      <c r="L38" s="37" t="s">
        <v>164</v>
      </c>
      <c r="M38" s="37" t="s">
        <v>164</v>
      </c>
      <c r="N38" s="37" t="s">
        <v>164</v>
      </c>
      <c r="O38" s="37">
        <v>1.7361111111110125E-4</v>
      </c>
      <c r="P38" s="37" t="s">
        <v>164</v>
      </c>
      <c r="Q38" s="37" t="s">
        <v>164</v>
      </c>
      <c r="R38" s="37" t="s">
        <v>164</v>
      </c>
      <c r="S38" s="37" t="s">
        <v>164</v>
      </c>
      <c r="T38" s="37" t="s">
        <v>164</v>
      </c>
      <c r="U38" s="37">
        <v>1.0416666666664594E-4</v>
      </c>
      <c r="V38" s="37" t="s">
        <v>164</v>
      </c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19">
        <v>7.1759259259255681E-4</v>
      </c>
    </row>
    <row r="39" spans="1:36" s="5" customFormat="1" ht="15.75" x14ac:dyDescent="0.25">
      <c r="A39" s="16">
        <v>36</v>
      </c>
      <c r="B39" s="38" t="s">
        <v>123</v>
      </c>
      <c r="C39" s="38" t="s">
        <v>124</v>
      </c>
      <c r="D39" s="38" t="s">
        <v>56</v>
      </c>
      <c r="E39" s="37" t="s">
        <v>164</v>
      </c>
      <c r="F39" s="37" t="s">
        <v>164</v>
      </c>
      <c r="G39" s="37">
        <v>1.7754629629629592E-2</v>
      </c>
      <c r="H39" s="37" t="s">
        <v>164</v>
      </c>
      <c r="I39" s="37" t="s">
        <v>164</v>
      </c>
      <c r="J39" s="37" t="s">
        <v>164</v>
      </c>
      <c r="K39" s="37" t="s">
        <v>164</v>
      </c>
      <c r="L39" s="37" t="s">
        <v>164</v>
      </c>
      <c r="M39" s="37" t="s">
        <v>164</v>
      </c>
      <c r="N39" s="37" t="s">
        <v>164</v>
      </c>
      <c r="O39" s="37">
        <v>0.20101851851851851</v>
      </c>
      <c r="P39" s="37" t="s">
        <v>164</v>
      </c>
      <c r="Q39" s="37" t="s">
        <v>164</v>
      </c>
      <c r="R39" s="37" t="s">
        <v>164</v>
      </c>
      <c r="S39" s="37" t="s">
        <v>164</v>
      </c>
      <c r="T39" s="37" t="s">
        <v>164</v>
      </c>
      <c r="U39" s="37" t="s">
        <v>164</v>
      </c>
      <c r="V39" s="37" t="s">
        <v>164</v>
      </c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19">
        <v>0.21877314814814811</v>
      </c>
    </row>
    <row r="40" spans="1:36" s="5" customFormat="1" ht="15.75" x14ac:dyDescent="0.25">
      <c r="A40" s="16">
        <v>37</v>
      </c>
      <c r="B40" s="38" t="s">
        <v>125</v>
      </c>
      <c r="C40" s="38" t="s">
        <v>126</v>
      </c>
      <c r="D40" s="38" t="s">
        <v>51</v>
      </c>
      <c r="E40" s="37">
        <v>1.6550925925925923E-3</v>
      </c>
      <c r="F40" s="37" t="s">
        <v>164</v>
      </c>
      <c r="G40" s="37" t="s">
        <v>164</v>
      </c>
      <c r="H40" s="37" t="s">
        <v>164</v>
      </c>
      <c r="I40" s="37" t="s">
        <v>164</v>
      </c>
      <c r="J40" s="37" t="s">
        <v>164</v>
      </c>
      <c r="K40" s="37" t="s">
        <v>164</v>
      </c>
      <c r="L40" s="37" t="s">
        <v>164</v>
      </c>
      <c r="M40" s="37">
        <v>2.5104166666666705E-2</v>
      </c>
      <c r="N40" s="37" t="s">
        <v>164</v>
      </c>
      <c r="O40" s="37">
        <v>1.7905092592592542E-2</v>
      </c>
      <c r="P40" s="37" t="s">
        <v>164</v>
      </c>
      <c r="Q40" s="37" t="s">
        <v>164</v>
      </c>
      <c r="R40" s="37" t="s">
        <v>164</v>
      </c>
      <c r="S40" s="37" t="s">
        <v>164</v>
      </c>
      <c r="T40" s="37" t="s">
        <v>164</v>
      </c>
      <c r="U40" s="37" t="s">
        <v>164</v>
      </c>
      <c r="V40" s="37" t="s">
        <v>164</v>
      </c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19">
        <v>4.4664351851851844E-2</v>
      </c>
    </row>
    <row r="41" spans="1:36" s="5" customFormat="1" ht="15.75" x14ac:dyDescent="0.25">
      <c r="A41" s="16">
        <v>38</v>
      </c>
      <c r="B41" s="38" t="s">
        <v>127</v>
      </c>
      <c r="C41" s="38" t="s">
        <v>128</v>
      </c>
      <c r="D41" s="38" t="s">
        <v>110</v>
      </c>
      <c r="E41" s="37" t="s">
        <v>164</v>
      </c>
      <c r="F41" s="37">
        <v>6.0185185185187195E-4</v>
      </c>
      <c r="G41" s="37" t="s">
        <v>164</v>
      </c>
      <c r="H41" s="37" t="s">
        <v>164</v>
      </c>
      <c r="I41" s="37" t="s">
        <v>164</v>
      </c>
      <c r="J41" s="37" t="s">
        <v>164</v>
      </c>
      <c r="K41" s="37" t="s">
        <v>164</v>
      </c>
      <c r="L41" s="37" t="s">
        <v>164</v>
      </c>
      <c r="M41" s="37" t="s">
        <v>164</v>
      </c>
      <c r="N41" s="37" t="s">
        <v>164</v>
      </c>
      <c r="O41" s="37">
        <v>6.9594907407407369E-2</v>
      </c>
      <c r="P41" s="37" t="s">
        <v>164</v>
      </c>
      <c r="Q41" s="37" t="s">
        <v>164</v>
      </c>
      <c r="R41" s="37" t="s">
        <v>164</v>
      </c>
      <c r="S41" s="37" t="s">
        <v>164</v>
      </c>
      <c r="T41" s="37" t="s">
        <v>164</v>
      </c>
      <c r="U41" s="37" t="s">
        <v>164</v>
      </c>
      <c r="V41" s="37" t="s">
        <v>164</v>
      </c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19">
        <v>7.0196759259259237E-2</v>
      </c>
    </row>
    <row r="42" spans="1:36" s="5" customFormat="1" ht="15.75" x14ac:dyDescent="0.25">
      <c r="A42" s="16">
        <v>39</v>
      </c>
      <c r="B42" s="38" t="s">
        <v>129</v>
      </c>
      <c r="C42" s="38" t="s">
        <v>130</v>
      </c>
      <c r="D42" s="38" t="s">
        <v>60</v>
      </c>
      <c r="E42" s="37" t="s">
        <v>164</v>
      </c>
      <c r="F42" s="37" t="s">
        <v>164</v>
      </c>
      <c r="G42" s="37" t="s">
        <v>164</v>
      </c>
      <c r="H42" s="37" t="s">
        <v>164</v>
      </c>
      <c r="I42" s="37" t="s">
        <v>164</v>
      </c>
      <c r="J42" s="37" t="s">
        <v>164</v>
      </c>
      <c r="K42" s="37">
        <v>1.2222222222222209E-2</v>
      </c>
      <c r="L42" s="37" t="s">
        <v>164</v>
      </c>
      <c r="M42" s="37" t="s">
        <v>164</v>
      </c>
      <c r="N42" s="37" t="s">
        <v>164</v>
      </c>
      <c r="O42" s="37">
        <v>5.9259259259258901E-3</v>
      </c>
      <c r="P42" s="37" t="s">
        <v>164</v>
      </c>
      <c r="Q42" s="37" t="s">
        <v>164</v>
      </c>
      <c r="R42" s="37" t="s">
        <v>164</v>
      </c>
      <c r="S42" s="37" t="s">
        <v>164</v>
      </c>
      <c r="T42" s="37" t="s">
        <v>164</v>
      </c>
      <c r="U42" s="37" t="s">
        <v>164</v>
      </c>
      <c r="V42" s="37" t="s">
        <v>164</v>
      </c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19">
        <v>1.8148148148148101E-2</v>
      </c>
    </row>
    <row r="43" spans="1:36" s="5" customFormat="1" ht="15.75" x14ac:dyDescent="0.25">
      <c r="A43" s="16">
        <v>40</v>
      </c>
      <c r="B43" s="38" t="s">
        <v>131</v>
      </c>
      <c r="C43" s="38" t="s">
        <v>132</v>
      </c>
      <c r="D43" s="38" t="s">
        <v>60</v>
      </c>
      <c r="E43" s="37" t="s">
        <v>164</v>
      </c>
      <c r="F43" s="37" t="s">
        <v>164</v>
      </c>
      <c r="G43" s="37" t="s">
        <v>164</v>
      </c>
      <c r="H43" s="37" t="s">
        <v>164</v>
      </c>
      <c r="I43" s="37" t="s">
        <v>164</v>
      </c>
      <c r="J43" s="37" t="s">
        <v>164</v>
      </c>
      <c r="K43" s="37" t="s">
        <v>164</v>
      </c>
      <c r="L43" s="37" t="s">
        <v>164</v>
      </c>
      <c r="M43" s="37" t="s">
        <v>164</v>
      </c>
      <c r="N43" s="37" t="s">
        <v>164</v>
      </c>
      <c r="O43" s="37" t="s">
        <v>164</v>
      </c>
      <c r="P43" s="37" t="s">
        <v>164</v>
      </c>
      <c r="Q43" s="37">
        <v>9.3865740740740975E-3</v>
      </c>
      <c r="R43" s="37">
        <v>2.7199074074074256E-3</v>
      </c>
      <c r="S43" s="37">
        <v>1.0763888888888722E-3</v>
      </c>
      <c r="T43" s="37" t="s">
        <v>164</v>
      </c>
      <c r="U43" s="37" t="s">
        <v>164</v>
      </c>
      <c r="V43" s="37" t="s">
        <v>164</v>
      </c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19">
        <v>1.3182870370370395E-2</v>
      </c>
    </row>
    <row r="44" spans="1:36" s="5" customFormat="1" ht="15.75" x14ac:dyDescent="0.25">
      <c r="A44" s="16">
        <v>41</v>
      </c>
      <c r="B44" s="38" t="s">
        <v>134</v>
      </c>
      <c r="C44" s="38" t="s">
        <v>135</v>
      </c>
      <c r="D44" s="38" t="s">
        <v>56</v>
      </c>
      <c r="E44" s="37" t="s">
        <v>164</v>
      </c>
      <c r="F44" s="37" t="s">
        <v>164</v>
      </c>
      <c r="G44" s="37" t="s">
        <v>164</v>
      </c>
      <c r="H44" s="37" t="s">
        <v>164</v>
      </c>
      <c r="I44" s="37" t="s">
        <v>164</v>
      </c>
      <c r="J44" s="37" t="s">
        <v>164</v>
      </c>
      <c r="K44" s="37" t="s">
        <v>164</v>
      </c>
      <c r="L44" s="37" t="s">
        <v>164</v>
      </c>
      <c r="M44" s="37" t="s">
        <v>164</v>
      </c>
      <c r="N44" s="37" t="s">
        <v>164</v>
      </c>
      <c r="O44" s="37" t="s">
        <v>164</v>
      </c>
      <c r="P44" s="37" t="s">
        <v>164</v>
      </c>
      <c r="Q44" s="37" t="s">
        <v>164</v>
      </c>
      <c r="R44" s="37" t="s">
        <v>164</v>
      </c>
      <c r="S44" s="37" t="s">
        <v>164</v>
      </c>
      <c r="T44" s="37" t="s">
        <v>164</v>
      </c>
      <c r="U44" s="37" t="s">
        <v>164</v>
      </c>
      <c r="V44" s="37" t="s">
        <v>164</v>
      </c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19">
        <v>0</v>
      </c>
    </row>
    <row r="45" spans="1:36" s="5" customFormat="1" ht="15.75" x14ac:dyDescent="0.25">
      <c r="A45" s="16">
        <v>42</v>
      </c>
      <c r="B45" s="38" t="s">
        <v>136</v>
      </c>
      <c r="C45" s="38" t="s">
        <v>137</v>
      </c>
      <c r="D45" s="38" t="s">
        <v>60</v>
      </c>
      <c r="E45" s="37" t="s">
        <v>164</v>
      </c>
      <c r="F45" s="37" t="s">
        <v>164</v>
      </c>
      <c r="G45" s="37" t="s">
        <v>164</v>
      </c>
      <c r="H45" s="37" t="s">
        <v>164</v>
      </c>
      <c r="I45" s="37" t="s">
        <v>164</v>
      </c>
      <c r="J45" s="37" t="s">
        <v>164</v>
      </c>
      <c r="K45" s="37" t="s">
        <v>164</v>
      </c>
      <c r="L45" s="37" t="s">
        <v>164</v>
      </c>
      <c r="M45" s="37" t="s">
        <v>164</v>
      </c>
      <c r="N45" s="37" t="s">
        <v>164</v>
      </c>
      <c r="O45" s="37" t="s">
        <v>164</v>
      </c>
      <c r="P45" s="37" t="s">
        <v>164</v>
      </c>
      <c r="Q45" s="37">
        <v>1.9386574074074108E-2</v>
      </c>
      <c r="R45" s="37" t="s">
        <v>164</v>
      </c>
      <c r="S45" s="37" t="s">
        <v>164</v>
      </c>
      <c r="T45" s="37" t="s">
        <v>164</v>
      </c>
      <c r="U45" s="37" t="s">
        <v>164</v>
      </c>
      <c r="V45" s="37" t="s">
        <v>164</v>
      </c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19">
        <v>1.9386574074074108E-2</v>
      </c>
    </row>
    <row r="46" spans="1:36" s="5" customFormat="1" ht="15.75" x14ac:dyDescent="0.25">
      <c r="A46" s="16">
        <v>43</v>
      </c>
      <c r="B46" s="38" t="s">
        <v>138</v>
      </c>
      <c r="C46" s="38" t="s">
        <v>139</v>
      </c>
      <c r="D46" s="38" t="s">
        <v>54</v>
      </c>
      <c r="E46" s="37" t="s">
        <v>164</v>
      </c>
      <c r="F46" s="37" t="s">
        <v>164</v>
      </c>
      <c r="G46" s="37" t="s">
        <v>164</v>
      </c>
      <c r="H46" s="37" t="s">
        <v>164</v>
      </c>
      <c r="I46" s="37" t="s">
        <v>164</v>
      </c>
      <c r="J46" s="37" t="s">
        <v>164</v>
      </c>
      <c r="K46" s="37" t="s">
        <v>164</v>
      </c>
      <c r="L46" s="37" t="s">
        <v>164</v>
      </c>
      <c r="M46" s="37" t="s">
        <v>164</v>
      </c>
      <c r="N46" s="37" t="s">
        <v>164</v>
      </c>
      <c r="O46" s="37" t="s">
        <v>164</v>
      </c>
      <c r="P46" s="37" t="s">
        <v>164</v>
      </c>
      <c r="Q46" s="37" t="s">
        <v>164</v>
      </c>
      <c r="R46" s="37" t="s">
        <v>164</v>
      </c>
      <c r="S46" s="37" t="s">
        <v>164</v>
      </c>
      <c r="T46" s="37" t="s">
        <v>164</v>
      </c>
      <c r="U46" s="37" t="s">
        <v>164</v>
      </c>
      <c r="V46" s="37" t="s">
        <v>164</v>
      </c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19">
        <v>0</v>
      </c>
    </row>
    <row r="47" spans="1:36" s="5" customFormat="1" ht="15.75" x14ac:dyDescent="0.25">
      <c r="A47" s="16">
        <v>44</v>
      </c>
      <c r="B47" s="38" t="s">
        <v>140</v>
      </c>
      <c r="C47" s="38" t="s">
        <v>141</v>
      </c>
      <c r="D47" s="38" t="s">
        <v>56</v>
      </c>
      <c r="E47" s="37" t="s">
        <v>164</v>
      </c>
      <c r="F47" s="37" t="s">
        <v>164</v>
      </c>
      <c r="G47" s="37" t="s">
        <v>164</v>
      </c>
      <c r="H47" s="37" t="s">
        <v>164</v>
      </c>
      <c r="I47" s="37" t="s">
        <v>164</v>
      </c>
      <c r="J47" s="37" t="s">
        <v>164</v>
      </c>
      <c r="K47" s="37" t="s">
        <v>164</v>
      </c>
      <c r="L47" s="37" t="s">
        <v>164</v>
      </c>
      <c r="M47" s="37" t="s">
        <v>164</v>
      </c>
      <c r="N47" s="37" t="s">
        <v>164</v>
      </c>
      <c r="O47" s="37" t="s">
        <v>164</v>
      </c>
      <c r="P47" s="37" t="s">
        <v>164</v>
      </c>
      <c r="Q47" s="37" t="s">
        <v>164</v>
      </c>
      <c r="R47" s="37" t="s">
        <v>164</v>
      </c>
      <c r="S47" s="37">
        <v>1.6087962962962887E-3</v>
      </c>
      <c r="T47" s="37" t="s">
        <v>164</v>
      </c>
      <c r="U47" s="37" t="s">
        <v>164</v>
      </c>
      <c r="V47" s="37" t="s">
        <v>164</v>
      </c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19">
        <v>1.6087962962962887E-3</v>
      </c>
    </row>
    <row r="48" spans="1:36" s="5" customFormat="1" ht="15.75" x14ac:dyDescent="0.25">
      <c r="A48" s="16">
        <v>45</v>
      </c>
      <c r="B48" s="38" t="s">
        <v>142</v>
      </c>
      <c r="C48" s="38" t="s">
        <v>143</v>
      </c>
      <c r="D48" s="38" t="s">
        <v>56</v>
      </c>
      <c r="E48" s="37" t="s">
        <v>164</v>
      </c>
      <c r="F48" s="37" t="s">
        <v>164</v>
      </c>
      <c r="G48" s="37" t="s">
        <v>164</v>
      </c>
      <c r="H48" s="37" t="s">
        <v>164</v>
      </c>
      <c r="I48" s="37" t="s">
        <v>164</v>
      </c>
      <c r="J48" s="37" t="s">
        <v>164</v>
      </c>
      <c r="K48" s="37" t="s">
        <v>164</v>
      </c>
      <c r="L48" s="37" t="s">
        <v>164</v>
      </c>
      <c r="M48" s="37" t="s">
        <v>164</v>
      </c>
      <c r="N48" s="37" t="s">
        <v>164</v>
      </c>
      <c r="O48" s="37" t="s">
        <v>164</v>
      </c>
      <c r="P48" s="37" t="s">
        <v>164</v>
      </c>
      <c r="Q48" s="37" t="s">
        <v>164</v>
      </c>
      <c r="R48" s="37" t="s">
        <v>164</v>
      </c>
      <c r="S48" s="37" t="s">
        <v>164</v>
      </c>
      <c r="T48" s="37" t="s">
        <v>164</v>
      </c>
      <c r="U48" s="37" t="s">
        <v>164</v>
      </c>
      <c r="V48" s="37" t="s">
        <v>164</v>
      </c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19">
        <v>0</v>
      </c>
    </row>
    <row r="49" spans="1:36" s="5" customFormat="1" ht="15.75" x14ac:dyDescent="0.25">
      <c r="A49" s="16">
        <v>46</v>
      </c>
      <c r="B49" s="38" t="s">
        <v>144</v>
      </c>
      <c r="C49" s="38" t="s">
        <v>145</v>
      </c>
      <c r="D49" s="38" t="s">
        <v>60</v>
      </c>
      <c r="E49" s="37" t="s">
        <v>164</v>
      </c>
      <c r="F49" s="37" t="s">
        <v>164</v>
      </c>
      <c r="G49" s="37" t="s">
        <v>164</v>
      </c>
      <c r="H49" s="37" t="s">
        <v>164</v>
      </c>
      <c r="I49" s="37" t="s">
        <v>164</v>
      </c>
      <c r="J49" s="37" t="s">
        <v>164</v>
      </c>
      <c r="K49" s="37" t="s">
        <v>164</v>
      </c>
      <c r="L49" s="37" t="s">
        <v>164</v>
      </c>
      <c r="M49" s="37" t="s">
        <v>164</v>
      </c>
      <c r="N49" s="37" t="s">
        <v>164</v>
      </c>
      <c r="O49" s="37" t="s">
        <v>164</v>
      </c>
      <c r="P49" s="37" t="s">
        <v>164</v>
      </c>
      <c r="Q49" s="37">
        <v>3.6481481481481483E-2</v>
      </c>
      <c r="R49" s="37">
        <v>1.3958333333333295E-2</v>
      </c>
      <c r="S49" s="37">
        <v>1.5358796296296292E-2</v>
      </c>
      <c r="T49" s="37" t="s">
        <v>164</v>
      </c>
      <c r="U49" s="37" t="s">
        <v>164</v>
      </c>
      <c r="V49" s="37" t="s">
        <v>164</v>
      </c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19">
        <v>6.5798611111111072E-2</v>
      </c>
    </row>
    <row r="50" spans="1:36" s="5" customFormat="1" ht="15.75" x14ac:dyDescent="0.25">
      <c r="A50" s="16">
        <v>47</v>
      </c>
      <c r="B50" s="38" t="s">
        <v>146</v>
      </c>
      <c r="C50" s="38" t="s">
        <v>147</v>
      </c>
      <c r="D50" s="38" t="s">
        <v>51</v>
      </c>
      <c r="E50" s="37" t="s">
        <v>164</v>
      </c>
      <c r="F50" s="37" t="s">
        <v>164</v>
      </c>
      <c r="G50" s="37" t="s">
        <v>164</v>
      </c>
      <c r="H50" s="37" t="s">
        <v>164</v>
      </c>
      <c r="I50" s="37" t="s">
        <v>164</v>
      </c>
      <c r="J50" s="37" t="s">
        <v>164</v>
      </c>
      <c r="K50" s="37" t="s">
        <v>164</v>
      </c>
      <c r="L50" s="37" t="s">
        <v>164</v>
      </c>
      <c r="M50" s="37" t="s">
        <v>164</v>
      </c>
      <c r="N50" s="37" t="s">
        <v>164</v>
      </c>
      <c r="O50" s="37" t="s">
        <v>164</v>
      </c>
      <c r="P50" s="37" t="s">
        <v>164</v>
      </c>
      <c r="Q50" s="37" t="s">
        <v>164</v>
      </c>
      <c r="R50" s="37" t="s">
        <v>164</v>
      </c>
      <c r="S50" s="37" t="s">
        <v>164</v>
      </c>
      <c r="T50" s="37" t="s">
        <v>164</v>
      </c>
      <c r="U50" s="37" t="s">
        <v>164</v>
      </c>
      <c r="V50" s="37" t="s">
        <v>164</v>
      </c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19">
        <v>0</v>
      </c>
    </row>
    <row r="51" spans="1:36" s="5" customFormat="1" ht="15.75" x14ac:dyDescent="0.25">
      <c r="A51" s="16">
        <v>48</v>
      </c>
      <c r="B51" s="38" t="s">
        <v>148</v>
      </c>
      <c r="C51" s="38" t="s">
        <v>149</v>
      </c>
      <c r="D51" s="38" t="s">
        <v>51</v>
      </c>
      <c r="E51" s="37" t="s">
        <v>164</v>
      </c>
      <c r="F51" s="37" t="s">
        <v>164</v>
      </c>
      <c r="G51" s="37" t="s">
        <v>164</v>
      </c>
      <c r="H51" s="37" t="s">
        <v>164</v>
      </c>
      <c r="I51" s="37" t="s">
        <v>164</v>
      </c>
      <c r="J51" s="37" t="s">
        <v>164</v>
      </c>
      <c r="K51" s="37" t="s">
        <v>164</v>
      </c>
      <c r="L51" s="37" t="s">
        <v>164</v>
      </c>
      <c r="M51" s="37" t="s">
        <v>164</v>
      </c>
      <c r="N51" s="37" t="s">
        <v>164</v>
      </c>
      <c r="O51" s="37" t="s">
        <v>164</v>
      </c>
      <c r="P51" s="37" t="s">
        <v>164</v>
      </c>
      <c r="Q51" s="37">
        <v>7.7546296296295836E-3</v>
      </c>
      <c r="R51" s="37">
        <v>5.3819444444444349E-3</v>
      </c>
      <c r="S51" s="37" t="s">
        <v>164</v>
      </c>
      <c r="T51" s="37" t="s">
        <v>164</v>
      </c>
      <c r="U51" s="37" t="s">
        <v>164</v>
      </c>
      <c r="V51" s="37" t="s">
        <v>164</v>
      </c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19">
        <v>1.3136574074074019E-2</v>
      </c>
    </row>
    <row r="52" spans="1:36" s="5" customFormat="1" ht="15.75" x14ac:dyDescent="0.25">
      <c r="A52" s="16">
        <v>49</v>
      </c>
      <c r="B52" s="38" t="s">
        <v>150</v>
      </c>
      <c r="C52" s="38" t="s">
        <v>151</v>
      </c>
      <c r="D52" s="38" t="s">
        <v>51</v>
      </c>
      <c r="E52" s="37" t="s">
        <v>164</v>
      </c>
      <c r="F52" s="37" t="s">
        <v>164</v>
      </c>
      <c r="G52" s="37" t="s">
        <v>164</v>
      </c>
      <c r="H52" s="37" t="s">
        <v>164</v>
      </c>
      <c r="I52" s="37" t="s">
        <v>164</v>
      </c>
      <c r="J52" s="37" t="s">
        <v>164</v>
      </c>
      <c r="K52" s="37" t="s">
        <v>164</v>
      </c>
      <c r="L52" s="37" t="s">
        <v>164</v>
      </c>
      <c r="M52" s="37" t="s">
        <v>164</v>
      </c>
      <c r="N52" s="37" t="s">
        <v>164</v>
      </c>
      <c r="O52" s="37" t="s">
        <v>164</v>
      </c>
      <c r="P52" s="37" t="s">
        <v>164</v>
      </c>
      <c r="Q52" s="37" t="s">
        <v>164</v>
      </c>
      <c r="R52" s="37" t="s">
        <v>164</v>
      </c>
      <c r="S52" s="37" t="s">
        <v>164</v>
      </c>
      <c r="T52" s="37" t="s">
        <v>164</v>
      </c>
      <c r="U52" s="37" t="s">
        <v>164</v>
      </c>
      <c r="V52" s="37" t="s">
        <v>164</v>
      </c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19">
        <v>0</v>
      </c>
    </row>
  </sheetData>
  <sortState ref="A4:AI28">
    <sortCondition ref="D4:D28"/>
  </sortState>
  <mergeCells count="34">
    <mergeCell ref="H1:H2"/>
    <mergeCell ref="I1:I2"/>
    <mergeCell ref="A1:D1"/>
    <mergeCell ref="A2:D2"/>
    <mergeCell ref="E1:E2"/>
    <mergeCell ref="F1:F2"/>
    <mergeCell ref="G1:G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I1:AI2"/>
    <mergeCell ref="AJ1:AJ2"/>
    <mergeCell ref="AD1:AD2"/>
    <mergeCell ref="AE1:AE2"/>
    <mergeCell ref="AF1:AF2"/>
    <mergeCell ref="AG1:AG2"/>
    <mergeCell ref="AH1:AH2"/>
  </mergeCells>
  <hyperlinks>
    <hyperlink ref="A1" display="VF.Cash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AE9C-D16C-41E9-B1A5-EBF7BF048DB0}">
  <dimension ref="A1:AK59"/>
  <sheetViews>
    <sheetView topLeftCell="M1" zoomScale="85" zoomScaleNormal="85" workbookViewId="0">
      <pane ySplit="3" topLeftCell="A29" activePane="bottomLeft" state="frozen"/>
      <selection pane="bottomLeft" sqref="A1:AK52"/>
    </sheetView>
  </sheetViews>
  <sheetFormatPr defaultRowHeight="15" x14ac:dyDescent="0.25"/>
  <cols>
    <col min="1" max="1" width="9.140625" style="28"/>
    <col min="2" max="2" width="18.85546875" style="52" customWidth="1"/>
    <col min="3" max="3" width="37.140625" style="52" bestFit="1" customWidth="1"/>
    <col min="4" max="4" width="32.140625" style="28" bestFit="1" customWidth="1"/>
    <col min="5" max="15" width="8.5703125" style="52" customWidth="1"/>
    <col min="16" max="19" width="8.42578125" style="52" bestFit="1" customWidth="1"/>
    <col min="20" max="20" width="9.5703125" style="52" bestFit="1" customWidth="1"/>
    <col min="21" max="22" width="8.42578125" style="52" bestFit="1" customWidth="1"/>
    <col min="23" max="23" width="8.42578125" style="28" bestFit="1" customWidth="1"/>
    <col min="24" max="24" width="8.140625" style="28" bestFit="1" customWidth="1"/>
    <col min="25" max="25" width="8.5703125" style="28" customWidth="1"/>
    <col min="26" max="26" width="8.42578125" style="28" customWidth="1"/>
    <col min="27" max="27" width="9" style="28" customWidth="1"/>
    <col min="28" max="28" width="8.140625" style="28" bestFit="1" customWidth="1"/>
    <col min="29" max="29" width="9.140625" style="28" customWidth="1"/>
    <col min="30" max="30" width="8.140625" style="28" customWidth="1"/>
    <col min="31" max="31" width="8" style="28" customWidth="1"/>
    <col min="32" max="35" width="8.85546875" style="28" customWidth="1"/>
    <col min="36" max="36" width="11.5703125" style="28" bestFit="1" customWidth="1"/>
    <col min="37" max="37" width="12.42578125" style="28" customWidth="1"/>
    <col min="38" max="16384" width="9.140625" style="28"/>
  </cols>
  <sheetData>
    <row r="1" spans="1:37" ht="23.25" x14ac:dyDescent="0.25">
      <c r="A1" s="64" t="s">
        <v>104</v>
      </c>
      <c r="B1" s="65"/>
      <c r="C1" s="65"/>
      <c r="D1" s="66"/>
      <c r="E1" s="53" t="s">
        <v>153</v>
      </c>
      <c r="F1" s="53" t="s">
        <v>154</v>
      </c>
      <c r="G1" s="53" t="s">
        <v>155</v>
      </c>
      <c r="H1" s="53" t="s">
        <v>156</v>
      </c>
      <c r="I1" s="53" t="s">
        <v>157</v>
      </c>
      <c r="J1" s="53" t="s">
        <v>158</v>
      </c>
      <c r="K1" s="53" t="s">
        <v>159</v>
      </c>
      <c r="L1" s="53" t="s">
        <v>153</v>
      </c>
      <c r="M1" s="53" t="s">
        <v>154</v>
      </c>
      <c r="N1" s="53" t="s">
        <v>155</v>
      </c>
      <c r="O1" s="53" t="s">
        <v>156</v>
      </c>
      <c r="P1" s="53" t="s">
        <v>157</v>
      </c>
      <c r="Q1" s="53" t="s">
        <v>158</v>
      </c>
      <c r="R1" s="53" t="s">
        <v>159</v>
      </c>
      <c r="S1" s="53" t="s">
        <v>153</v>
      </c>
      <c r="T1" s="53" t="s">
        <v>154</v>
      </c>
      <c r="U1" s="53" t="s">
        <v>155</v>
      </c>
      <c r="V1" s="53" t="s">
        <v>156</v>
      </c>
      <c r="W1" s="53" t="s">
        <v>157</v>
      </c>
      <c r="X1" s="53" t="s">
        <v>158</v>
      </c>
      <c r="Y1" s="53" t="s">
        <v>159</v>
      </c>
      <c r="Z1" s="53" t="s">
        <v>153</v>
      </c>
      <c r="AA1" s="53" t="s">
        <v>154</v>
      </c>
      <c r="AB1" s="53" t="s">
        <v>155</v>
      </c>
      <c r="AC1" s="53" t="s">
        <v>156</v>
      </c>
      <c r="AD1" s="53" t="s">
        <v>157</v>
      </c>
      <c r="AE1" s="53" t="s">
        <v>158</v>
      </c>
      <c r="AF1" s="53" t="s">
        <v>159</v>
      </c>
      <c r="AG1" s="53" t="s">
        <v>153</v>
      </c>
      <c r="AH1" s="53" t="s">
        <v>154</v>
      </c>
      <c r="AI1" s="53" t="s">
        <v>155</v>
      </c>
      <c r="AJ1" s="71" t="s">
        <v>106</v>
      </c>
      <c r="AK1" s="72"/>
    </row>
    <row r="2" spans="1:37" ht="23.25" x14ac:dyDescent="0.25">
      <c r="A2" s="70" t="s">
        <v>107</v>
      </c>
      <c r="B2" s="70"/>
      <c r="C2" s="70"/>
      <c r="D2" s="7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73"/>
      <c r="AK2" s="74"/>
    </row>
    <row r="3" spans="1:37" ht="15.75" x14ac:dyDescent="0.25">
      <c r="A3" s="16">
        <v>0</v>
      </c>
      <c r="B3" s="20" t="s">
        <v>5</v>
      </c>
      <c r="C3" s="20" t="s">
        <v>4</v>
      </c>
      <c r="D3" s="20" t="s">
        <v>6</v>
      </c>
      <c r="E3" s="17">
        <v>45982</v>
      </c>
      <c r="F3" s="17">
        <v>45983</v>
      </c>
      <c r="G3" s="17">
        <v>45984</v>
      </c>
      <c r="H3" s="17">
        <v>45985</v>
      </c>
      <c r="I3" s="17">
        <v>45986</v>
      </c>
      <c r="J3" s="17">
        <v>45987</v>
      </c>
      <c r="K3" s="17">
        <v>45988</v>
      </c>
      <c r="L3" s="17">
        <v>45989</v>
      </c>
      <c r="M3" s="17">
        <v>45990</v>
      </c>
      <c r="N3" s="17">
        <v>45991</v>
      </c>
      <c r="O3" s="17">
        <v>45992</v>
      </c>
      <c r="P3" s="17">
        <v>45993</v>
      </c>
      <c r="Q3" s="17">
        <v>45994</v>
      </c>
      <c r="R3" s="17">
        <v>45995</v>
      </c>
      <c r="S3" s="17">
        <v>45996</v>
      </c>
      <c r="T3" s="17">
        <v>45997</v>
      </c>
      <c r="U3" s="17">
        <v>45998</v>
      </c>
      <c r="V3" s="17">
        <v>45999</v>
      </c>
      <c r="W3" s="17">
        <v>46000</v>
      </c>
      <c r="X3" s="17">
        <v>46001</v>
      </c>
      <c r="Y3" s="17">
        <v>46002</v>
      </c>
      <c r="Z3" s="17">
        <v>46003</v>
      </c>
      <c r="AA3" s="17">
        <v>46004</v>
      </c>
      <c r="AB3" s="17">
        <v>46005</v>
      </c>
      <c r="AC3" s="17">
        <v>46006</v>
      </c>
      <c r="AD3" s="17">
        <v>46007</v>
      </c>
      <c r="AE3" s="17">
        <v>46008</v>
      </c>
      <c r="AF3" s="17">
        <v>46009</v>
      </c>
      <c r="AG3" s="17">
        <v>46010</v>
      </c>
      <c r="AH3" s="17">
        <v>46011</v>
      </c>
      <c r="AI3" s="17">
        <v>46012</v>
      </c>
      <c r="AJ3" s="18" t="s">
        <v>106</v>
      </c>
      <c r="AK3" s="18" t="s">
        <v>105</v>
      </c>
    </row>
    <row r="4" spans="1:37" ht="15.75" x14ac:dyDescent="0.25">
      <c r="A4" s="16">
        <v>1</v>
      </c>
      <c r="B4" s="38" t="s">
        <v>46</v>
      </c>
      <c r="C4" s="38" t="s">
        <v>47</v>
      </c>
      <c r="D4" s="38" t="s">
        <v>103</v>
      </c>
      <c r="E4" s="37" t="s">
        <v>164</v>
      </c>
      <c r="F4" s="37" t="s">
        <v>164</v>
      </c>
      <c r="G4" s="37" t="s">
        <v>164</v>
      </c>
      <c r="H4" s="37" t="s">
        <v>164</v>
      </c>
      <c r="I4" s="37" t="s">
        <v>164</v>
      </c>
      <c r="J4" s="37" t="s">
        <v>164</v>
      </c>
      <c r="K4" s="37" t="s">
        <v>164</v>
      </c>
      <c r="L4" s="37" t="s">
        <v>164</v>
      </c>
      <c r="M4" s="37" t="s">
        <v>164</v>
      </c>
      <c r="N4" s="37" t="s">
        <v>164</v>
      </c>
      <c r="O4" s="37" t="s">
        <v>164</v>
      </c>
      <c r="P4" s="37" t="s">
        <v>164</v>
      </c>
      <c r="Q4" s="37" t="s">
        <v>164</v>
      </c>
      <c r="R4" s="37" t="s">
        <v>164</v>
      </c>
      <c r="S4" s="37" t="s">
        <v>164</v>
      </c>
      <c r="T4" s="37" t="s">
        <v>164</v>
      </c>
      <c r="U4" s="37" t="s">
        <v>164</v>
      </c>
      <c r="V4" s="37" t="s">
        <v>164</v>
      </c>
      <c r="W4" s="37" t="s">
        <v>164</v>
      </c>
      <c r="X4" s="37" t="s">
        <v>164</v>
      </c>
      <c r="Y4" s="37" t="s">
        <v>164</v>
      </c>
      <c r="Z4" s="37" t="s">
        <v>164</v>
      </c>
      <c r="AA4" s="37" t="s">
        <v>164</v>
      </c>
      <c r="AB4" s="37"/>
      <c r="AC4" s="37"/>
      <c r="AD4" s="37"/>
      <c r="AE4" s="37"/>
      <c r="AF4" s="37"/>
      <c r="AG4" s="37"/>
      <c r="AH4" s="37"/>
      <c r="AI4" s="37"/>
      <c r="AJ4" s="19">
        <v>0</v>
      </c>
      <c r="AK4" s="43">
        <v>0</v>
      </c>
    </row>
    <row r="5" spans="1:37" ht="15.75" x14ac:dyDescent="0.25">
      <c r="A5" s="16">
        <v>2</v>
      </c>
      <c r="B5" s="38" t="s">
        <v>48</v>
      </c>
      <c r="C5" s="38" t="s">
        <v>49</v>
      </c>
      <c r="D5" s="38" t="s">
        <v>51</v>
      </c>
      <c r="E5" s="37">
        <v>45982.008575231477</v>
      </c>
      <c r="F5" s="37" t="s">
        <v>164</v>
      </c>
      <c r="G5" s="37" t="s">
        <v>164</v>
      </c>
      <c r="H5" s="37">
        <v>45985.053781365743</v>
      </c>
      <c r="I5" s="37">
        <v>45986.003498958329</v>
      </c>
      <c r="J5" s="37">
        <v>45987.028387268518</v>
      </c>
      <c r="K5" s="37" t="s">
        <v>164</v>
      </c>
      <c r="L5" s="37" t="s">
        <v>164</v>
      </c>
      <c r="M5" s="37" t="s">
        <v>164</v>
      </c>
      <c r="N5" s="37" t="s">
        <v>164</v>
      </c>
      <c r="O5" s="37" t="s">
        <v>164</v>
      </c>
      <c r="P5" s="37" t="s">
        <v>164</v>
      </c>
      <c r="Q5" s="37">
        <v>45994.079363657402</v>
      </c>
      <c r="R5" s="37" t="s">
        <v>164</v>
      </c>
      <c r="S5" s="37" t="s">
        <v>164</v>
      </c>
      <c r="T5" s="37" t="s">
        <v>164</v>
      </c>
      <c r="U5" s="37" t="s">
        <v>164</v>
      </c>
      <c r="V5" s="37" t="s">
        <v>164</v>
      </c>
      <c r="W5" s="37">
        <v>46000.060974884254</v>
      </c>
      <c r="X5" s="37" t="s">
        <v>164</v>
      </c>
      <c r="Y5" s="37">
        <v>46002.012005555553</v>
      </c>
      <c r="Z5" s="37">
        <v>46001.058241782404</v>
      </c>
      <c r="AA5" s="37">
        <v>46004.047515162034</v>
      </c>
      <c r="AB5" s="37"/>
      <c r="AC5" s="37"/>
      <c r="AD5" s="37"/>
      <c r="AE5" s="37"/>
      <c r="AF5" s="37"/>
      <c r="AG5" s="37"/>
      <c r="AH5" s="37"/>
      <c r="AI5" s="37"/>
      <c r="AJ5" s="19">
        <v>0.35234953703703703</v>
      </c>
      <c r="AK5" s="43">
        <v>8.4563888888888883</v>
      </c>
    </row>
    <row r="6" spans="1:37" ht="15.75" x14ac:dyDescent="0.25">
      <c r="A6" s="16">
        <v>3</v>
      </c>
      <c r="B6" s="38" t="s">
        <v>50</v>
      </c>
      <c r="C6" s="38" t="s">
        <v>51</v>
      </c>
      <c r="D6" s="38" t="s">
        <v>103</v>
      </c>
      <c r="E6" s="37" t="s">
        <v>164</v>
      </c>
      <c r="F6" s="37" t="s">
        <v>164</v>
      </c>
      <c r="G6" s="37" t="s">
        <v>164</v>
      </c>
      <c r="H6" s="37">
        <v>0</v>
      </c>
      <c r="I6" s="37" t="s">
        <v>164</v>
      </c>
      <c r="J6" s="37">
        <v>0</v>
      </c>
      <c r="K6" s="37" t="s">
        <v>164</v>
      </c>
      <c r="L6" s="37" t="s">
        <v>164</v>
      </c>
      <c r="M6" s="37" t="s">
        <v>164</v>
      </c>
      <c r="N6" s="37" t="s">
        <v>164</v>
      </c>
      <c r="O6" s="37" t="s">
        <v>164</v>
      </c>
      <c r="P6" s="37" t="s">
        <v>164</v>
      </c>
      <c r="Q6" s="37">
        <v>45994.043278240737</v>
      </c>
      <c r="R6" s="37" t="s">
        <v>164</v>
      </c>
      <c r="S6" s="37" t="s">
        <v>164</v>
      </c>
      <c r="T6" s="37" t="s">
        <v>164</v>
      </c>
      <c r="U6" s="37" t="s">
        <v>164</v>
      </c>
      <c r="V6" s="37" t="s">
        <v>164</v>
      </c>
      <c r="W6" s="37" t="s">
        <v>164</v>
      </c>
      <c r="X6" s="37" t="s">
        <v>164</v>
      </c>
      <c r="Y6" s="37" t="s">
        <v>164</v>
      </c>
      <c r="Z6" s="37" t="s">
        <v>164</v>
      </c>
      <c r="AA6" s="37" t="s">
        <v>164</v>
      </c>
      <c r="AB6" s="37"/>
      <c r="AC6" s="37"/>
      <c r="AD6" s="37"/>
      <c r="AE6" s="37"/>
      <c r="AF6" s="37"/>
      <c r="AG6" s="37"/>
      <c r="AH6" s="37"/>
      <c r="AI6" s="37"/>
      <c r="AJ6" s="19">
        <v>4.3275462962962967E-2</v>
      </c>
      <c r="AK6" s="43">
        <v>1.0386111111111112</v>
      </c>
    </row>
    <row r="7" spans="1:37" ht="15.75" x14ac:dyDescent="0.25">
      <c r="A7" s="16">
        <v>4</v>
      </c>
      <c r="B7" s="38" t="s">
        <v>52</v>
      </c>
      <c r="C7" s="38" t="s">
        <v>53</v>
      </c>
      <c r="D7" s="38" t="s">
        <v>56</v>
      </c>
      <c r="E7" s="37" t="s">
        <v>164</v>
      </c>
      <c r="F7" s="37" t="s">
        <v>164</v>
      </c>
      <c r="G7" s="37" t="s">
        <v>164</v>
      </c>
      <c r="H7" s="37" t="s">
        <v>164</v>
      </c>
      <c r="I7" s="37" t="s">
        <v>164</v>
      </c>
      <c r="J7" s="37" t="s">
        <v>164</v>
      </c>
      <c r="K7" s="37">
        <v>0</v>
      </c>
      <c r="L7" s="37" t="s">
        <v>164</v>
      </c>
      <c r="M7" s="37" t="s">
        <v>164</v>
      </c>
      <c r="N7" s="37" t="s">
        <v>164</v>
      </c>
      <c r="O7" s="37" t="s">
        <v>164</v>
      </c>
      <c r="P7" s="37" t="s">
        <v>164</v>
      </c>
      <c r="Q7" s="37" t="s">
        <v>164</v>
      </c>
      <c r="R7" s="37" t="s">
        <v>164</v>
      </c>
      <c r="S7" s="37" t="s">
        <v>164</v>
      </c>
      <c r="T7" s="37" t="s">
        <v>164</v>
      </c>
      <c r="U7" s="37" t="s">
        <v>164</v>
      </c>
      <c r="V7" s="37" t="s">
        <v>164</v>
      </c>
      <c r="W7" s="37" t="s">
        <v>164</v>
      </c>
      <c r="X7" s="37" t="s">
        <v>164</v>
      </c>
      <c r="Y7" s="37" t="s">
        <v>164</v>
      </c>
      <c r="Z7" s="37" t="s">
        <v>164</v>
      </c>
      <c r="AA7" s="37" t="s">
        <v>164</v>
      </c>
      <c r="AB7" s="37"/>
      <c r="AC7" s="37"/>
      <c r="AD7" s="37"/>
      <c r="AE7" s="37"/>
      <c r="AF7" s="37"/>
      <c r="AG7" s="37"/>
      <c r="AH7" s="37"/>
      <c r="AI7" s="37"/>
      <c r="AJ7" s="19">
        <v>0</v>
      </c>
      <c r="AK7" s="43">
        <v>0</v>
      </c>
    </row>
    <row r="8" spans="1:37" ht="15.75" x14ac:dyDescent="0.25">
      <c r="A8" s="16">
        <v>5</v>
      </c>
      <c r="B8" s="38" t="s">
        <v>55</v>
      </c>
      <c r="C8" s="38" t="s">
        <v>56</v>
      </c>
      <c r="D8" s="38" t="s">
        <v>103</v>
      </c>
      <c r="E8" s="37" t="s">
        <v>164</v>
      </c>
      <c r="F8" s="37" t="s">
        <v>164</v>
      </c>
      <c r="G8" s="37" t="s">
        <v>164</v>
      </c>
      <c r="H8" s="37" t="s">
        <v>164</v>
      </c>
      <c r="I8" s="37" t="s">
        <v>164</v>
      </c>
      <c r="J8" s="37" t="s">
        <v>164</v>
      </c>
      <c r="K8" s="37" t="s">
        <v>164</v>
      </c>
      <c r="L8" s="37" t="s">
        <v>164</v>
      </c>
      <c r="M8" s="37" t="s">
        <v>164</v>
      </c>
      <c r="N8" s="37" t="s">
        <v>164</v>
      </c>
      <c r="O8" s="37" t="s">
        <v>164</v>
      </c>
      <c r="P8" s="37" t="s">
        <v>164</v>
      </c>
      <c r="Q8" s="37" t="s">
        <v>164</v>
      </c>
      <c r="R8" s="37" t="s">
        <v>164</v>
      </c>
      <c r="S8" s="37" t="s">
        <v>164</v>
      </c>
      <c r="T8" s="37" t="s">
        <v>164</v>
      </c>
      <c r="U8" s="37" t="s">
        <v>164</v>
      </c>
      <c r="V8" s="37" t="s">
        <v>164</v>
      </c>
      <c r="W8" s="37" t="s">
        <v>164</v>
      </c>
      <c r="X8" s="37" t="s">
        <v>164</v>
      </c>
      <c r="Y8" s="37" t="s">
        <v>164</v>
      </c>
      <c r="Z8" s="37" t="s">
        <v>164</v>
      </c>
      <c r="AA8" s="37" t="s">
        <v>164</v>
      </c>
      <c r="AB8" s="37"/>
      <c r="AC8" s="37"/>
      <c r="AD8" s="37"/>
      <c r="AE8" s="37"/>
      <c r="AF8" s="37"/>
      <c r="AG8" s="37"/>
      <c r="AH8" s="37"/>
      <c r="AI8" s="37"/>
      <c r="AJ8" s="19">
        <v>0</v>
      </c>
      <c r="AK8" s="43">
        <v>0</v>
      </c>
    </row>
    <row r="9" spans="1:37" ht="15.75" x14ac:dyDescent="0.25">
      <c r="A9" s="16">
        <v>6</v>
      </c>
      <c r="B9" s="38" t="s">
        <v>57</v>
      </c>
      <c r="C9" s="38" t="s">
        <v>58</v>
      </c>
      <c r="D9" s="38" t="s">
        <v>56</v>
      </c>
      <c r="E9" s="37" t="s">
        <v>164</v>
      </c>
      <c r="F9" s="37" t="s">
        <v>164</v>
      </c>
      <c r="G9" s="37" t="s">
        <v>164</v>
      </c>
      <c r="H9" s="37" t="s">
        <v>164</v>
      </c>
      <c r="I9" s="37" t="s">
        <v>164</v>
      </c>
      <c r="J9" s="37" t="s">
        <v>164</v>
      </c>
      <c r="K9" s="37">
        <v>0</v>
      </c>
      <c r="L9" s="37" t="s">
        <v>164</v>
      </c>
      <c r="M9" s="37" t="s">
        <v>164</v>
      </c>
      <c r="N9" s="37" t="s">
        <v>164</v>
      </c>
      <c r="O9" s="37" t="s">
        <v>164</v>
      </c>
      <c r="P9" s="37" t="s">
        <v>164</v>
      </c>
      <c r="Q9" s="37" t="s">
        <v>164</v>
      </c>
      <c r="R9" s="37" t="s">
        <v>164</v>
      </c>
      <c r="S9" s="37" t="s">
        <v>164</v>
      </c>
      <c r="T9" s="37" t="s">
        <v>164</v>
      </c>
      <c r="U9" s="37" t="s">
        <v>164</v>
      </c>
      <c r="V9" s="37" t="s">
        <v>164</v>
      </c>
      <c r="W9" s="37" t="s">
        <v>164</v>
      </c>
      <c r="X9" s="37" t="s">
        <v>164</v>
      </c>
      <c r="Y9" s="37" t="s">
        <v>164</v>
      </c>
      <c r="Z9" s="37" t="s">
        <v>164</v>
      </c>
      <c r="AA9" s="37" t="s">
        <v>164</v>
      </c>
      <c r="AB9" s="37"/>
      <c r="AC9" s="37"/>
      <c r="AD9" s="37"/>
      <c r="AE9" s="37"/>
      <c r="AF9" s="37"/>
      <c r="AG9" s="37"/>
      <c r="AH9" s="37"/>
      <c r="AI9" s="37"/>
      <c r="AJ9" s="19">
        <v>0</v>
      </c>
      <c r="AK9" s="43">
        <v>0</v>
      </c>
    </row>
    <row r="10" spans="1:37" ht="15.75" x14ac:dyDescent="0.25">
      <c r="A10" s="16">
        <v>7</v>
      </c>
      <c r="B10" s="38" t="s">
        <v>59</v>
      </c>
      <c r="C10" s="38" t="s">
        <v>60</v>
      </c>
      <c r="D10" s="38" t="s">
        <v>103</v>
      </c>
      <c r="E10" s="37" t="s">
        <v>164</v>
      </c>
      <c r="F10" s="37">
        <v>0</v>
      </c>
      <c r="G10" s="37" t="s">
        <v>164</v>
      </c>
      <c r="H10" s="37">
        <v>0</v>
      </c>
      <c r="I10" s="37" t="s">
        <v>164</v>
      </c>
      <c r="J10" s="37">
        <v>0</v>
      </c>
      <c r="K10" s="37" t="s">
        <v>164</v>
      </c>
      <c r="L10" s="37" t="s">
        <v>164</v>
      </c>
      <c r="M10" s="37" t="s">
        <v>164</v>
      </c>
      <c r="N10" s="37" t="s">
        <v>164</v>
      </c>
      <c r="O10" s="37" t="s">
        <v>164</v>
      </c>
      <c r="P10" s="37" t="s">
        <v>164</v>
      </c>
      <c r="Q10" s="37" t="s">
        <v>164</v>
      </c>
      <c r="R10" s="37">
        <v>45995.232511226852</v>
      </c>
      <c r="S10" s="37" t="s">
        <v>164</v>
      </c>
      <c r="T10" s="37" t="s">
        <v>164</v>
      </c>
      <c r="U10" s="37" t="s">
        <v>164</v>
      </c>
      <c r="V10" s="37" t="s">
        <v>164</v>
      </c>
      <c r="W10" s="37" t="s">
        <v>164</v>
      </c>
      <c r="X10" s="37" t="s">
        <v>164</v>
      </c>
      <c r="Y10" s="37" t="s">
        <v>164</v>
      </c>
      <c r="Z10" s="37" t="s">
        <v>164</v>
      </c>
      <c r="AA10" s="37" t="s">
        <v>164</v>
      </c>
      <c r="AB10" s="37"/>
      <c r="AC10" s="37"/>
      <c r="AD10" s="37"/>
      <c r="AE10" s="37"/>
      <c r="AF10" s="37"/>
      <c r="AG10" s="37"/>
      <c r="AH10" s="37"/>
      <c r="AI10" s="37"/>
      <c r="AJ10" s="19">
        <v>0.23251157407407408</v>
      </c>
      <c r="AK10" s="43">
        <v>5.5802777777777779</v>
      </c>
    </row>
    <row r="11" spans="1:37" ht="15.75" x14ac:dyDescent="0.25">
      <c r="A11" s="16">
        <v>8</v>
      </c>
      <c r="B11" s="38" t="s">
        <v>61</v>
      </c>
      <c r="C11" s="38" t="s">
        <v>62</v>
      </c>
      <c r="D11" s="38" t="s">
        <v>56</v>
      </c>
      <c r="E11" s="37" t="s">
        <v>164</v>
      </c>
      <c r="F11" s="37" t="s">
        <v>164</v>
      </c>
      <c r="G11" s="37" t="s">
        <v>164</v>
      </c>
      <c r="H11" s="37" t="s">
        <v>164</v>
      </c>
      <c r="I11" s="37" t="s">
        <v>164</v>
      </c>
      <c r="J11" s="37" t="s">
        <v>164</v>
      </c>
      <c r="K11" s="37" t="s">
        <v>164</v>
      </c>
      <c r="L11" s="37" t="s">
        <v>164</v>
      </c>
      <c r="M11" s="37" t="s">
        <v>164</v>
      </c>
      <c r="N11" s="37" t="s">
        <v>164</v>
      </c>
      <c r="O11" s="37">
        <v>45992.060252083327</v>
      </c>
      <c r="P11" s="37" t="s">
        <v>164</v>
      </c>
      <c r="Q11" s="37" t="s">
        <v>164</v>
      </c>
      <c r="R11" s="37" t="s">
        <v>164</v>
      </c>
      <c r="S11" s="37" t="s">
        <v>164</v>
      </c>
      <c r="T11" s="37" t="s">
        <v>164</v>
      </c>
      <c r="U11" s="37" t="s">
        <v>164</v>
      </c>
      <c r="V11" s="37" t="s">
        <v>164</v>
      </c>
      <c r="W11" s="37" t="s">
        <v>164</v>
      </c>
      <c r="X11" s="37">
        <v>46001.003142476846</v>
      </c>
      <c r="Y11" s="37" t="s">
        <v>164</v>
      </c>
      <c r="Z11" s="37">
        <v>46001.003142476846</v>
      </c>
      <c r="AA11" s="37" t="s">
        <v>164</v>
      </c>
      <c r="AB11" s="37"/>
      <c r="AC11" s="37"/>
      <c r="AD11" s="37"/>
      <c r="AE11" s="37"/>
      <c r="AF11" s="37"/>
      <c r="AG11" s="37"/>
      <c r="AH11" s="37"/>
      <c r="AI11" s="37"/>
      <c r="AJ11" s="19">
        <v>6.653935185185185E-2</v>
      </c>
      <c r="AK11" s="43">
        <v>1.5969444444444445</v>
      </c>
    </row>
    <row r="12" spans="1:37" ht="15.75" x14ac:dyDescent="0.25">
      <c r="A12" s="16">
        <v>9</v>
      </c>
      <c r="B12" s="38" t="s">
        <v>63</v>
      </c>
      <c r="C12" s="38" t="s">
        <v>64</v>
      </c>
      <c r="D12" s="38" t="s">
        <v>103</v>
      </c>
      <c r="E12" s="37" t="s">
        <v>164</v>
      </c>
      <c r="F12" s="37" t="s">
        <v>164</v>
      </c>
      <c r="G12" s="37" t="s">
        <v>164</v>
      </c>
      <c r="H12" s="37" t="s">
        <v>164</v>
      </c>
      <c r="I12" s="37" t="s">
        <v>164</v>
      </c>
      <c r="J12" s="37" t="s">
        <v>164</v>
      </c>
      <c r="K12" s="37" t="s">
        <v>164</v>
      </c>
      <c r="L12" s="37" t="s">
        <v>164</v>
      </c>
      <c r="M12" s="37" t="s">
        <v>164</v>
      </c>
      <c r="N12" s="37" t="s">
        <v>164</v>
      </c>
      <c r="O12" s="37" t="s">
        <v>164</v>
      </c>
      <c r="P12" s="37" t="s">
        <v>164</v>
      </c>
      <c r="Q12" s="37" t="s">
        <v>164</v>
      </c>
      <c r="R12" s="37" t="s">
        <v>164</v>
      </c>
      <c r="S12" s="37" t="s">
        <v>164</v>
      </c>
      <c r="T12" s="37" t="s">
        <v>164</v>
      </c>
      <c r="U12" s="37" t="s">
        <v>164</v>
      </c>
      <c r="V12" s="37" t="s">
        <v>164</v>
      </c>
      <c r="W12" s="37" t="s">
        <v>164</v>
      </c>
      <c r="X12" s="37" t="s">
        <v>164</v>
      </c>
      <c r="Y12" s="37" t="s">
        <v>164</v>
      </c>
      <c r="Z12" s="37" t="s">
        <v>164</v>
      </c>
      <c r="AA12" s="37" t="s">
        <v>164</v>
      </c>
      <c r="AB12" s="37"/>
      <c r="AC12" s="37"/>
      <c r="AD12" s="37"/>
      <c r="AE12" s="37"/>
      <c r="AF12" s="37"/>
      <c r="AG12" s="37"/>
      <c r="AH12" s="37"/>
      <c r="AI12" s="37"/>
      <c r="AJ12" s="19">
        <v>0</v>
      </c>
      <c r="AK12" s="43">
        <v>0</v>
      </c>
    </row>
    <row r="13" spans="1:37" ht="15.75" x14ac:dyDescent="0.25">
      <c r="A13" s="16">
        <v>10</v>
      </c>
      <c r="B13" s="38" t="s">
        <v>65</v>
      </c>
      <c r="C13" s="38" t="s">
        <v>66</v>
      </c>
      <c r="D13" s="38" t="s">
        <v>51</v>
      </c>
      <c r="E13" s="37" t="s">
        <v>164</v>
      </c>
      <c r="F13" s="37" t="s">
        <v>164</v>
      </c>
      <c r="G13" s="37" t="s">
        <v>164</v>
      </c>
      <c r="H13" s="37" t="s">
        <v>164</v>
      </c>
      <c r="I13" s="37" t="s">
        <v>164</v>
      </c>
      <c r="J13" s="37" t="s">
        <v>164</v>
      </c>
      <c r="K13" s="37" t="s">
        <v>164</v>
      </c>
      <c r="L13" s="37" t="s">
        <v>164</v>
      </c>
      <c r="M13" s="37" t="s">
        <v>164</v>
      </c>
      <c r="N13" s="37">
        <v>45991.003881597222</v>
      </c>
      <c r="O13" s="37" t="s">
        <v>164</v>
      </c>
      <c r="P13" s="37" t="s">
        <v>164</v>
      </c>
      <c r="Q13" s="37" t="s">
        <v>164</v>
      </c>
      <c r="R13" s="37" t="s">
        <v>164</v>
      </c>
      <c r="S13" s="37" t="s">
        <v>164</v>
      </c>
      <c r="T13" s="37" t="s">
        <v>164</v>
      </c>
      <c r="U13" s="37" t="s">
        <v>164</v>
      </c>
      <c r="V13" s="37">
        <v>45999.037165740738</v>
      </c>
      <c r="W13" s="37">
        <v>46000.030835879625</v>
      </c>
      <c r="X13" s="37" t="s">
        <v>164</v>
      </c>
      <c r="Y13" s="37">
        <v>46002.002462731478</v>
      </c>
      <c r="Z13" s="37">
        <v>46001.000139814816</v>
      </c>
      <c r="AA13" s="37" t="s">
        <v>164</v>
      </c>
      <c r="AB13" s="37"/>
      <c r="AC13" s="37"/>
      <c r="AD13" s="37"/>
      <c r="AE13" s="37"/>
      <c r="AF13" s="37"/>
      <c r="AG13" s="37"/>
      <c r="AH13" s="37"/>
      <c r="AI13" s="37"/>
      <c r="AJ13" s="19">
        <v>7.4490740740740746E-2</v>
      </c>
      <c r="AK13" s="43">
        <v>1.7877777777777779</v>
      </c>
    </row>
    <row r="14" spans="1:37" ht="15.75" x14ac:dyDescent="0.25">
      <c r="A14" s="16">
        <v>11</v>
      </c>
      <c r="B14" s="38" t="s">
        <v>67</v>
      </c>
      <c r="C14" s="38" t="s">
        <v>68</v>
      </c>
      <c r="D14" s="38" t="s">
        <v>56</v>
      </c>
      <c r="E14" s="37" t="s">
        <v>164</v>
      </c>
      <c r="F14" s="37" t="s">
        <v>164</v>
      </c>
      <c r="G14" s="37" t="s">
        <v>164</v>
      </c>
      <c r="H14" s="37" t="s">
        <v>164</v>
      </c>
      <c r="I14" s="37" t="s">
        <v>164</v>
      </c>
      <c r="J14" s="37" t="s">
        <v>164</v>
      </c>
      <c r="K14" s="37">
        <v>0</v>
      </c>
      <c r="L14" s="37" t="s">
        <v>164</v>
      </c>
      <c r="M14" s="37">
        <v>0</v>
      </c>
      <c r="N14" s="37" t="s">
        <v>164</v>
      </c>
      <c r="O14" s="37" t="s">
        <v>164</v>
      </c>
      <c r="P14" s="37" t="s">
        <v>164</v>
      </c>
      <c r="Q14" s="37" t="s">
        <v>164</v>
      </c>
      <c r="R14" s="37" t="s">
        <v>164</v>
      </c>
      <c r="S14" s="37" t="s">
        <v>164</v>
      </c>
      <c r="T14" s="37" t="s">
        <v>164</v>
      </c>
      <c r="U14" s="37" t="s">
        <v>164</v>
      </c>
      <c r="V14" s="37" t="s">
        <v>164</v>
      </c>
      <c r="W14" s="37" t="s">
        <v>164</v>
      </c>
      <c r="X14" s="37" t="s">
        <v>164</v>
      </c>
      <c r="Y14" s="37">
        <v>46002.061911805555</v>
      </c>
      <c r="Z14" s="37" t="s">
        <v>164</v>
      </c>
      <c r="AA14" s="37" t="s">
        <v>164</v>
      </c>
      <c r="AB14" s="37"/>
      <c r="AC14" s="37"/>
      <c r="AD14" s="37"/>
      <c r="AE14" s="37"/>
      <c r="AF14" s="37"/>
      <c r="AG14" s="37"/>
      <c r="AH14" s="37"/>
      <c r="AI14" s="37"/>
      <c r="AJ14" s="19">
        <v>6.190972222222222E-2</v>
      </c>
      <c r="AK14" s="43">
        <v>1.4858333333333333</v>
      </c>
    </row>
    <row r="15" spans="1:37" ht="15.75" x14ac:dyDescent="0.25">
      <c r="A15" s="16">
        <v>12</v>
      </c>
      <c r="B15" s="38" t="s">
        <v>69</v>
      </c>
      <c r="C15" s="38" t="s">
        <v>70</v>
      </c>
      <c r="D15" s="38" t="s">
        <v>60</v>
      </c>
      <c r="E15" s="37" t="s">
        <v>164</v>
      </c>
      <c r="F15" s="37" t="s">
        <v>164</v>
      </c>
      <c r="G15" s="37" t="s">
        <v>164</v>
      </c>
      <c r="H15" s="37">
        <v>0</v>
      </c>
      <c r="I15" s="37" t="s">
        <v>164</v>
      </c>
      <c r="J15" s="37" t="s">
        <v>164</v>
      </c>
      <c r="K15" s="37" t="s">
        <v>164</v>
      </c>
      <c r="L15" s="37" t="s">
        <v>164</v>
      </c>
      <c r="M15" s="37" t="s">
        <v>164</v>
      </c>
      <c r="N15" s="37" t="s">
        <v>164</v>
      </c>
      <c r="O15" s="37" t="s">
        <v>164</v>
      </c>
      <c r="P15" s="37">
        <v>45993.000393055561</v>
      </c>
      <c r="Q15" s="37" t="s">
        <v>164</v>
      </c>
      <c r="R15" s="37">
        <v>45995.029895486106</v>
      </c>
      <c r="S15" s="37" t="s">
        <v>164</v>
      </c>
      <c r="T15" s="37" t="s">
        <v>164</v>
      </c>
      <c r="U15" s="37">
        <v>45998.045813425917</v>
      </c>
      <c r="V15" s="37" t="s">
        <v>164</v>
      </c>
      <c r="W15" s="37">
        <v>46000.017583564812</v>
      </c>
      <c r="X15" s="37">
        <v>46001.003420254623</v>
      </c>
      <c r="Y15" s="37" t="s">
        <v>164</v>
      </c>
      <c r="Z15" s="37">
        <v>46001.003420254623</v>
      </c>
      <c r="AA15" s="37" t="s">
        <v>164</v>
      </c>
      <c r="AB15" s="37"/>
      <c r="AC15" s="37"/>
      <c r="AD15" s="37"/>
      <c r="AE15" s="37"/>
      <c r="AF15" s="37"/>
      <c r="AG15" s="37"/>
      <c r="AH15" s="37"/>
      <c r="AI15" s="37"/>
      <c r="AJ15" s="19">
        <v>0.10052083333333334</v>
      </c>
      <c r="AK15" s="43">
        <v>2.4125000000000001</v>
      </c>
    </row>
    <row r="16" spans="1:37" ht="15.75" x14ac:dyDescent="0.25">
      <c r="A16" s="16">
        <v>13</v>
      </c>
      <c r="B16" s="38" t="s">
        <v>71</v>
      </c>
      <c r="C16" s="38" t="s">
        <v>72</v>
      </c>
      <c r="D16" s="38" t="s">
        <v>56</v>
      </c>
      <c r="E16" s="37" t="s">
        <v>164</v>
      </c>
      <c r="F16" s="37" t="s">
        <v>164</v>
      </c>
      <c r="G16" s="37" t="s">
        <v>164</v>
      </c>
      <c r="H16" s="37" t="s">
        <v>164</v>
      </c>
      <c r="I16" s="37" t="s">
        <v>164</v>
      </c>
      <c r="J16" s="37" t="s">
        <v>164</v>
      </c>
      <c r="K16" s="37" t="s">
        <v>164</v>
      </c>
      <c r="L16" s="37" t="s">
        <v>164</v>
      </c>
      <c r="M16" s="37" t="s">
        <v>164</v>
      </c>
      <c r="N16" s="37" t="s">
        <v>164</v>
      </c>
      <c r="O16" s="37" t="s">
        <v>164</v>
      </c>
      <c r="P16" s="37" t="s">
        <v>164</v>
      </c>
      <c r="Q16" s="37" t="s">
        <v>164</v>
      </c>
      <c r="R16" s="37" t="s">
        <v>164</v>
      </c>
      <c r="S16" s="37" t="s">
        <v>164</v>
      </c>
      <c r="T16" s="37" t="s">
        <v>164</v>
      </c>
      <c r="U16" s="37" t="s">
        <v>164</v>
      </c>
      <c r="V16" s="37" t="s">
        <v>164</v>
      </c>
      <c r="W16" s="37" t="s">
        <v>164</v>
      </c>
      <c r="X16" s="37" t="s">
        <v>164</v>
      </c>
      <c r="Y16" s="37" t="s">
        <v>164</v>
      </c>
      <c r="Z16" s="37" t="s">
        <v>164</v>
      </c>
      <c r="AA16" s="37">
        <v>46004.004966203698</v>
      </c>
      <c r="AB16" s="37"/>
      <c r="AC16" s="37"/>
      <c r="AD16" s="37"/>
      <c r="AE16" s="37"/>
      <c r="AF16" s="37"/>
      <c r="AG16" s="37"/>
      <c r="AH16" s="37"/>
      <c r="AI16" s="37"/>
      <c r="AJ16" s="19">
        <v>4.9652777777777777E-3</v>
      </c>
      <c r="AK16" s="43">
        <v>0.11916666666666667</v>
      </c>
    </row>
    <row r="17" spans="1:37" ht="15.75" x14ac:dyDescent="0.25">
      <c r="A17" s="16">
        <v>14</v>
      </c>
      <c r="B17" s="38" t="s">
        <v>73</v>
      </c>
      <c r="C17" s="38" t="s">
        <v>74</v>
      </c>
      <c r="D17" s="38" t="s">
        <v>60</v>
      </c>
      <c r="E17" s="37" t="s">
        <v>164</v>
      </c>
      <c r="F17" s="37" t="s">
        <v>164</v>
      </c>
      <c r="G17" s="37" t="s">
        <v>164</v>
      </c>
      <c r="H17" s="37" t="s">
        <v>164</v>
      </c>
      <c r="I17" s="37">
        <v>0</v>
      </c>
      <c r="J17" s="37">
        <v>0</v>
      </c>
      <c r="K17" s="37" t="s">
        <v>164</v>
      </c>
      <c r="L17" s="37" t="s">
        <v>164</v>
      </c>
      <c r="M17" s="37" t="s">
        <v>164</v>
      </c>
      <c r="N17" s="37" t="s">
        <v>164</v>
      </c>
      <c r="O17" s="37" t="s">
        <v>164</v>
      </c>
      <c r="P17" s="37" t="s">
        <v>164</v>
      </c>
      <c r="Q17" s="37" t="s">
        <v>164</v>
      </c>
      <c r="R17" s="37" t="s">
        <v>164</v>
      </c>
      <c r="S17" s="37" t="s">
        <v>164</v>
      </c>
      <c r="T17" s="37" t="s">
        <v>164</v>
      </c>
      <c r="U17" s="37">
        <v>45998.015443055549</v>
      </c>
      <c r="V17" s="37">
        <v>45999.002837037027</v>
      </c>
      <c r="W17" s="37">
        <v>46000.07752569444</v>
      </c>
      <c r="X17" s="37" t="s">
        <v>164</v>
      </c>
      <c r="Y17" s="37" t="s">
        <v>164</v>
      </c>
      <c r="Z17" s="37">
        <v>46001.025001041664</v>
      </c>
      <c r="AA17" s="37" t="s">
        <v>164</v>
      </c>
      <c r="AB17" s="37"/>
      <c r="AC17" s="37"/>
      <c r="AD17" s="37"/>
      <c r="AE17" s="37"/>
      <c r="AF17" s="37"/>
      <c r="AG17" s="37"/>
      <c r="AH17" s="37"/>
      <c r="AI17" s="37"/>
      <c r="AJ17" s="19">
        <v>0.1208101851851852</v>
      </c>
      <c r="AK17" s="43">
        <v>2.8994444444444447</v>
      </c>
    </row>
    <row r="18" spans="1:37" ht="15.75" x14ac:dyDescent="0.25">
      <c r="A18" s="16">
        <v>15</v>
      </c>
      <c r="B18" s="38" t="s">
        <v>75</v>
      </c>
      <c r="C18" s="38" t="s">
        <v>76</v>
      </c>
      <c r="D18" s="38" t="s">
        <v>60</v>
      </c>
      <c r="E18" s="37">
        <v>45982.007059027776</v>
      </c>
      <c r="F18" s="37">
        <v>45983.002692245369</v>
      </c>
      <c r="G18" s="37" t="s">
        <v>164</v>
      </c>
      <c r="H18" s="37">
        <v>45985.018750000003</v>
      </c>
      <c r="I18" s="37">
        <v>45986.007422569441</v>
      </c>
      <c r="J18" s="37">
        <v>0</v>
      </c>
      <c r="K18" s="37" t="s">
        <v>164</v>
      </c>
      <c r="L18" s="37">
        <v>45989.008262847223</v>
      </c>
      <c r="M18" s="37" t="s">
        <v>164</v>
      </c>
      <c r="N18" s="37" t="s">
        <v>164</v>
      </c>
      <c r="O18" s="37" t="s">
        <v>164</v>
      </c>
      <c r="P18" s="37">
        <v>45993.045068981482</v>
      </c>
      <c r="Q18" s="37">
        <v>45994.013078935182</v>
      </c>
      <c r="R18" s="37">
        <v>45995.05849502315</v>
      </c>
      <c r="S18" s="37" t="s">
        <v>164</v>
      </c>
      <c r="T18" s="37" t="s">
        <v>164</v>
      </c>
      <c r="U18" s="37">
        <v>45998.025327314812</v>
      </c>
      <c r="V18" s="37" t="s">
        <v>164</v>
      </c>
      <c r="W18" s="37">
        <v>46000.100558101847</v>
      </c>
      <c r="X18" s="37" t="s">
        <v>164</v>
      </c>
      <c r="Y18" s="37" t="s">
        <v>164</v>
      </c>
      <c r="Z18" s="37">
        <v>46001.029642245368</v>
      </c>
      <c r="AA18" s="37">
        <v>46004.008263194439</v>
      </c>
      <c r="AB18" s="37"/>
      <c r="AC18" s="37"/>
      <c r="AD18" s="37"/>
      <c r="AE18" s="37"/>
      <c r="AF18" s="37"/>
      <c r="AG18" s="37"/>
      <c r="AH18" s="37"/>
      <c r="AI18" s="37"/>
      <c r="AJ18" s="19">
        <v>0.32461805555555556</v>
      </c>
      <c r="AK18" s="43">
        <v>7.7908333333333335</v>
      </c>
    </row>
    <row r="19" spans="1:37" ht="15.75" x14ac:dyDescent="0.25">
      <c r="A19" s="16">
        <v>16</v>
      </c>
      <c r="B19" s="38" t="s">
        <v>77</v>
      </c>
      <c r="C19" s="38" t="s">
        <v>78</v>
      </c>
      <c r="D19" s="38" t="s">
        <v>51</v>
      </c>
      <c r="E19" s="37">
        <v>45982.006875578707</v>
      </c>
      <c r="F19" s="37" t="s">
        <v>164</v>
      </c>
      <c r="G19" s="37" t="s">
        <v>164</v>
      </c>
      <c r="H19" s="37">
        <v>45985.010127314818</v>
      </c>
      <c r="I19" s="37" t="s">
        <v>164</v>
      </c>
      <c r="J19" s="37">
        <v>0</v>
      </c>
      <c r="K19" s="37" t="s">
        <v>164</v>
      </c>
      <c r="L19" s="37">
        <v>1.1805555555555555E-2</v>
      </c>
      <c r="M19" s="37" t="s">
        <v>164</v>
      </c>
      <c r="N19" s="37">
        <v>0</v>
      </c>
      <c r="O19" s="37" t="s">
        <v>164</v>
      </c>
      <c r="P19" s="37">
        <v>0</v>
      </c>
      <c r="Q19" s="37">
        <v>45994.003972569444</v>
      </c>
      <c r="R19" s="37">
        <v>45995.03018483796</v>
      </c>
      <c r="S19" s="37" t="s">
        <v>164</v>
      </c>
      <c r="T19" s="37" t="s">
        <v>164</v>
      </c>
      <c r="U19" s="37">
        <v>45998.121878240738</v>
      </c>
      <c r="V19" s="37">
        <v>45999.016621759256</v>
      </c>
      <c r="W19" s="37" t="s">
        <v>164</v>
      </c>
      <c r="X19" s="37" t="s">
        <v>164</v>
      </c>
      <c r="Y19" s="37">
        <v>46002.015211805556</v>
      </c>
      <c r="Z19" s="37" t="s">
        <v>164</v>
      </c>
      <c r="AA19" s="37" t="s">
        <v>164</v>
      </c>
      <c r="AB19" s="37"/>
      <c r="AC19" s="37"/>
      <c r="AD19" s="37"/>
      <c r="AE19" s="37"/>
      <c r="AF19" s="37"/>
      <c r="AG19" s="37"/>
      <c r="AH19" s="37"/>
      <c r="AI19" s="37"/>
      <c r="AJ19" s="19">
        <v>0.21667824074074074</v>
      </c>
      <c r="AK19" s="43">
        <v>5.200277777777778</v>
      </c>
    </row>
    <row r="20" spans="1:37" ht="15.75" x14ac:dyDescent="0.25">
      <c r="A20" s="16">
        <v>17</v>
      </c>
      <c r="B20" s="38" t="s">
        <v>79</v>
      </c>
      <c r="C20" s="38" t="s">
        <v>80</v>
      </c>
      <c r="D20" s="38" t="s">
        <v>56</v>
      </c>
      <c r="E20" s="37" t="s">
        <v>164</v>
      </c>
      <c r="F20" s="37" t="s">
        <v>164</v>
      </c>
      <c r="G20" s="37">
        <v>0</v>
      </c>
      <c r="H20" s="37" t="s">
        <v>164</v>
      </c>
      <c r="I20" s="37" t="s">
        <v>164</v>
      </c>
      <c r="J20" s="37" t="s">
        <v>164</v>
      </c>
      <c r="K20" s="37" t="s">
        <v>164</v>
      </c>
      <c r="L20" s="37" t="s">
        <v>164</v>
      </c>
      <c r="M20" s="37" t="s">
        <v>164</v>
      </c>
      <c r="N20" s="37" t="s">
        <v>164</v>
      </c>
      <c r="O20" s="37" t="s">
        <v>164</v>
      </c>
      <c r="P20" s="37" t="s">
        <v>164</v>
      </c>
      <c r="Q20" s="37" t="s">
        <v>164</v>
      </c>
      <c r="R20" s="37" t="s">
        <v>164</v>
      </c>
      <c r="S20" s="37" t="s">
        <v>164</v>
      </c>
      <c r="T20" s="37" t="s">
        <v>164</v>
      </c>
      <c r="U20" s="37" t="s">
        <v>164</v>
      </c>
      <c r="V20" s="37" t="s">
        <v>164</v>
      </c>
      <c r="W20" s="37" t="s">
        <v>164</v>
      </c>
      <c r="X20" s="37" t="s">
        <v>164</v>
      </c>
      <c r="Y20" s="37" t="s">
        <v>164</v>
      </c>
      <c r="Z20" s="37" t="s">
        <v>164</v>
      </c>
      <c r="AA20" s="37" t="s">
        <v>164</v>
      </c>
      <c r="AB20" s="37"/>
      <c r="AC20" s="37"/>
      <c r="AD20" s="37"/>
      <c r="AE20" s="37"/>
      <c r="AF20" s="37"/>
      <c r="AG20" s="37"/>
      <c r="AH20" s="37"/>
      <c r="AI20" s="37"/>
      <c r="AJ20" s="19">
        <v>0</v>
      </c>
      <c r="AK20" s="43">
        <v>0</v>
      </c>
    </row>
    <row r="21" spans="1:37" ht="15.75" x14ac:dyDescent="0.25">
      <c r="A21" s="16">
        <v>18</v>
      </c>
      <c r="B21" s="38" t="s">
        <v>81</v>
      </c>
      <c r="C21" s="38" t="s">
        <v>82</v>
      </c>
      <c r="D21" s="38" t="s">
        <v>56</v>
      </c>
      <c r="E21" s="37" t="s">
        <v>164</v>
      </c>
      <c r="F21" s="37" t="s">
        <v>164</v>
      </c>
      <c r="G21" s="37" t="s">
        <v>164</v>
      </c>
      <c r="H21" s="37" t="s">
        <v>164</v>
      </c>
      <c r="I21" s="37" t="s">
        <v>164</v>
      </c>
      <c r="J21" s="37" t="s">
        <v>164</v>
      </c>
      <c r="K21" s="37">
        <v>45988.003533101859</v>
      </c>
      <c r="L21" s="37" t="s">
        <v>164</v>
      </c>
      <c r="M21" s="37" t="s">
        <v>164</v>
      </c>
      <c r="N21" s="37" t="s">
        <v>164</v>
      </c>
      <c r="O21" s="37">
        <v>45992.002034490739</v>
      </c>
      <c r="P21" s="37" t="s">
        <v>164</v>
      </c>
      <c r="Q21" s="37" t="s">
        <v>164</v>
      </c>
      <c r="R21" s="37" t="s">
        <v>164</v>
      </c>
      <c r="S21" s="37" t="s">
        <v>164</v>
      </c>
      <c r="T21" s="37" t="s">
        <v>164</v>
      </c>
      <c r="U21" s="37" t="s">
        <v>164</v>
      </c>
      <c r="V21" s="37">
        <v>45999.004846296288</v>
      </c>
      <c r="W21" s="37" t="s">
        <v>164</v>
      </c>
      <c r="X21" s="37">
        <v>46001.00920729166</v>
      </c>
      <c r="Y21" s="37">
        <v>46002.008242824071</v>
      </c>
      <c r="Z21" s="37">
        <v>46001.00920729166</v>
      </c>
      <c r="AA21" s="37" t="s">
        <v>164</v>
      </c>
      <c r="AB21" s="37"/>
      <c r="AC21" s="37"/>
      <c r="AD21" s="37"/>
      <c r="AE21" s="37"/>
      <c r="AF21" s="37"/>
      <c r="AG21" s="37"/>
      <c r="AH21" s="37"/>
      <c r="AI21" s="37"/>
      <c r="AJ21" s="19">
        <v>3.7071759259259256E-2</v>
      </c>
      <c r="AK21" s="43">
        <v>0.88972222222222208</v>
      </c>
    </row>
    <row r="22" spans="1:37" ht="15.75" x14ac:dyDescent="0.25">
      <c r="A22" s="16">
        <v>19</v>
      </c>
      <c r="B22" s="38" t="s">
        <v>83</v>
      </c>
      <c r="C22" s="38" t="s">
        <v>84</v>
      </c>
      <c r="D22" s="38" t="s">
        <v>56</v>
      </c>
      <c r="E22" s="37" t="s">
        <v>164</v>
      </c>
      <c r="F22" s="37" t="s">
        <v>164</v>
      </c>
      <c r="G22" s="37">
        <v>0</v>
      </c>
      <c r="H22" s="37" t="s">
        <v>164</v>
      </c>
      <c r="I22" s="37" t="s">
        <v>164</v>
      </c>
      <c r="J22" s="37" t="s">
        <v>164</v>
      </c>
      <c r="K22" s="37">
        <v>0</v>
      </c>
      <c r="L22" s="37" t="s">
        <v>164</v>
      </c>
      <c r="M22" s="37" t="s">
        <v>164</v>
      </c>
      <c r="N22" s="37" t="s">
        <v>164</v>
      </c>
      <c r="O22" s="37" t="s">
        <v>164</v>
      </c>
      <c r="P22" s="37" t="s">
        <v>164</v>
      </c>
      <c r="Q22" s="37" t="s">
        <v>164</v>
      </c>
      <c r="R22" s="37" t="s">
        <v>164</v>
      </c>
      <c r="S22" s="37" t="s">
        <v>164</v>
      </c>
      <c r="T22" s="37" t="s">
        <v>164</v>
      </c>
      <c r="U22" s="37" t="s">
        <v>164</v>
      </c>
      <c r="V22" s="37" t="s">
        <v>164</v>
      </c>
      <c r="W22" s="37" t="s">
        <v>164</v>
      </c>
      <c r="X22" s="37" t="s">
        <v>164</v>
      </c>
      <c r="Y22" s="37" t="s">
        <v>164</v>
      </c>
      <c r="Z22" s="37" t="s">
        <v>164</v>
      </c>
      <c r="AA22" s="37">
        <v>46004.020035648144</v>
      </c>
      <c r="AB22" s="37"/>
      <c r="AC22" s="37"/>
      <c r="AD22" s="37"/>
      <c r="AE22" s="37"/>
      <c r="AF22" s="37"/>
      <c r="AG22" s="37"/>
      <c r="AH22" s="37"/>
      <c r="AI22" s="37"/>
      <c r="AJ22" s="19">
        <v>2.0034722222222221E-2</v>
      </c>
      <c r="AK22" s="43">
        <v>0.48083333333333333</v>
      </c>
    </row>
    <row r="23" spans="1:37" ht="15.75" x14ac:dyDescent="0.25">
      <c r="A23" s="16">
        <v>20</v>
      </c>
      <c r="B23" s="38" t="s">
        <v>85</v>
      </c>
      <c r="C23" s="38" t="s">
        <v>86</v>
      </c>
      <c r="D23" s="38" t="s">
        <v>60</v>
      </c>
      <c r="E23" s="37" t="s">
        <v>164</v>
      </c>
      <c r="F23" s="37" t="s">
        <v>164</v>
      </c>
      <c r="G23" s="37" t="s">
        <v>164</v>
      </c>
      <c r="H23" s="37" t="s">
        <v>164</v>
      </c>
      <c r="I23" s="37" t="s">
        <v>164</v>
      </c>
      <c r="J23" s="37" t="s">
        <v>164</v>
      </c>
      <c r="K23" s="37" t="s">
        <v>164</v>
      </c>
      <c r="L23" s="37" t="s">
        <v>164</v>
      </c>
      <c r="M23" s="37" t="s">
        <v>164</v>
      </c>
      <c r="N23" s="37" t="s">
        <v>164</v>
      </c>
      <c r="O23" s="37" t="s">
        <v>164</v>
      </c>
      <c r="P23" s="37" t="s">
        <v>164</v>
      </c>
      <c r="Q23" s="37" t="s">
        <v>164</v>
      </c>
      <c r="R23" s="37" t="s">
        <v>164</v>
      </c>
      <c r="S23" s="37" t="s">
        <v>164</v>
      </c>
      <c r="T23" s="37" t="s">
        <v>164</v>
      </c>
      <c r="U23" s="37" t="s">
        <v>164</v>
      </c>
      <c r="V23" s="37" t="s">
        <v>164</v>
      </c>
      <c r="W23" s="37" t="s">
        <v>164</v>
      </c>
      <c r="X23" s="37" t="s">
        <v>164</v>
      </c>
      <c r="Y23" s="37" t="s">
        <v>164</v>
      </c>
      <c r="Z23" s="37" t="s">
        <v>164</v>
      </c>
      <c r="AA23" s="37">
        <v>46004.01792928241</v>
      </c>
      <c r="AB23" s="37"/>
      <c r="AC23" s="37"/>
      <c r="AD23" s="37"/>
      <c r="AE23" s="37"/>
      <c r="AF23" s="37"/>
      <c r="AG23" s="37"/>
      <c r="AH23" s="37"/>
      <c r="AI23" s="37"/>
      <c r="AJ23" s="19">
        <v>1.7928240740740741E-2</v>
      </c>
      <c r="AK23" s="43">
        <v>0.43027777777777776</v>
      </c>
    </row>
    <row r="24" spans="1:37" ht="15.75" x14ac:dyDescent="0.25">
      <c r="A24" s="16">
        <v>21</v>
      </c>
      <c r="B24" s="38" t="s">
        <v>87</v>
      </c>
      <c r="C24" s="38" t="s">
        <v>88</v>
      </c>
      <c r="D24" s="38" t="s">
        <v>60</v>
      </c>
      <c r="E24" s="37" t="s">
        <v>164</v>
      </c>
      <c r="F24" s="37" t="s">
        <v>164</v>
      </c>
      <c r="G24" s="37" t="s">
        <v>164</v>
      </c>
      <c r="H24" s="37">
        <v>2.7777777777777779E-3</v>
      </c>
      <c r="I24" s="37">
        <v>45986.027214236114</v>
      </c>
      <c r="J24" s="37" t="s">
        <v>164</v>
      </c>
      <c r="K24" s="37" t="s">
        <v>164</v>
      </c>
      <c r="L24" s="37" t="s">
        <v>164</v>
      </c>
      <c r="M24" s="37" t="s">
        <v>164</v>
      </c>
      <c r="N24" s="37" t="s">
        <v>164</v>
      </c>
      <c r="O24" s="37" t="s">
        <v>164</v>
      </c>
      <c r="P24" s="37" t="s">
        <v>164</v>
      </c>
      <c r="Q24" s="37" t="s">
        <v>164</v>
      </c>
      <c r="R24" s="37" t="s">
        <v>164</v>
      </c>
      <c r="S24" s="37" t="s">
        <v>164</v>
      </c>
      <c r="T24" s="37" t="s">
        <v>164</v>
      </c>
      <c r="U24" s="37" t="s">
        <v>164</v>
      </c>
      <c r="V24" s="37">
        <v>45999.050001388881</v>
      </c>
      <c r="W24" s="37">
        <v>46000.063752546295</v>
      </c>
      <c r="X24" s="37" t="s">
        <v>164</v>
      </c>
      <c r="Y24" s="37" t="s">
        <v>164</v>
      </c>
      <c r="Z24" s="37">
        <v>46001.014653703707</v>
      </c>
      <c r="AA24" s="37" t="s">
        <v>164</v>
      </c>
      <c r="AB24" s="37"/>
      <c r="AC24" s="37"/>
      <c r="AD24" s="37"/>
      <c r="AE24" s="37"/>
      <c r="AF24" s="37"/>
      <c r="AG24" s="37"/>
      <c r="AH24" s="37"/>
      <c r="AI24" s="37"/>
      <c r="AJ24" s="19">
        <v>0.15840277777777778</v>
      </c>
      <c r="AK24" s="43">
        <v>3.8016666666666667</v>
      </c>
    </row>
    <row r="25" spans="1:37" ht="15.75" x14ac:dyDescent="0.25">
      <c r="A25" s="16">
        <v>22</v>
      </c>
      <c r="B25" s="38" t="s">
        <v>89</v>
      </c>
      <c r="C25" s="38" t="s">
        <v>90</v>
      </c>
      <c r="D25" s="38" t="s">
        <v>56</v>
      </c>
      <c r="E25" s="37" t="s">
        <v>164</v>
      </c>
      <c r="F25" s="37" t="s">
        <v>164</v>
      </c>
      <c r="G25" s="37">
        <v>3.472222222222222E-3</v>
      </c>
      <c r="H25" s="37" t="s">
        <v>164</v>
      </c>
      <c r="I25" s="37" t="s">
        <v>164</v>
      </c>
      <c r="J25" s="37" t="s">
        <v>164</v>
      </c>
      <c r="K25" s="37" t="s">
        <v>164</v>
      </c>
      <c r="L25" s="37" t="s">
        <v>164</v>
      </c>
      <c r="M25" s="37" t="s">
        <v>164</v>
      </c>
      <c r="N25" s="37" t="s">
        <v>164</v>
      </c>
      <c r="O25" s="37">
        <v>45992.004846990741</v>
      </c>
      <c r="P25" s="37" t="s">
        <v>164</v>
      </c>
      <c r="Q25" s="37" t="s">
        <v>164</v>
      </c>
      <c r="R25" s="37" t="s">
        <v>164</v>
      </c>
      <c r="S25" s="37" t="s">
        <v>164</v>
      </c>
      <c r="T25" s="37" t="s">
        <v>164</v>
      </c>
      <c r="U25" s="37" t="s">
        <v>164</v>
      </c>
      <c r="V25" s="37" t="s">
        <v>164</v>
      </c>
      <c r="W25" s="37" t="s">
        <v>164</v>
      </c>
      <c r="X25" s="37" t="s">
        <v>164</v>
      </c>
      <c r="Y25" s="37" t="s">
        <v>164</v>
      </c>
      <c r="Z25" s="37" t="s">
        <v>164</v>
      </c>
      <c r="AA25" s="37" t="s">
        <v>164</v>
      </c>
      <c r="AB25" s="37"/>
      <c r="AC25" s="37"/>
      <c r="AD25" s="37"/>
      <c r="AE25" s="37"/>
      <c r="AF25" s="37"/>
      <c r="AG25" s="37"/>
      <c r="AH25" s="37"/>
      <c r="AI25" s="37"/>
      <c r="AJ25" s="19">
        <v>8.3217592592592596E-3</v>
      </c>
      <c r="AK25" s="43">
        <v>0.19972222222222225</v>
      </c>
    </row>
    <row r="26" spans="1:37" ht="15.75" x14ac:dyDescent="0.25">
      <c r="A26" s="16">
        <v>23</v>
      </c>
      <c r="B26" s="38" t="s">
        <v>91</v>
      </c>
      <c r="C26" s="38" t="s">
        <v>92</v>
      </c>
      <c r="D26" s="38" t="s">
        <v>51</v>
      </c>
      <c r="E26" s="37">
        <v>45982.004964120373</v>
      </c>
      <c r="F26" s="37" t="s">
        <v>164</v>
      </c>
      <c r="G26" s="37" t="s">
        <v>164</v>
      </c>
      <c r="H26" s="37" t="s">
        <v>164</v>
      </c>
      <c r="I26" s="37">
        <v>45986.031357754626</v>
      </c>
      <c r="J26" s="37">
        <v>45987.016280787029</v>
      </c>
      <c r="K26" s="37" t="s">
        <v>164</v>
      </c>
      <c r="L26" s="37" t="s">
        <v>164</v>
      </c>
      <c r="M26" s="37" t="s">
        <v>164</v>
      </c>
      <c r="N26" s="37">
        <v>45991.027168634253</v>
      </c>
      <c r="O26" s="37" t="s">
        <v>164</v>
      </c>
      <c r="P26" s="37">
        <v>45993.012904629628</v>
      </c>
      <c r="Q26" s="37">
        <v>45994.015729398147</v>
      </c>
      <c r="R26" s="37" t="s">
        <v>164</v>
      </c>
      <c r="S26" s="37" t="s">
        <v>164</v>
      </c>
      <c r="T26" s="37" t="s">
        <v>164</v>
      </c>
      <c r="U26" s="37" t="s">
        <v>164</v>
      </c>
      <c r="V26" s="37" t="s">
        <v>164</v>
      </c>
      <c r="W26" s="37" t="s">
        <v>164</v>
      </c>
      <c r="X26" s="37" t="s">
        <v>164</v>
      </c>
      <c r="Y26" s="37" t="s">
        <v>164</v>
      </c>
      <c r="Z26" s="37" t="s">
        <v>164</v>
      </c>
      <c r="AA26" s="37" t="s">
        <v>164</v>
      </c>
      <c r="AB26" s="37"/>
      <c r="AC26" s="37"/>
      <c r="AD26" s="37"/>
      <c r="AE26" s="37"/>
      <c r="AF26" s="37"/>
      <c r="AG26" s="37"/>
      <c r="AH26" s="37"/>
      <c r="AI26" s="37"/>
      <c r="AJ26" s="19">
        <v>0.10840277777777778</v>
      </c>
      <c r="AK26" s="43">
        <v>2.6016666666666666</v>
      </c>
    </row>
    <row r="27" spans="1:37" ht="15.75" x14ac:dyDescent="0.25">
      <c r="A27" s="16">
        <v>24</v>
      </c>
      <c r="B27" s="38" t="s">
        <v>93</v>
      </c>
      <c r="C27" s="38" t="s">
        <v>94</v>
      </c>
      <c r="D27" s="38" t="s">
        <v>51</v>
      </c>
      <c r="E27" s="37" t="s">
        <v>164</v>
      </c>
      <c r="F27" s="37">
        <v>45983.00463668981</v>
      </c>
      <c r="G27" s="37" t="s">
        <v>164</v>
      </c>
      <c r="H27" s="37">
        <v>4.8611111111111112E-3</v>
      </c>
      <c r="I27" s="37">
        <v>45986.000258217588</v>
      </c>
      <c r="J27" s="37" t="s">
        <v>164</v>
      </c>
      <c r="K27" s="37" t="s">
        <v>164</v>
      </c>
      <c r="L27" s="37" t="s">
        <v>164</v>
      </c>
      <c r="M27" s="37" t="s">
        <v>164</v>
      </c>
      <c r="N27" s="37" t="s">
        <v>164</v>
      </c>
      <c r="O27" s="37" t="s">
        <v>164</v>
      </c>
      <c r="P27" s="37" t="s">
        <v>164</v>
      </c>
      <c r="Q27" s="37" t="s">
        <v>164</v>
      </c>
      <c r="R27" s="37" t="s">
        <v>164</v>
      </c>
      <c r="S27" s="37" t="s">
        <v>164</v>
      </c>
      <c r="T27" s="37">
        <v>0</v>
      </c>
      <c r="U27" s="37">
        <v>45998.031230092594</v>
      </c>
      <c r="V27" s="37" t="s">
        <v>164</v>
      </c>
      <c r="W27" s="37" t="s">
        <v>164</v>
      </c>
      <c r="X27" s="37" t="s">
        <v>164</v>
      </c>
      <c r="Y27" s="37" t="s">
        <v>164</v>
      </c>
      <c r="Z27" s="37" t="s">
        <v>164</v>
      </c>
      <c r="AA27" s="37">
        <v>46004.004008217591</v>
      </c>
      <c r="AB27" s="37"/>
      <c r="AC27" s="37"/>
      <c r="AD27" s="37"/>
      <c r="AE27" s="37"/>
      <c r="AF27" s="37"/>
      <c r="AG27" s="37"/>
      <c r="AH27" s="37"/>
      <c r="AI27" s="37"/>
      <c r="AJ27" s="19">
        <v>4.5000000000000005E-2</v>
      </c>
      <c r="AK27" s="43">
        <v>1.08</v>
      </c>
    </row>
    <row r="28" spans="1:37" ht="15.75" x14ac:dyDescent="0.25">
      <c r="A28" s="16">
        <v>25</v>
      </c>
      <c r="B28" s="38" t="s">
        <v>95</v>
      </c>
      <c r="C28" s="38" t="s">
        <v>96</v>
      </c>
      <c r="D28" s="38" t="s">
        <v>51</v>
      </c>
      <c r="E28" s="37" t="s">
        <v>164</v>
      </c>
      <c r="F28" s="37">
        <v>0</v>
      </c>
      <c r="G28" s="37" t="s">
        <v>164</v>
      </c>
      <c r="H28" s="37" t="s">
        <v>164</v>
      </c>
      <c r="I28" s="37">
        <v>0</v>
      </c>
      <c r="J28" s="37" t="s">
        <v>164</v>
      </c>
      <c r="K28" s="37">
        <v>45988.000558564818</v>
      </c>
      <c r="L28" s="37" t="s">
        <v>164</v>
      </c>
      <c r="M28" s="37" t="s">
        <v>164</v>
      </c>
      <c r="N28" s="37" t="s">
        <v>164</v>
      </c>
      <c r="O28" s="37" t="s">
        <v>164</v>
      </c>
      <c r="P28" s="37" t="s">
        <v>164</v>
      </c>
      <c r="Q28" s="37" t="s">
        <v>164</v>
      </c>
      <c r="R28" s="37" t="s">
        <v>164</v>
      </c>
      <c r="S28" s="37" t="s">
        <v>164</v>
      </c>
      <c r="T28" s="37" t="s">
        <v>164</v>
      </c>
      <c r="U28" s="37" t="s">
        <v>164</v>
      </c>
      <c r="V28" s="37" t="s">
        <v>164</v>
      </c>
      <c r="W28" s="37" t="s">
        <v>164</v>
      </c>
      <c r="X28" s="37" t="s">
        <v>164</v>
      </c>
      <c r="Y28" s="37" t="s">
        <v>164</v>
      </c>
      <c r="Z28" s="37" t="s">
        <v>164</v>
      </c>
      <c r="AA28" s="37" t="s">
        <v>164</v>
      </c>
      <c r="AB28" s="37"/>
      <c r="AC28" s="37"/>
      <c r="AD28" s="37"/>
      <c r="AE28" s="37"/>
      <c r="AF28" s="37"/>
      <c r="AG28" s="37"/>
      <c r="AH28" s="37"/>
      <c r="AI28" s="37"/>
      <c r="AJ28" s="19">
        <v>5.5555555555555556E-4</v>
      </c>
      <c r="AK28" s="43">
        <v>1.3333333333333332E-2</v>
      </c>
    </row>
    <row r="29" spans="1:37" ht="15.75" x14ac:dyDescent="0.25">
      <c r="A29" s="16">
        <v>26</v>
      </c>
      <c r="B29" s="38" t="s">
        <v>97</v>
      </c>
      <c r="C29" s="38" t="s">
        <v>98</v>
      </c>
      <c r="D29" s="38" t="s">
        <v>60</v>
      </c>
      <c r="E29" s="37" t="s">
        <v>164</v>
      </c>
      <c r="F29" s="37" t="s">
        <v>164</v>
      </c>
      <c r="G29" s="37" t="s">
        <v>164</v>
      </c>
      <c r="H29" s="37" t="s">
        <v>164</v>
      </c>
      <c r="I29" s="37" t="s">
        <v>164</v>
      </c>
      <c r="J29" s="37" t="s">
        <v>164</v>
      </c>
      <c r="K29" s="37" t="s">
        <v>164</v>
      </c>
      <c r="L29" s="37" t="s">
        <v>164</v>
      </c>
      <c r="M29" s="37" t="s">
        <v>164</v>
      </c>
      <c r="N29" s="37" t="s">
        <v>164</v>
      </c>
      <c r="O29" s="37">
        <v>45992.005622453704</v>
      </c>
      <c r="P29" s="37" t="s">
        <v>164</v>
      </c>
      <c r="Q29" s="37" t="s">
        <v>164</v>
      </c>
      <c r="R29" s="37" t="s">
        <v>164</v>
      </c>
      <c r="S29" s="37" t="s">
        <v>164</v>
      </c>
      <c r="T29" s="37" t="s">
        <v>164</v>
      </c>
      <c r="U29" s="37" t="s">
        <v>164</v>
      </c>
      <c r="V29" s="37" t="s">
        <v>164</v>
      </c>
      <c r="W29" s="37" t="s">
        <v>164</v>
      </c>
      <c r="X29" s="37" t="s">
        <v>164</v>
      </c>
      <c r="Y29" s="37" t="s">
        <v>164</v>
      </c>
      <c r="Z29" s="37" t="s">
        <v>164</v>
      </c>
      <c r="AA29" s="37">
        <v>46004.019098148143</v>
      </c>
      <c r="AB29" s="37"/>
      <c r="AC29" s="37"/>
      <c r="AD29" s="37"/>
      <c r="AE29" s="37"/>
      <c r="AF29" s="37"/>
      <c r="AG29" s="37"/>
      <c r="AH29" s="37"/>
      <c r="AI29" s="37"/>
      <c r="AJ29" s="19">
        <v>2.4722222222222225E-2</v>
      </c>
      <c r="AK29" s="43">
        <v>0.59333333333333338</v>
      </c>
    </row>
    <row r="30" spans="1:37" ht="15.75" x14ac:dyDescent="0.25">
      <c r="A30" s="16">
        <v>27</v>
      </c>
      <c r="B30" s="38" t="s">
        <v>99</v>
      </c>
      <c r="C30" s="38" t="s">
        <v>100</v>
      </c>
      <c r="D30" s="38" t="s">
        <v>56</v>
      </c>
      <c r="E30" s="37" t="s">
        <v>164</v>
      </c>
      <c r="F30" s="37" t="s">
        <v>164</v>
      </c>
      <c r="G30" s="37">
        <v>4.1666666666666666E-3</v>
      </c>
      <c r="H30" s="37" t="s">
        <v>164</v>
      </c>
      <c r="I30" s="37" t="s">
        <v>164</v>
      </c>
      <c r="J30" s="37" t="s">
        <v>164</v>
      </c>
      <c r="K30" s="37" t="s">
        <v>164</v>
      </c>
      <c r="L30" s="37" t="s">
        <v>164</v>
      </c>
      <c r="M30" s="37" t="s">
        <v>164</v>
      </c>
      <c r="N30" s="37" t="s">
        <v>164</v>
      </c>
      <c r="O30" s="37" t="s">
        <v>164</v>
      </c>
      <c r="P30" s="37" t="s">
        <v>164</v>
      </c>
      <c r="Q30" s="37" t="s">
        <v>164</v>
      </c>
      <c r="R30" s="37" t="s">
        <v>164</v>
      </c>
      <c r="S30" s="37" t="s">
        <v>164</v>
      </c>
      <c r="T30" s="37" t="s">
        <v>164</v>
      </c>
      <c r="U30" s="37" t="s">
        <v>164</v>
      </c>
      <c r="V30" s="37" t="s">
        <v>164</v>
      </c>
      <c r="W30" s="37" t="s">
        <v>164</v>
      </c>
      <c r="X30" s="37" t="s">
        <v>164</v>
      </c>
      <c r="Y30" s="37" t="s">
        <v>164</v>
      </c>
      <c r="Z30" s="37" t="s">
        <v>164</v>
      </c>
      <c r="AA30" s="37" t="s">
        <v>164</v>
      </c>
      <c r="AB30" s="37"/>
      <c r="AC30" s="37"/>
      <c r="AD30" s="37"/>
      <c r="AE30" s="37"/>
      <c r="AF30" s="37"/>
      <c r="AG30" s="37"/>
      <c r="AH30" s="37"/>
      <c r="AI30" s="37"/>
      <c r="AJ30" s="19">
        <v>4.1666666666666666E-3</v>
      </c>
      <c r="AK30" s="43">
        <v>0.1</v>
      </c>
    </row>
    <row r="31" spans="1:37" ht="15.75" x14ac:dyDescent="0.25">
      <c r="A31" s="16">
        <v>28</v>
      </c>
      <c r="B31" s="38" t="s">
        <v>101</v>
      </c>
      <c r="C31" s="38" t="s">
        <v>102</v>
      </c>
      <c r="D31" s="38" t="s">
        <v>60</v>
      </c>
      <c r="E31" s="37" t="s">
        <v>164</v>
      </c>
      <c r="F31" s="37" t="s">
        <v>164</v>
      </c>
      <c r="G31" s="37">
        <v>2.2916666666666669E-2</v>
      </c>
      <c r="H31" s="37" t="s">
        <v>164</v>
      </c>
      <c r="I31" s="37" t="s">
        <v>164</v>
      </c>
      <c r="J31" s="37" t="s">
        <v>164</v>
      </c>
      <c r="K31" s="37" t="s">
        <v>164</v>
      </c>
      <c r="L31" s="37" t="s">
        <v>164</v>
      </c>
      <c r="M31" s="37" t="s">
        <v>164</v>
      </c>
      <c r="N31" s="37" t="s">
        <v>164</v>
      </c>
      <c r="O31" s="37" t="s">
        <v>164</v>
      </c>
      <c r="P31" s="37" t="s">
        <v>164</v>
      </c>
      <c r="Q31" s="37" t="s">
        <v>164</v>
      </c>
      <c r="R31" s="37" t="s">
        <v>164</v>
      </c>
      <c r="S31" s="37" t="s">
        <v>164</v>
      </c>
      <c r="T31" s="37" t="s">
        <v>164</v>
      </c>
      <c r="U31" s="37" t="s">
        <v>164</v>
      </c>
      <c r="V31" s="37">
        <v>45999.008908796292</v>
      </c>
      <c r="W31" s="37" t="s">
        <v>164</v>
      </c>
      <c r="X31" s="37" t="s">
        <v>164</v>
      </c>
      <c r="Y31" s="37" t="s">
        <v>164</v>
      </c>
      <c r="Z31" s="37" t="s">
        <v>164</v>
      </c>
      <c r="AA31" s="37">
        <v>46004.018299537034</v>
      </c>
      <c r="AB31" s="37"/>
      <c r="AC31" s="37"/>
      <c r="AD31" s="37"/>
      <c r="AE31" s="37"/>
      <c r="AF31" s="37"/>
      <c r="AG31" s="37"/>
      <c r="AH31" s="37"/>
      <c r="AI31" s="37"/>
      <c r="AJ31" s="19">
        <v>5.0127314814814812E-2</v>
      </c>
      <c r="AK31" s="43">
        <v>1.2030555555555555</v>
      </c>
    </row>
    <row r="32" spans="1:37" ht="15.75" x14ac:dyDescent="0.25">
      <c r="A32" s="16">
        <v>29</v>
      </c>
      <c r="B32" s="38" t="s">
        <v>108</v>
      </c>
      <c r="C32" s="38" t="s">
        <v>109</v>
      </c>
      <c r="D32" s="38" t="s">
        <v>51</v>
      </c>
      <c r="E32" s="37" t="s">
        <v>164</v>
      </c>
      <c r="F32" s="37">
        <v>45983.005909837972</v>
      </c>
      <c r="G32" s="37" t="s">
        <v>164</v>
      </c>
      <c r="H32" s="37" t="s">
        <v>164</v>
      </c>
      <c r="I32" s="37" t="s">
        <v>164</v>
      </c>
      <c r="J32" s="37">
        <v>45987.004567824071</v>
      </c>
      <c r="K32" s="37" t="s">
        <v>164</v>
      </c>
      <c r="L32" s="37" t="s">
        <v>164</v>
      </c>
      <c r="M32" s="37" t="s">
        <v>164</v>
      </c>
      <c r="N32" s="37" t="s">
        <v>164</v>
      </c>
      <c r="O32" s="37" t="s">
        <v>164</v>
      </c>
      <c r="P32" s="37" t="s">
        <v>164</v>
      </c>
      <c r="Q32" s="37" t="s">
        <v>164</v>
      </c>
      <c r="R32" s="37" t="s">
        <v>164</v>
      </c>
      <c r="S32" s="37" t="s">
        <v>164</v>
      </c>
      <c r="T32" s="37" t="s">
        <v>164</v>
      </c>
      <c r="U32" s="37">
        <v>45998.006056481478</v>
      </c>
      <c r="V32" s="37" t="s">
        <v>164</v>
      </c>
      <c r="W32" s="37">
        <v>46000.040419212957</v>
      </c>
      <c r="X32" s="37" t="s">
        <v>164</v>
      </c>
      <c r="Y32" s="37" t="s">
        <v>164</v>
      </c>
      <c r="Z32" s="37" t="s">
        <v>164</v>
      </c>
      <c r="AA32" s="37">
        <v>46004.010357986117</v>
      </c>
      <c r="AB32" s="37"/>
      <c r="AC32" s="37"/>
      <c r="AD32" s="37"/>
      <c r="AE32" s="37"/>
      <c r="AF32" s="37"/>
      <c r="AG32" s="37"/>
      <c r="AH32" s="37"/>
      <c r="AI32" s="37"/>
      <c r="AJ32" s="19">
        <v>6.7314814814814813E-2</v>
      </c>
      <c r="AK32" s="43">
        <v>1.6155555555555554</v>
      </c>
    </row>
    <row r="33" spans="1:37" ht="15.75" x14ac:dyDescent="0.25">
      <c r="A33" s="16">
        <v>30</v>
      </c>
      <c r="B33" s="38" t="s">
        <v>111</v>
      </c>
      <c r="C33" s="38" t="s">
        <v>112</v>
      </c>
      <c r="D33" s="38" t="s">
        <v>51</v>
      </c>
      <c r="E33" s="37" t="s">
        <v>164</v>
      </c>
      <c r="F33" s="37">
        <v>45983.001974652776</v>
      </c>
      <c r="G33" s="37" t="s">
        <v>164</v>
      </c>
      <c r="H33" s="37" t="s">
        <v>164</v>
      </c>
      <c r="I33" s="37" t="s">
        <v>164</v>
      </c>
      <c r="J33" s="37" t="s">
        <v>164</v>
      </c>
      <c r="K33" s="37">
        <v>45988.007283101855</v>
      </c>
      <c r="L33" s="37" t="s">
        <v>164</v>
      </c>
      <c r="M33" s="37" t="s">
        <v>164</v>
      </c>
      <c r="N33" s="37" t="s">
        <v>164</v>
      </c>
      <c r="O33" s="37" t="s">
        <v>164</v>
      </c>
      <c r="P33" s="37" t="s">
        <v>164</v>
      </c>
      <c r="Q33" s="37" t="s">
        <v>164</v>
      </c>
      <c r="R33" s="37" t="s">
        <v>164</v>
      </c>
      <c r="S33" s="37" t="s">
        <v>164</v>
      </c>
      <c r="T33" s="37" t="s">
        <v>164</v>
      </c>
      <c r="U33" s="37">
        <v>45998.043510185184</v>
      </c>
      <c r="V33" s="37" t="s">
        <v>164</v>
      </c>
      <c r="W33" s="37" t="s">
        <v>164</v>
      </c>
      <c r="X33" s="37" t="s">
        <v>164</v>
      </c>
      <c r="Y33" s="37">
        <v>46002.014088888885</v>
      </c>
      <c r="Z33" s="37" t="s">
        <v>164</v>
      </c>
      <c r="AA33" s="37" t="s">
        <v>164</v>
      </c>
      <c r="AB33" s="37"/>
      <c r="AC33" s="37"/>
      <c r="AD33" s="37"/>
      <c r="AE33" s="37"/>
      <c r="AF33" s="37"/>
      <c r="AG33" s="37"/>
      <c r="AH33" s="37"/>
      <c r="AI33" s="37"/>
      <c r="AJ33" s="19">
        <v>6.6851851851851843E-2</v>
      </c>
      <c r="AK33" s="43">
        <v>1.6044444444444443</v>
      </c>
    </row>
    <row r="34" spans="1:37" ht="15.75" x14ac:dyDescent="0.25">
      <c r="A34" s="16">
        <v>31</v>
      </c>
      <c r="B34" s="38" t="s">
        <v>113</v>
      </c>
      <c r="C34" s="38" t="s">
        <v>114</v>
      </c>
      <c r="D34" s="38" t="s">
        <v>51</v>
      </c>
      <c r="E34" s="37" t="s">
        <v>164</v>
      </c>
      <c r="F34" s="37">
        <v>45983.069023263895</v>
      </c>
      <c r="G34" s="37" t="s">
        <v>164</v>
      </c>
      <c r="H34" s="37">
        <v>45985.04756608796</v>
      </c>
      <c r="I34" s="37">
        <v>0</v>
      </c>
      <c r="J34" s="37">
        <v>45987.026871064809</v>
      </c>
      <c r="K34" s="37" t="s">
        <v>164</v>
      </c>
      <c r="L34" s="37" t="s">
        <v>164</v>
      </c>
      <c r="M34" s="37" t="s">
        <v>164</v>
      </c>
      <c r="N34" s="37" t="s">
        <v>164</v>
      </c>
      <c r="O34" s="37" t="s">
        <v>164</v>
      </c>
      <c r="P34" s="37" t="s">
        <v>164</v>
      </c>
      <c r="Q34" s="37">
        <v>45994.016620601848</v>
      </c>
      <c r="R34" s="37" t="s">
        <v>164</v>
      </c>
      <c r="S34" s="37" t="s">
        <v>164</v>
      </c>
      <c r="T34" s="37" t="s">
        <v>164</v>
      </c>
      <c r="U34" s="37">
        <v>45998.036681481477</v>
      </c>
      <c r="V34" s="37" t="s">
        <v>164</v>
      </c>
      <c r="W34" s="37">
        <v>46000.054724768517</v>
      </c>
      <c r="X34" s="37" t="s">
        <v>164</v>
      </c>
      <c r="Y34" s="37" t="s">
        <v>164</v>
      </c>
      <c r="Z34" s="37" t="s">
        <v>164</v>
      </c>
      <c r="AA34" s="37" t="s">
        <v>164</v>
      </c>
      <c r="AB34" s="37"/>
      <c r="AC34" s="37"/>
      <c r="AD34" s="37"/>
      <c r="AE34" s="37"/>
      <c r="AF34" s="37"/>
      <c r="AG34" s="37"/>
      <c r="AH34" s="37"/>
      <c r="AI34" s="37"/>
      <c r="AJ34" s="19">
        <v>0.25148148148148147</v>
      </c>
      <c r="AK34" s="43">
        <v>6.0355555555555558</v>
      </c>
    </row>
    <row r="35" spans="1:37" ht="15.75" x14ac:dyDescent="0.25">
      <c r="A35" s="16">
        <v>32</v>
      </c>
      <c r="B35" s="38" t="s">
        <v>115</v>
      </c>
      <c r="C35" s="38" t="s">
        <v>116</v>
      </c>
      <c r="D35" s="38" t="s">
        <v>51</v>
      </c>
      <c r="E35" s="37" t="s">
        <v>164</v>
      </c>
      <c r="F35" s="37" t="s">
        <v>164</v>
      </c>
      <c r="G35" s="37" t="s">
        <v>164</v>
      </c>
      <c r="H35" s="37">
        <v>45985.006435185183</v>
      </c>
      <c r="I35" s="37">
        <v>45986.000605439811</v>
      </c>
      <c r="J35" s="37">
        <v>45987.002345601853</v>
      </c>
      <c r="K35" s="37">
        <v>0</v>
      </c>
      <c r="L35" s="37" t="s">
        <v>164</v>
      </c>
      <c r="M35" s="37" t="s">
        <v>164</v>
      </c>
      <c r="N35" s="37" t="s">
        <v>164</v>
      </c>
      <c r="O35" s="37" t="s">
        <v>164</v>
      </c>
      <c r="P35" s="37" t="s">
        <v>164</v>
      </c>
      <c r="Q35" s="37" t="s">
        <v>164</v>
      </c>
      <c r="R35" s="37" t="s">
        <v>164</v>
      </c>
      <c r="S35" s="37" t="s">
        <v>164</v>
      </c>
      <c r="T35" s="37">
        <v>45997.001568634259</v>
      </c>
      <c r="U35" s="37" t="s">
        <v>164</v>
      </c>
      <c r="V35" s="37" t="s">
        <v>164</v>
      </c>
      <c r="W35" s="37">
        <v>46000.051796527783</v>
      </c>
      <c r="X35" s="37" t="s">
        <v>164</v>
      </c>
      <c r="Y35" s="37" t="s">
        <v>164</v>
      </c>
      <c r="Z35" s="37">
        <v>46001.01409606482</v>
      </c>
      <c r="AA35" s="37" t="s">
        <v>164</v>
      </c>
      <c r="AB35" s="37"/>
      <c r="AC35" s="37"/>
      <c r="AD35" s="37"/>
      <c r="AE35" s="37"/>
      <c r="AF35" s="37"/>
      <c r="AG35" s="37"/>
      <c r="AH35" s="37"/>
      <c r="AI35" s="37"/>
      <c r="AJ35" s="19">
        <v>7.6851851851851852E-2</v>
      </c>
      <c r="AK35" s="43">
        <v>1.8444444444444446</v>
      </c>
    </row>
    <row r="36" spans="1:37" ht="15.75" x14ac:dyDescent="0.25">
      <c r="A36" s="16">
        <v>33</v>
      </c>
      <c r="B36" s="38" t="s">
        <v>117</v>
      </c>
      <c r="C36" s="38" t="s">
        <v>118</v>
      </c>
      <c r="D36" s="38" t="s">
        <v>60</v>
      </c>
      <c r="E36" s="37" t="s">
        <v>164</v>
      </c>
      <c r="F36" s="37">
        <v>45983.000713078698</v>
      </c>
      <c r="G36" s="37" t="s">
        <v>164</v>
      </c>
      <c r="H36" s="37" t="s">
        <v>164</v>
      </c>
      <c r="I36" s="37" t="s">
        <v>164</v>
      </c>
      <c r="J36" s="37">
        <v>0</v>
      </c>
      <c r="K36" s="37" t="s">
        <v>164</v>
      </c>
      <c r="L36" s="37" t="s">
        <v>164</v>
      </c>
      <c r="M36" s="37" t="s">
        <v>164</v>
      </c>
      <c r="N36" s="37">
        <v>45991.00436770833</v>
      </c>
      <c r="O36" s="37" t="s">
        <v>164</v>
      </c>
      <c r="P36" s="37">
        <v>45993.002198611117</v>
      </c>
      <c r="Q36" s="37" t="s">
        <v>164</v>
      </c>
      <c r="R36" s="37" t="s">
        <v>164</v>
      </c>
      <c r="S36" s="37" t="s">
        <v>164</v>
      </c>
      <c r="T36" s="37" t="s">
        <v>164</v>
      </c>
      <c r="U36" s="37" t="s">
        <v>164</v>
      </c>
      <c r="V36" s="37" t="s">
        <v>164</v>
      </c>
      <c r="W36" s="37" t="s">
        <v>164</v>
      </c>
      <c r="X36" s="37" t="s">
        <v>164</v>
      </c>
      <c r="Y36" s="37">
        <v>46002.005281018515</v>
      </c>
      <c r="Z36" s="37">
        <v>46001.008112268515</v>
      </c>
      <c r="AA36" s="37" t="s">
        <v>164</v>
      </c>
      <c r="AB36" s="37"/>
      <c r="AC36" s="37"/>
      <c r="AD36" s="37"/>
      <c r="AE36" s="37"/>
      <c r="AF36" s="37"/>
      <c r="AG36" s="37"/>
      <c r="AH36" s="37"/>
      <c r="AI36" s="37"/>
      <c r="AJ36" s="19">
        <v>2.0671296296296295E-2</v>
      </c>
      <c r="AK36" s="43">
        <v>0.49611111111111106</v>
      </c>
    </row>
    <row r="37" spans="1:37" ht="15.75" x14ac:dyDescent="0.25">
      <c r="A37" s="16">
        <v>34</v>
      </c>
      <c r="B37" s="38" t="s">
        <v>119</v>
      </c>
      <c r="C37" s="38" t="s">
        <v>120</v>
      </c>
      <c r="D37" s="38" t="s">
        <v>60</v>
      </c>
      <c r="E37" s="37" t="s">
        <v>164</v>
      </c>
      <c r="F37" s="37">
        <v>0</v>
      </c>
      <c r="G37" s="37" t="s">
        <v>164</v>
      </c>
      <c r="H37" s="37">
        <v>45985.022774421297</v>
      </c>
      <c r="I37" s="37" t="s">
        <v>164</v>
      </c>
      <c r="J37" s="37">
        <v>0</v>
      </c>
      <c r="K37" s="37">
        <v>45988.002757638889</v>
      </c>
      <c r="L37" s="37" t="s">
        <v>164</v>
      </c>
      <c r="M37" s="37" t="s">
        <v>164</v>
      </c>
      <c r="N37" s="37" t="s">
        <v>164</v>
      </c>
      <c r="O37" s="37" t="s">
        <v>164</v>
      </c>
      <c r="P37" s="37" t="s">
        <v>164</v>
      </c>
      <c r="Q37" s="37">
        <v>45994.010801388889</v>
      </c>
      <c r="R37" s="37" t="s">
        <v>164</v>
      </c>
      <c r="S37" s="37" t="s">
        <v>164</v>
      </c>
      <c r="T37" s="37" t="s">
        <v>164</v>
      </c>
      <c r="U37" s="37" t="s">
        <v>164</v>
      </c>
      <c r="V37" s="37" t="s">
        <v>164</v>
      </c>
      <c r="W37" s="37" t="s">
        <v>164</v>
      </c>
      <c r="X37" s="37" t="s">
        <v>164</v>
      </c>
      <c r="Y37" s="37" t="s">
        <v>164</v>
      </c>
      <c r="Z37" s="37" t="s">
        <v>164</v>
      </c>
      <c r="AA37" s="37" t="s">
        <v>164</v>
      </c>
      <c r="AB37" s="37"/>
      <c r="AC37" s="37"/>
      <c r="AD37" s="37"/>
      <c r="AE37" s="37"/>
      <c r="AF37" s="37"/>
      <c r="AG37" s="37"/>
      <c r="AH37" s="37"/>
      <c r="AI37" s="37"/>
      <c r="AJ37" s="19">
        <v>3.6331018518518519E-2</v>
      </c>
      <c r="AK37" s="43">
        <v>0.87194444444444441</v>
      </c>
    </row>
    <row r="38" spans="1:37" ht="15.75" x14ac:dyDescent="0.25">
      <c r="A38" s="16">
        <v>35</v>
      </c>
      <c r="B38" s="38" t="s">
        <v>121</v>
      </c>
      <c r="C38" s="38" t="s">
        <v>122</v>
      </c>
      <c r="D38" s="38" t="s">
        <v>56</v>
      </c>
      <c r="E38" s="37" t="s">
        <v>164</v>
      </c>
      <c r="F38" s="37" t="s">
        <v>164</v>
      </c>
      <c r="G38" s="37">
        <v>45984.001426041665</v>
      </c>
      <c r="H38" s="37" t="s">
        <v>164</v>
      </c>
      <c r="I38" s="37" t="s">
        <v>164</v>
      </c>
      <c r="J38" s="37" t="s">
        <v>164</v>
      </c>
      <c r="K38" s="37" t="s">
        <v>164</v>
      </c>
      <c r="L38" s="37" t="s">
        <v>164</v>
      </c>
      <c r="M38" s="37" t="s">
        <v>164</v>
      </c>
      <c r="N38" s="37" t="s">
        <v>164</v>
      </c>
      <c r="O38" s="37">
        <v>45992.000414120368</v>
      </c>
      <c r="P38" s="37" t="s">
        <v>164</v>
      </c>
      <c r="Q38" s="37" t="s">
        <v>164</v>
      </c>
      <c r="R38" s="37" t="s">
        <v>164</v>
      </c>
      <c r="S38" s="37" t="s">
        <v>164</v>
      </c>
      <c r="T38" s="37" t="s">
        <v>164</v>
      </c>
      <c r="U38" s="37" t="s">
        <v>164</v>
      </c>
      <c r="V38" s="37" t="s">
        <v>164</v>
      </c>
      <c r="W38" s="37" t="s">
        <v>164</v>
      </c>
      <c r="X38" s="37" t="s">
        <v>164</v>
      </c>
      <c r="Y38" s="37" t="s">
        <v>164</v>
      </c>
      <c r="Z38" s="37" t="s">
        <v>164</v>
      </c>
      <c r="AA38" s="37" t="s">
        <v>164</v>
      </c>
      <c r="AB38" s="37"/>
      <c r="AC38" s="37"/>
      <c r="AD38" s="37"/>
      <c r="AE38" s="37"/>
      <c r="AF38" s="37"/>
      <c r="AG38" s="37"/>
      <c r="AH38" s="37"/>
      <c r="AI38" s="37"/>
      <c r="AJ38" s="19">
        <v>1.8402777777777777E-3</v>
      </c>
      <c r="AK38" s="43">
        <v>4.4166666666666667E-2</v>
      </c>
    </row>
    <row r="39" spans="1:37" ht="15.75" x14ac:dyDescent="0.25">
      <c r="A39" s="16">
        <v>36</v>
      </c>
      <c r="B39" s="38" t="s">
        <v>123</v>
      </c>
      <c r="C39" s="38" t="s">
        <v>124</v>
      </c>
      <c r="D39" s="38" t="s">
        <v>56</v>
      </c>
      <c r="E39" s="37" t="s">
        <v>164</v>
      </c>
      <c r="F39" s="37" t="s">
        <v>164</v>
      </c>
      <c r="G39" s="37">
        <v>45984.048544097226</v>
      </c>
      <c r="H39" s="37" t="s">
        <v>164</v>
      </c>
      <c r="I39" s="37" t="s">
        <v>164</v>
      </c>
      <c r="J39" s="37" t="s">
        <v>164</v>
      </c>
      <c r="K39" s="37" t="s">
        <v>164</v>
      </c>
      <c r="L39" s="37" t="s">
        <v>164</v>
      </c>
      <c r="M39" s="37" t="s">
        <v>164</v>
      </c>
      <c r="N39" s="37" t="s">
        <v>164</v>
      </c>
      <c r="O39" s="37" t="s">
        <v>164</v>
      </c>
      <c r="P39" s="37" t="s">
        <v>164</v>
      </c>
      <c r="Q39" s="37" t="s">
        <v>164</v>
      </c>
      <c r="R39" s="37" t="s">
        <v>164</v>
      </c>
      <c r="S39" s="37" t="s">
        <v>164</v>
      </c>
      <c r="T39" s="37" t="s">
        <v>164</v>
      </c>
      <c r="U39" s="37" t="s">
        <v>164</v>
      </c>
      <c r="V39" s="37" t="s">
        <v>164</v>
      </c>
      <c r="W39" s="37" t="s">
        <v>164</v>
      </c>
      <c r="X39" s="37" t="s">
        <v>164</v>
      </c>
      <c r="Y39" s="37" t="s">
        <v>164</v>
      </c>
      <c r="Z39" s="37" t="s">
        <v>164</v>
      </c>
      <c r="AA39" s="37" t="s">
        <v>164</v>
      </c>
      <c r="AB39" s="37"/>
      <c r="AC39" s="37"/>
      <c r="AD39" s="37"/>
      <c r="AE39" s="37"/>
      <c r="AF39" s="37"/>
      <c r="AG39" s="37"/>
      <c r="AH39" s="37"/>
      <c r="AI39" s="37"/>
      <c r="AJ39" s="19">
        <v>4.854166666666667E-2</v>
      </c>
      <c r="AK39" s="43">
        <v>1.165</v>
      </c>
    </row>
    <row r="40" spans="1:37" ht="15.75" x14ac:dyDescent="0.25">
      <c r="A40" s="16">
        <v>37</v>
      </c>
      <c r="B40" s="38" t="s">
        <v>125</v>
      </c>
      <c r="C40" s="38" t="s">
        <v>126</v>
      </c>
      <c r="D40" s="38" t="s">
        <v>51</v>
      </c>
      <c r="E40" s="37" t="s">
        <v>164</v>
      </c>
      <c r="F40" s="37" t="s">
        <v>164</v>
      </c>
      <c r="G40" s="37" t="s">
        <v>164</v>
      </c>
      <c r="H40" s="37" t="s">
        <v>164</v>
      </c>
      <c r="I40" s="37">
        <v>45986.00206377315</v>
      </c>
      <c r="J40" s="37" t="s">
        <v>164</v>
      </c>
      <c r="K40" s="37">
        <v>0</v>
      </c>
      <c r="L40" s="37" t="s">
        <v>164</v>
      </c>
      <c r="M40" s="37" t="s">
        <v>164</v>
      </c>
      <c r="N40" s="37">
        <v>0</v>
      </c>
      <c r="O40" s="37" t="s">
        <v>164</v>
      </c>
      <c r="P40" s="37" t="s">
        <v>164</v>
      </c>
      <c r="Q40" s="37" t="s">
        <v>164</v>
      </c>
      <c r="R40" s="37" t="s">
        <v>164</v>
      </c>
      <c r="S40" s="37" t="s">
        <v>164</v>
      </c>
      <c r="T40" s="37" t="s">
        <v>164</v>
      </c>
      <c r="U40" s="37" t="s">
        <v>164</v>
      </c>
      <c r="V40" s="37" t="s">
        <v>164</v>
      </c>
      <c r="W40" s="37" t="s">
        <v>164</v>
      </c>
      <c r="X40" s="37" t="s">
        <v>164</v>
      </c>
      <c r="Y40" s="37" t="s">
        <v>164</v>
      </c>
      <c r="Z40" s="37" t="s">
        <v>164</v>
      </c>
      <c r="AA40" s="37" t="s">
        <v>164</v>
      </c>
      <c r="AB40" s="37"/>
      <c r="AC40" s="37"/>
      <c r="AD40" s="37"/>
      <c r="AE40" s="37"/>
      <c r="AF40" s="37"/>
      <c r="AG40" s="37"/>
      <c r="AH40" s="37"/>
      <c r="AI40" s="37"/>
      <c r="AJ40" s="19">
        <v>2.0601851851851853E-3</v>
      </c>
      <c r="AK40" s="43">
        <v>4.9444444444444444E-2</v>
      </c>
    </row>
    <row r="41" spans="1:37" ht="15.75" x14ac:dyDescent="0.25">
      <c r="A41" s="16">
        <v>38</v>
      </c>
      <c r="B41" s="38" t="s">
        <v>127</v>
      </c>
      <c r="C41" s="38" t="s">
        <v>128</v>
      </c>
      <c r="D41" s="38" t="s">
        <v>110</v>
      </c>
      <c r="E41" s="37" t="s">
        <v>164</v>
      </c>
      <c r="F41" s="37" t="s">
        <v>164</v>
      </c>
      <c r="G41" s="37">
        <v>45984.035095023151</v>
      </c>
      <c r="H41" s="37" t="s">
        <v>164</v>
      </c>
      <c r="I41" s="37" t="s">
        <v>164</v>
      </c>
      <c r="J41" s="37" t="s">
        <v>164</v>
      </c>
      <c r="K41" s="37" t="s">
        <v>164</v>
      </c>
      <c r="L41" s="37" t="s">
        <v>164</v>
      </c>
      <c r="M41" s="37" t="s">
        <v>164</v>
      </c>
      <c r="N41" s="37" t="s">
        <v>164</v>
      </c>
      <c r="O41" s="37">
        <v>45992.011872453702</v>
      </c>
      <c r="P41" s="37" t="s">
        <v>164</v>
      </c>
      <c r="Q41" s="37" t="s">
        <v>164</v>
      </c>
      <c r="R41" s="37" t="s">
        <v>164</v>
      </c>
      <c r="S41" s="37" t="s">
        <v>164</v>
      </c>
      <c r="T41" s="37" t="s">
        <v>164</v>
      </c>
      <c r="U41" s="37" t="s">
        <v>164</v>
      </c>
      <c r="V41" s="37" t="s">
        <v>164</v>
      </c>
      <c r="W41" s="37" t="s">
        <v>164</v>
      </c>
      <c r="X41" s="37" t="s">
        <v>164</v>
      </c>
      <c r="Y41" s="37" t="s">
        <v>164</v>
      </c>
      <c r="Z41" s="37" t="s">
        <v>164</v>
      </c>
      <c r="AA41" s="37" t="s">
        <v>164</v>
      </c>
      <c r="AB41" s="37"/>
      <c r="AC41" s="37"/>
      <c r="AD41" s="37"/>
      <c r="AE41" s="37"/>
      <c r="AF41" s="37"/>
      <c r="AG41" s="37"/>
      <c r="AH41" s="37"/>
      <c r="AI41" s="37"/>
      <c r="AJ41" s="19">
        <v>4.6967592592592589E-2</v>
      </c>
      <c r="AK41" s="43">
        <v>1.1272222222222221</v>
      </c>
    </row>
    <row r="42" spans="1:37" ht="15.75" x14ac:dyDescent="0.25">
      <c r="A42" s="16">
        <v>39</v>
      </c>
      <c r="B42" s="38" t="s">
        <v>129</v>
      </c>
      <c r="C42" s="38" t="s">
        <v>130</v>
      </c>
      <c r="D42" s="38" t="s">
        <v>60</v>
      </c>
      <c r="E42" s="37" t="s">
        <v>164</v>
      </c>
      <c r="F42" s="37" t="s">
        <v>164</v>
      </c>
      <c r="G42" s="37" t="s">
        <v>164</v>
      </c>
      <c r="H42" s="37" t="s">
        <v>164</v>
      </c>
      <c r="I42" s="37" t="s">
        <v>164</v>
      </c>
      <c r="J42" s="37">
        <v>45987.062021527781</v>
      </c>
      <c r="K42" s="37" t="s">
        <v>164</v>
      </c>
      <c r="L42" s="37" t="s">
        <v>164</v>
      </c>
      <c r="M42" s="37" t="s">
        <v>164</v>
      </c>
      <c r="N42" s="37" t="s">
        <v>164</v>
      </c>
      <c r="O42" s="37" t="s">
        <v>164</v>
      </c>
      <c r="P42" s="37" t="s">
        <v>164</v>
      </c>
      <c r="Q42" s="37">
        <v>45994.003240972219</v>
      </c>
      <c r="R42" s="37">
        <v>45995.027279745365</v>
      </c>
      <c r="S42" s="37" t="s">
        <v>164</v>
      </c>
      <c r="T42" s="37" t="s">
        <v>164</v>
      </c>
      <c r="U42" s="37" t="s">
        <v>164</v>
      </c>
      <c r="V42" s="37">
        <v>45999.007651851847</v>
      </c>
      <c r="W42" s="37" t="s">
        <v>164</v>
      </c>
      <c r="X42" s="37" t="s">
        <v>164</v>
      </c>
      <c r="Y42" s="37">
        <v>46002.047190740734</v>
      </c>
      <c r="Z42" s="37" t="s">
        <v>164</v>
      </c>
      <c r="AA42" s="37" t="s">
        <v>164</v>
      </c>
      <c r="AB42" s="37"/>
      <c r="AC42" s="37"/>
      <c r="AD42" s="37"/>
      <c r="AE42" s="37"/>
      <c r="AF42" s="37"/>
      <c r="AG42" s="37"/>
      <c r="AH42" s="37"/>
      <c r="AI42" s="37"/>
      <c r="AJ42" s="19">
        <v>0.14738425925925927</v>
      </c>
      <c r="AK42" s="43">
        <v>3.5372222222222227</v>
      </c>
    </row>
    <row r="43" spans="1:37" ht="15.75" x14ac:dyDescent="0.25">
      <c r="A43" s="16">
        <v>40</v>
      </c>
      <c r="B43" s="38" t="s">
        <v>131</v>
      </c>
      <c r="C43" s="38" t="s">
        <v>132</v>
      </c>
      <c r="D43" s="38" t="s">
        <v>60</v>
      </c>
      <c r="E43" s="37" t="s">
        <v>164</v>
      </c>
      <c r="F43" s="37" t="s">
        <v>164</v>
      </c>
      <c r="G43" s="37" t="s">
        <v>164</v>
      </c>
      <c r="H43" s="37" t="s">
        <v>164</v>
      </c>
      <c r="I43" s="37" t="s">
        <v>164</v>
      </c>
      <c r="J43" s="37" t="s">
        <v>164</v>
      </c>
      <c r="K43" s="37" t="s">
        <v>164</v>
      </c>
      <c r="L43" s="37" t="s">
        <v>164</v>
      </c>
      <c r="M43" s="37" t="s">
        <v>164</v>
      </c>
      <c r="N43" s="37" t="s">
        <v>164</v>
      </c>
      <c r="O43" s="37" t="s">
        <v>164</v>
      </c>
      <c r="P43" s="37" t="s">
        <v>164</v>
      </c>
      <c r="Q43" s="37" t="s">
        <v>164</v>
      </c>
      <c r="R43" s="37">
        <v>45995.045578356483</v>
      </c>
      <c r="S43" s="37">
        <v>45996.003852083333</v>
      </c>
      <c r="T43" s="37">
        <v>45997.017066319437</v>
      </c>
      <c r="U43" s="37">
        <v>45998.015211574071</v>
      </c>
      <c r="V43" s="37" t="s">
        <v>164</v>
      </c>
      <c r="W43" s="37">
        <v>46000.031831250002</v>
      </c>
      <c r="X43" s="37" t="s">
        <v>164</v>
      </c>
      <c r="Y43" s="37" t="s">
        <v>164</v>
      </c>
      <c r="Z43" s="37" t="s">
        <v>164</v>
      </c>
      <c r="AA43" s="37" t="s">
        <v>164</v>
      </c>
      <c r="AB43" s="37"/>
      <c r="AC43" s="37"/>
      <c r="AD43" s="37"/>
      <c r="AE43" s="37"/>
      <c r="AF43" s="37"/>
      <c r="AG43" s="37"/>
      <c r="AH43" s="37"/>
      <c r="AI43" s="37"/>
      <c r="AJ43" s="19">
        <v>0.11354166666666667</v>
      </c>
      <c r="AK43" s="43">
        <v>2.7250000000000001</v>
      </c>
    </row>
    <row r="44" spans="1:37" ht="15.75" x14ac:dyDescent="0.25">
      <c r="A44" s="16">
        <v>41</v>
      </c>
      <c r="B44" s="38" t="s">
        <v>134</v>
      </c>
      <c r="C44" s="38" t="s">
        <v>135</v>
      </c>
      <c r="D44" s="38" t="s">
        <v>56</v>
      </c>
      <c r="E44" s="37" t="s">
        <v>164</v>
      </c>
      <c r="F44" s="37" t="s">
        <v>164</v>
      </c>
      <c r="G44" s="37" t="s">
        <v>164</v>
      </c>
      <c r="H44" s="37" t="s">
        <v>164</v>
      </c>
      <c r="I44" s="37" t="s">
        <v>164</v>
      </c>
      <c r="J44" s="37" t="s">
        <v>164</v>
      </c>
      <c r="K44" s="37" t="s">
        <v>164</v>
      </c>
      <c r="L44" s="37" t="s">
        <v>164</v>
      </c>
      <c r="M44" s="37" t="s">
        <v>164</v>
      </c>
      <c r="N44" s="37" t="s">
        <v>164</v>
      </c>
      <c r="O44" s="37" t="s">
        <v>164</v>
      </c>
      <c r="P44" s="37" t="s">
        <v>164</v>
      </c>
      <c r="Q44" s="37" t="s">
        <v>164</v>
      </c>
      <c r="R44" s="37" t="s">
        <v>164</v>
      </c>
      <c r="S44" s="37" t="s">
        <v>164</v>
      </c>
      <c r="T44" s="37" t="s">
        <v>164</v>
      </c>
      <c r="U44" s="37" t="s">
        <v>164</v>
      </c>
      <c r="V44" s="37" t="s">
        <v>164</v>
      </c>
      <c r="W44" s="37" t="s">
        <v>164</v>
      </c>
      <c r="X44" s="37" t="s">
        <v>164</v>
      </c>
      <c r="Y44" s="37">
        <v>46002.016807638895</v>
      </c>
      <c r="Z44" s="37" t="s">
        <v>164</v>
      </c>
      <c r="AA44" s="37" t="s">
        <v>164</v>
      </c>
      <c r="AB44" s="37"/>
      <c r="AC44" s="37"/>
      <c r="AD44" s="37"/>
      <c r="AE44" s="37"/>
      <c r="AF44" s="37"/>
      <c r="AG44" s="37"/>
      <c r="AH44" s="37"/>
      <c r="AI44" s="37"/>
      <c r="AJ44" s="19">
        <v>1.6805555555555556E-2</v>
      </c>
      <c r="AK44" s="43">
        <v>0.40333333333333332</v>
      </c>
    </row>
    <row r="45" spans="1:37" ht="15.75" x14ac:dyDescent="0.25">
      <c r="A45" s="16">
        <v>42</v>
      </c>
      <c r="B45" s="38" t="s">
        <v>136</v>
      </c>
      <c r="C45" s="38" t="s">
        <v>137</v>
      </c>
      <c r="D45" s="38" t="s">
        <v>60</v>
      </c>
      <c r="E45" s="37" t="s">
        <v>164</v>
      </c>
      <c r="F45" s="37" t="s">
        <v>164</v>
      </c>
      <c r="G45" s="37" t="s">
        <v>164</v>
      </c>
      <c r="H45" s="37" t="s">
        <v>164</v>
      </c>
      <c r="I45" s="37" t="s">
        <v>164</v>
      </c>
      <c r="J45" s="37" t="s">
        <v>164</v>
      </c>
      <c r="K45" s="37" t="s">
        <v>164</v>
      </c>
      <c r="L45" s="37" t="s">
        <v>164</v>
      </c>
      <c r="M45" s="37" t="s">
        <v>164</v>
      </c>
      <c r="N45" s="37" t="s">
        <v>164</v>
      </c>
      <c r="O45" s="37" t="s">
        <v>164</v>
      </c>
      <c r="P45" s="37" t="s">
        <v>164</v>
      </c>
      <c r="Q45" s="37" t="s">
        <v>164</v>
      </c>
      <c r="R45" s="37">
        <v>45995.04145798611</v>
      </c>
      <c r="S45" s="37" t="s">
        <v>164</v>
      </c>
      <c r="T45" s="37">
        <v>45997.00183483796</v>
      </c>
      <c r="U45" s="37">
        <v>45998.025199999996</v>
      </c>
      <c r="V45" s="37" t="s">
        <v>164</v>
      </c>
      <c r="W45" s="37">
        <v>46000.025257291665</v>
      </c>
      <c r="X45" s="37" t="s">
        <v>164</v>
      </c>
      <c r="Y45" s="37">
        <v>46002.005628240739</v>
      </c>
      <c r="Z45" s="37" t="s">
        <v>164</v>
      </c>
      <c r="AA45" s="37">
        <v>46004.017179513889</v>
      </c>
      <c r="AB45" s="37"/>
      <c r="AC45" s="37"/>
      <c r="AD45" s="37"/>
      <c r="AE45" s="37"/>
      <c r="AF45" s="37"/>
      <c r="AG45" s="37"/>
      <c r="AH45" s="37"/>
      <c r="AI45" s="37"/>
      <c r="AJ45" s="19">
        <v>0.1165625</v>
      </c>
      <c r="AK45" s="43">
        <v>2.7974999999999999</v>
      </c>
    </row>
    <row r="46" spans="1:37" ht="15.75" x14ac:dyDescent="0.25">
      <c r="A46" s="16">
        <v>43</v>
      </c>
      <c r="B46" s="38" t="s">
        <v>138</v>
      </c>
      <c r="C46" s="38" t="s">
        <v>139</v>
      </c>
      <c r="D46" s="38" t="s">
        <v>54</v>
      </c>
      <c r="E46" s="37" t="s">
        <v>164</v>
      </c>
      <c r="F46" s="37" t="s">
        <v>164</v>
      </c>
      <c r="G46" s="37" t="s">
        <v>164</v>
      </c>
      <c r="H46" s="37" t="s">
        <v>164</v>
      </c>
      <c r="I46" s="37" t="s">
        <v>164</v>
      </c>
      <c r="J46" s="37" t="s">
        <v>164</v>
      </c>
      <c r="K46" s="37" t="s">
        <v>164</v>
      </c>
      <c r="L46" s="37" t="s">
        <v>164</v>
      </c>
      <c r="M46" s="37" t="s">
        <v>164</v>
      </c>
      <c r="N46" s="37" t="s">
        <v>164</v>
      </c>
      <c r="O46" s="37" t="s">
        <v>164</v>
      </c>
      <c r="P46" s="37" t="s">
        <v>164</v>
      </c>
      <c r="Q46" s="37" t="s">
        <v>164</v>
      </c>
      <c r="R46" s="37" t="s">
        <v>164</v>
      </c>
      <c r="S46" s="37" t="s">
        <v>164</v>
      </c>
      <c r="T46" s="37" t="s">
        <v>164</v>
      </c>
      <c r="U46" s="37" t="s">
        <v>164</v>
      </c>
      <c r="V46" s="37" t="s">
        <v>164</v>
      </c>
      <c r="W46" s="37" t="s">
        <v>164</v>
      </c>
      <c r="X46" s="37" t="s">
        <v>164</v>
      </c>
      <c r="Y46" s="37" t="s">
        <v>164</v>
      </c>
      <c r="Z46" s="37" t="s">
        <v>164</v>
      </c>
      <c r="AA46" s="37" t="s">
        <v>164</v>
      </c>
      <c r="AB46" s="37"/>
      <c r="AC46" s="37"/>
      <c r="AD46" s="37"/>
      <c r="AE46" s="37"/>
      <c r="AF46" s="37"/>
      <c r="AG46" s="37"/>
      <c r="AH46" s="37"/>
      <c r="AI46" s="37"/>
      <c r="AJ46" s="19">
        <v>0</v>
      </c>
      <c r="AK46" s="43">
        <v>0</v>
      </c>
    </row>
    <row r="47" spans="1:37" ht="15.75" x14ac:dyDescent="0.25">
      <c r="A47" s="16">
        <v>44</v>
      </c>
      <c r="B47" s="38" t="s">
        <v>140</v>
      </c>
      <c r="C47" s="38" t="s">
        <v>141</v>
      </c>
      <c r="D47" s="38" t="s">
        <v>56</v>
      </c>
      <c r="E47" s="37" t="s">
        <v>164</v>
      </c>
      <c r="F47" s="37" t="s">
        <v>164</v>
      </c>
      <c r="G47" s="37" t="s">
        <v>164</v>
      </c>
      <c r="H47" s="37" t="s">
        <v>164</v>
      </c>
      <c r="I47" s="37" t="s">
        <v>164</v>
      </c>
      <c r="J47" s="37" t="s">
        <v>164</v>
      </c>
      <c r="K47" s="37" t="s">
        <v>164</v>
      </c>
      <c r="L47" s="37" t="s">
        <v>164</v>
      </c>
      <c r="M47" s="37" t="s">
        <v>164</v>
      </c>
      <c r="N47" s="37" t="s">
        <v>164</v>
      </c>
      <c r="O47" s="37" t="s">
        <v>164</v>
      </c>
      <c r="P47" s="37" t="s">
        <v>164</v>
      </c>
      <c r="Q47" s="37" t="s">
        <v>164</v>
      </c>
      <c r="R47" s="37" t="s">
        <v>164</v>
      </c>
      <c r="S47" s="37" t="s">
        <v>164</v>
      </c>
      <c r="T47" s="37" t="s">
        <v>164</v>
      </c>
      <c r="U47" s="37" t="s">
        <v>164</v>
      </c>
      <c r="V47" s="37" t="s">
        <v>164</v>
      </c>
      <c r="W47" s="37" t="s">
        <v>164</v>
      </c>
      <c r="X47" s="37" t="s">
        <v>164</v>
      </c>
      <c r="Y47" s="37" t="s">
        <v>164</v>
      </c>
      <c r="Z47" s="37" t="s">
        <v>164</v>
      </c>
      <c r="AA47" s="37">
        <v>46004.009723263887</v>
      </c>
      <c r="AB47" s="37"/>
      <c r="AC47" s="37"/>
      <c r="AD47" s="37"/>
      <c r="AE47" s="37"/>
      <c r="AF47" s="37"/>
      <c r="AG47" s="37"/>
      <c r="AH47" s="37"/>
      <c r="AI47" s="37"/>
      <c r="AJ47" s="19">
        <v>9.7222222222222224E-3</v>
      </c>
      <c r="AK47" s="43">
        <v>0.23333333333333334</v>
      </c>
    </row>
    <row r="48" spans="1:37" ht="15.75" x14ac:dyDescent="0.25">
      <c r="A48" s="16">
        <v>45</v>
      </c>
      <c r="B48" s="38" t="s">
        <v>142</v>
      </c>
      <c r="C48" s="38" t="s">
        <v>143</v>
      </c>
      <c r="D48" s="38" t="s">
        <v>56</v>
      </c>
      <c r="E48" s="37" t="s">
        <v>164</v>
      </c>
      <c r="F48" s="37" t="s">
        <v>164</v>
      </c>
      <c r="G48" s="37" t="s">
        <v>164</v>
      </c>
      <c r="H48" s="37" t="s">
        <v>164</v>
      </c>
      <c r="I48" s="37" t="s">
        <v>164</v>
      </c>
      <c r="J48" s="37" t="s">
        <v>164</v>
      </c>
      <c r="K48" s="37" t="s">
        <v>164</v>
      </c>
      <c r="L48" s="37" t="s">
        <v>164</v>
      </c>
      <c r="M48" s="37" t="s">
        <v>164</v>
      </c>
      <c r="N48" s="37" t="s">
        <v>164</v>
      </c>
      <c r="O48" s="37" t="s">
        <v>164</v>
      </c>
      <c r="P48" s="37" t="s">
        <v>164</v>
      </c>
      <c r="Q48" s="37" t="s">
        <v>164</v>
      </c>
      <c r="R48" s="37" t="s">
        <v>164</v>
      </c>
      <c r="S48" s="37" t="s">
        <v>164</v>
      </c>
      <c r="T48" s="37" t="s">
        <v>164</v>
      </c>
      <c r="U48" s="37" t="s">
        <v>164</v>
      </c>
      <c r="V48" s="37" t="s">
        <v>164</v>
      </c>
      <c r="W48" s="37" t="s">
        <v>164</v>
      </c>
      <c r="X48" s="37" t="s">
        <v>164</v>
      </c>
      <c r="Y48" s="37" t="s">
        <v>164</v>
      </c>
      <c r="Z48" s="37" t="s">
        <v>164</v>
      </c>
      <c r="AA48" s="37" t="s">
        <v>164</v>
      </c>
      <c r="AB48" s="37"/>
      <c r="AC48" s="37"/>
      <c r="AD48" s="37"/>
      <c r="AE48" s="37"/>
      <c r="AF48" s="37"/>
      <c r="AG48" s="37"/>
      <c r="AH48" s="37"/>
      <c r="AI48" s="37"/>
      <c r="AJ48" s="19">
        <v>0</v>
      </c>
      <c r="AK48" s="43">
        <v>0</v>
      </c>
    </row>
    <row r="49" spans="1:37" ht="15.75" x14ac:dyDescent="0.25">
      <c r="A49" s="16">
        <v>46</v>
      </c>
      <c r="B49" s="38" t="s">
        <v>144</v>
      </c>
      <c r="C49" s="38" t="s">
        <v>145</v>
      </c>
      <c r="D49" s="38" t="s">
        <v>60</v>
      </c>
      <c r="E49" s="37" t="s">
        <v>164</v>
      </c>
      <c r="F49" s="37" t="s">
        <v>164</v>
      </c>
      <c r="G49" s="37" t="s">
        <v>164</v>
      </c>
      <c r="H49" s="37" t="s">
        <v>164</v>
      </c>
      <c r="I49" s="37" t="s">
        <v>164</v>
      </c>
      <c r="J49" s="37" t="s">
        <v>164</v>
      </c>
      <c r="K49" s="37" t="s">
        <v>164</v>
      </c>
      <c r="L49" s="37" t="s">
        <v>164</v>
      </c>
      <c r="M49" s="37" t="s">
        <v>164</v>
      </c>
      <c r="N49" s="37" t="s">
        <v>164</v>
      </c>
      <c r="O49" s="37" t="s">
        <v>164</v>
      </c>
      <c r="P49" s="37" t="s">
        <v>164</v>
      </c>
      <c r="Q49" s="37" t="s">
        <v>164</v>
      </c>
      <c r="R49" s="37">
        <v>45995.060381597228</v>
      </c>
      <c r="S49" s="37">
        <v>45996.00182662037</v>
      </c>
      <c r="T49" s="37" t="s">
        <v>164</v>
      </c>
      <c r="U49" s="37" t="s">
        <v>164</v>
      </c>
      <c r="V49" s="37">
        <v>45999.005545370361</v>
      </c>
      <c r="W49" s="37" t="s">
        <v>164</v>
      </c>
      <c r="X49" s="37" t="s">
        <v>164</v>
      </c>
      <c r="Y49" s="37">
        <v>46002.016970833334</v>
      </c>
      <c r="Z49" s="37">
        <v>46001.031980092586</v>
      </c>
      <c r="AA49" s="37" t="s">
        <v>164</v>
      </c>
      <c r="AB49" s="37"/>
      <c r="AC49" s="37"/>
      <c r="AD49" s="37"/>
      <c r="AE49" s="37"/>
      <c r="AF49" s="37"/>
      <c r="AG49" s="37"/>
      <c r="AH49" s="37"/>
      <c r="AI49" s="37"/>
      <c r="AJ49" s="19">
        <v>0.11670138888888888</v>
      </c>
      <c r="AK49" s="43">
        <v>2.8008333333333333</v>
      </c>
    </row>
    <row r="50" spans="1:37" ht="15.75" x14ac:dyDescent="0.25">
      <c r="A50" s="16">
        <v>47</v>
      </c>
      <c r="B50" s="38" t="s">
        <v>146</v>
      </c>
      <c r="C50" s="38" t="s">
        <v>147</v>
      </c>
      <c r="D50" s="38" t="s">
        <v>51</v>
      </c>
      <c r="E50" s="37" t="s">
        <v>164</v>
      </c>
      <c r="F50" s="37" t="s">
        <v>164</v>
      </c>
      <c r="G50" s="37" t="s">
        <v>164</v>
      </c>
      <c r="H50" s="37" t="s">
        <v>164</v>
      </c>
      <c r="I50" s="37" t="s">
        <v>164</v>
      </c>
      <c r="J50" s="37" t="s">
        <v>164</v>
      </c>
      <c r="K50" s="37" t="s">
        <v>164</v>
      </c>
      <c r="L50" s="37" t="s">
        <v>164</v>
      </c>
      <c r="M50" s="37" t="s">
        <v>164</v>
      </c>
      <c r="N50" s="37" t="s">
        <v>164</v>
      </c>
      <c r="O50" s="37" t="s">
        <v>164</v>
      </c>
      <c r="P50" s="37" t="s">
        <v>164</v>
      </c>
      <c r="Q50" s="37" t="s">
        <v>164</v>
      </c>
      <c r="R50" s="37">
        <v>45995.022893171299</v>
      </c>
      <c r="S50" s="37" t="s">
        <v>164</v>
      </c>
      <c r="T50" s="37" t="s">
        <v>164</v>
      </c>
      <c r="U50" s="37" t="s">
        <v>164</v>
      </c>
      <c r="V50" s="37" t="s">
        <v>164</v>
      </c>
      <c r="W50" s="37" t="s">
        <v>164</v>
      </c>
      <c r="X50" s="37" t="s">
        <v>164</v>
      </c>
      <c r="Y50" s="37" t="s">
        <v>164</v>
      </c>
      <c r="Z50" s="37" t="s">
        <v>164</v>
      </c>
      <c r="AA50" s="37" t="s">
        <v>164</v>
      </c>
      <c r="AB50" s="37"/>
      <c r="AC50" s="37"/>
      <c r="AD50" s="37"/>
      <c r="AE50" s="37"/>
      <c r="AF50" s="37"/>
      <c r="AG50" s="37"/>
      <c r="AH50" s="37"/>
      <c r="AI50" s="37"/>
      <c r="AJ50" s="19">
        <v>2.2893518518518521E-2</v>
      </c>
      <c r="AK50" s="43">
        <v>0.54944444444444451</v>
      </c>
    </row>
    <row r="51" spans="1:37" ht="15.75" x14ac:dyDescent="0.25">
      <c r="A51" s="16">
        <v>48</v>
      </c>
      <c r="B51" s="38" t="s">
        <v>148</v>
      </c>
      <c r="C51" s="38" t="s">
        <v>149</v>
      </c>
      <c r="D51" s="38" t="s">
        <v>51</v>
      </c>
      <c r="E51" s="37" t="s">
        <v>164</v>
      </c>
      <c r="F51" s="37" t="s">
        <v>164</v>
      </c>
      <c r="G51" s="37" t="s">
        <v>164</v>
      </c>
      <c r="H51" s="37" t="s">
        <v>164</v>
      </c>
      <c r="I51" s="37" t="s">
        <v>164</v>
      </c>
      <c r="J51" s="37" t="s">
        <v>164</v>
      </c>
      <c r="K51" s="37" t="s">
        <v>164</v>
      </c>
      <c r="L51" s="37" t="s">
        <v>164</v>
      </c>
      <c r="M51" s="37" t="s">
        <v>164</v>
      </c>
      <c r="N51" s="37" t="s">
        <v>164</v>
      </c>
      <c r="O51" s="37" t="s">
        <v>164</v>
      </c>
      <c r="P51" s="37" t="s">
        <v>164</v>
      </c>
      <c r="Q51" s="37" t="s">
        <v>164</v>
      </c>
      <c r="R51" s="37">
        <v>45995.035879282412</v>
      </c>
      <c r="S51" s="37" t="s">
        <v>164</v>
      </c>
      <c r="T51" s="37" t="s">
        <v>164</v>
      </c>
      <c r="U51" s="37" t="s">
        <v>164</v>
      </c>
      <c r="V51" s="37" t="s">
        <v>164</v>
      </c>
      <c r="W51" s="37" t="s">
        <v>164</v>
      </c>
      <c r="X51" s="37" t="s">
        <v>164</v>
      </c>
      <c r="Y51" s="37" t="s">
        <v>164</v>
      </c>
      <c r="Z51" s="37" t="s">
        <v>164</v>
      </c>
      <c r="AA51" s="37">
        <v>46004.001242013888</v>
      </c>
      <c r="AB51" s="37"/>
      <c r="AC51" s="37"/>
      <c r="AD51" s="37"/>
      <c r="AE51" s="37"/>
      <c r="AF51" s="37"/>
      <c r="AG51" s="37"/>
      <c r="AH51" s="37"/>
      <c r="AI51" s="37"/>
      <c r="AJ51" s="19">
        <v>3.7118055555555557E-2</v>
      </c>
      <c r="AK51" s="43">
        <v>0.89083333333333337</v>
      </c>
    </row>
    <row r="52" spans="1:37" ht="15.75" x14ac:dyDescent="0.25">
      <c r="A52" s="16">
        <v>49</v>
      </c>
      <c r="B52" s="38" t="s">
        <v>150</v>
      </c>
      <c r="C52" s="38" t="s">
        <v>151</v>
      </c>
      <c r="D52" s="38" t="s">
        <v>51</v>
      </c>
      <c r="E52" s="37" t="s">
        <v>164</v>
      </c>
      <c r="F52" s="37" t="s">
        <v>164</v>
      </c>
      <c r="G52" s="37" t="s">
        <v>164</v>
      </c>
      <c r="H52" s="37" t="s">
        <v>164</v>
      </c>
      <c r="I52" s="37" t="s">
        <v>164</v>
      </c>
      <c r="J52" s="37" t="s">
        <v>164</v>
      </c>
      <c r="K52" s="37" t="s">
        <v>164</v>
      </c>
      <c r="L52" s="37" t="s">
        <v>164</v>
      </c>
      <c r="M52" s="37" t="s">
        <v>164</v>
      </c>
      <c r="N52" s="37" t="s">
        <v>164</v>
      </c>
      <c r="O52" s="37" t="s">
        <v>164</v>
      </c>
      <c r="P52" s="37" t="s">
        <v>164</v>
      </c>
      <c r="Q52" s="37" t="s">
        <v>164</v>
      </c>
      <c r="R52" s="37" t="s">
        <v>164</v>
      </c>
      <c r="S52" s="37" t="s">
        <v>164</v>
      </c>
      <c r="T52" s="37" t="s">
        <v>164</v>
      </c>
      <c r="U52" s="37" t="s">
        <v>164</v>
      </c>
      <c r="V52" s="37" t="s">
        <v>164</v>
      </c>
      <c r="W52" s="37" t="s">
        <v>164</v>
      </c>
      <c r="X52" s="37" t="s">
        <v>164</v>
      </c>
      <c r="Y52" s="37">
        <v>46002.00782731481</v>
      </c>
      <c r="Z52" s="37">
        <v>46001.008531018517</v>
      </c>
      <c r="AA52" s="37" t="s">
        <v>164</v>
      </c>
      <c r="AB52" s="37"/>
      <c r="AC52" s="37"/>
      <c r="AD52" s="37"/>
      <c r="AE52" s="37"/>
      <c r="AF52" s="37"/>
      <c r="AG52" s="37"/>
      <c r="AH52" s="37"/>
      <c r="AI52" s="37"/>
      <c r="AJ52" s="19">
        <v>1.6354166666666666E-2</v>
      </c>
      <c r="AK52" s="43">
        <v>0.39249999999999996</v>
      </c>
    </row>
    <row r="53" spans="1:37" x14ac:dyDescent="0.25">
      <c r="A53"/>
      <c r="B53"/>
    </row>
    <row r="54" spans="1:37" x14ac:dyDescent="0.25">
      <c r="A54"/>
    </row>
    <row r="55" spans="1:37" x14ac:dyDescent="0.25">
      <c r="A55"/>
    </row>
    <row r="56" spans="1:37" x14ac:dyDescent="0.25">
      <c r="A56"/>
    </row>
    <row r="57" spans="1:37" x14ac:dyDescent="0.25">
      <c r="A57"/>
    </row>
    <row r="58" spans="1:37" x14ac:dyDescent="0.25">
      <c r="A58"/>
    </row>
    <row r="59" spans="1:37" x14ac:dyDescent="0.25">
      <c r="A59"/>
    </row>
  </sheetData>
  <mergeCells count="34">
    <mergeCell ref="AH1:AH2"/>
    <mergeCell ref="AI1:AI2"/>
    <mergeCell ref="AJ1:AK2"/>
    <mergeCell ref="A2:D2"/>
    <mergeCell ref="AB1:AB2"/>
    <mergeCell ref="AC1:AC2"/>
    <mergeCell ref="AD1:AD2"/>
    <mergeCell ref="AE1:AE2"/>
    <mergeCell ref="AF1:AF2"/>
    <mergeCell ref="AG1:AG2"/>
    <mergeCell ref="V1:V2"/>
    <mergeCell ref="W1:W2"/>
    <mergeCell ref="X1:X2"/>
    <mergeCell ref="Y1:Y2"/>
    <mergeCell ref="Z1:Z2"/>
    <mergeCell ref="AA1:AA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I1:I2"/>
    <mergeCell ref="A1:D1"/>
    <mergeCell ref="E1:E2"/>
    <mergeCell ref="F1:F2"/>
    <mergeCell ref="G1:G2"/>
    <mergeCell ref="H1:H2"/>
  </mergeCells>
  <conditionalFormatting sqref="B54:B1048576">
    <cfRule type="duplicateValues" dxfId="412" priority="340"/>
  </conditionalFormatting>
  <conditionalFormatting sqref="A2:C2 AJ3 AJ1">
    <cfRule type="cellIs" dxfId="411" priority="333" operator="equal">
      <formula>"Compensation"</formula>
    </cfRule>
  </conditionalFormatting>
  <conditionalFormatting sqref="B1">
    <cfRule type="duplicateValues" dxfId="410" priority="332"/>
  </conditionalFormatting>
  <conditionalFormatting sqref="C1">
    <cfRule type="duplicateValues" dxfId="409" priority="331"/>
  </conditionalFormatting>
  <conditionalFormatting sqref="B1">
    <cfRule type="duplicateValues" dxfId="408" priority="330"/>
  </conditionalFormatting>
  <conditionalFormatting sqref="C3">
    <cfRule type="duplicateValues" dxfId="407" priority="327"/>
    <cfRule type="duplicateValues" dxfId="406" priority="328"/>
    <cfRule type="duplicateValues" dxfId="405" priority="329"/>
  </conditionalFormatting>
  <conditionalFormatting sqref="C3">
    <cfRule type="duplicateValues" dxfId="404" priority="325"/>
    <cfRule type="duplicateValues" dxfId="403" priority="326"/>
  </conditionalFormatting>
  <conditionalFormatting sqref="B3">
    <cfRule type="duplicateValues" dxfId="402" priority="324"/>
  </conditionalFormatting>
  <conditionalFormatting sqref="B3">
    <cfRule type="duplicateValues" dxfId="401" priority="323"/>
  </conditionalFormatting>
  <conditionalFormatting sqref="C3">
    <cfRule type="duplicateValues" dxfId="400" priority="322"/>
  </conditionalFormatting>
  <conditionalFormatting sqref="C3">
    <cfRule type="duplicateValues" dxfId="399" priority="320"/>
    <cfRule type="duplicateValues" dxfId="398" priority="321"/>
  </conditionalFormatting>
  <conditionalFormatting sqref="C3">
    <cfRule type="duplicateValues" dxfId="397" priority="319"/>
  </conditionalFormatting>
  <conditionalFormatting sqref="C3">
    <cfRule type="duplicateValues" dxfId="396" priority="316"/>
    <cfRule type="duplicateValues" dxfId="395" priority="317"/>
    <cfRule type="duplicateValues" dxfId="394" priority="318"/>
  </conditionalFormatting>
  <conditionalFormatting sqref="C3">
    <cfRule type="duplicateValues" dxfId="393" priority="314"/>
    <cfRule type="duplicateValues" dxfId="392" priority="315"/>
  </conditionalFormatting>
  <conditionalFormatting sqref="C3">
    <cfRule type="duplicateValues" dxfId="391" priority="311"/>
    <cfRule type="duplicateValues" dxfId="390" priority="312"/>
    <cfRule type="duplicateValues" dxfId="389" priority="313"/>
  </conditionalFormatting>
  <conditionalFormatting sqref="C3">
    <cfRule type="duplicateValues" dxfId="388" priority="307"/>
    <cfRule type="duplicateValues" dxfId="387" priority="308"/>
    <cfRule type="duplicateValues" dxfId="386" priority="309"/>
    <cfRule type="duplicateValues" dxfId="385" priority="310"/>
  </conditionalFormatting>
  <conditionalFormatting sqref="C3">
    <cfRule type="duplicateValues" dxfId="384" priority="302"/>
    <cfRule type="duplicateValues" dxfId="383" priority="303"/>
    <cfRule type="duplicateValues" dxfId="382" priority="304"/>
    <cfRule type="duplicateValues" dxfId="381" priority="305"/>
    <cfRule type="duplicateValues" dxfId="380" priority="306"/>
  </conditionalFormatting>
  <conditionalFormatting sqref="C3">
    <cfRule type="duplicateValues" dxfId="379" priority="301"/>
  </conditionalFormatting>
  <conditionalFormatting sqref="C3">
    <cfRule type="duplicateValues" dxfId="378" priority="300"/>
  </conditionalFormatting>
  <conditionalFormatting sqref="C3">
    <cfRule type="duplicateValues" dxfId="377" priority="299"/>
  </conditionalFormatting>
  <conditionalFormatting sqref="C3">
    <cfRule type="duplicateValues" dxfId="376" priority="298"/>
  </conditionalFormatting>
  <conditionalFormatting sqref="C3">
    <cfRule type="duplicateValues" dxfId="375" priority="296"/>
    <cfRule type="duplicateValues" dxfId="374" priority="297"/>
  </conditionalFormatting>
  <conditionalFormatting sqref="C3">
    <cfRule type="duplicateValues" dxfId="373" priority="294"/>
    <cfRule type="aboveAverage" dxfId="372" priority="295" aboveAverage="0"/>
  </conditionalFormatting>
  <conditionalFormatting sqref="C3">
    <cfRule type="duplicateValues" dxfId="371" priority="292"/>
    <cfRule type="duplicateValues" dxfId="370" priority="293"/>
  </conditionalFormatting>
  <conditionalFormatting sqref="C3">
    <cfRule type="duplicateValues" dxfId="369" priority="288"/>
    <cfRule type="duplicateValues" dxfId="368" priority="289"/>
    <cfRule type="duplicateValues" dxfId="367" priority="290"/>
    <cfRule type="duplicateValues" dxfId="366" priority="291"/>
  </conditionalFormatting>
  <conditionalFormatting sqref="C3">
    <cfRule type="duplicateValues" dxfId="365" priority="284"/>
    <cfRule type="duplicateValues" dxfId="364" priority="285"/>
    <cfRule type="duplicateValues" dxfId="363" priority="286"/>
    <cfRule type="duplicateValues" dxfId="362" priority="287"/>
  </conditionalFormatting>
  <conditionalFormatting sqref="C3">
    <cfRule type="duplicateValues" dxfId="361" priority="281"/>
    <cfRule type="duplicateValues" dxfId="360" priority="282"/>
    <cfRule type="duplicateValues" dxfId="359" priority="283"/>
  </conditionalFormatting>
  <conditionalFormatting sqref="C3">
    <cfRule type="duplicateValues" dxfId="358" priority="280"/>
  </conditionalFormatting>
  <conditionalFormatting sqref="C1:C2">
    <cfRule type="duplicateValues" dxfId="357" priority="279"/>
  </conditionalFormatting>
  <conditionalFormatting sqref="C2">
    <cfRule type="duplicateValues" dxfId="356" priority="278"/>
  </conditionalFormatting>
  <conditionalFormatting sqref="C2">
    <cfRule type="duplicateValues" dxfId="355" priority="276"/>
    <cfRule type="duplicateValues" dxfId="354" priority="277"/>
  </conditionalFormatting>
  <conditionalFormatting sqref="C2">
    <cfRule type="duplicateValues" dxfId="353" priority="272"/>
    <cfRule type="duplicateValues" dxfId="352" priority="273"/>
    <cfRule type="duplicateValues" dxfId="351" priority="274"/>
    <cfRule type="duplicateValues" dxfId="350" priority="275"/>
  </conditionalFormatting>
  <conditionalFormatting sqref="B2">
    <cfRule type="duplicateValues" dxfId="349" priority="271"/>
  </conditionalFormatting>
  <conditionalFormatting sqref="B1:B2">
    <cfRule type="duplicateValues" dxfId="348" priority="270"/>
  </conditionalFormatting>
  <conditionalFormatting sqref="C1:C2">
    <cfRule type="duplicateValues" dxfId="347" priority="268"/>
    <cfRule type="duplicateValues" dxfId="346" priority="269"/>
  </conditionalFormatting>
  <conditionalFormatting sqref="C1:C2">
    <cfRule type="duplicateValues" dxfId="345" priority="266"/>
    <cfRule type="duplicateValues" dxfId="344" priority="267"/>
  </conditionalFormatting>
  <conditionalFormatting sqref="B1:B3">
    <cfRule type="duplicateValues" dxfId="343" priority="265"/>
  </conditionalFormatting>
  <conditionalFormatting sqref="B1:B3">
    <cfRule type="duplicateValues" dxfId="342" priority="263"/>
    <cfRule type="duplicateValues" dxfId="341" priority="264"/>
  </conditionalFormatting>
  <conditionalFormatting sqref="AK3">
    <cfRule type="cellIs" dxfId="340" priority="261" operator="equal">
      <formula>"Compensation"</formula>
    </cfRule>
  </conditionalFormatting>
  <conditionalFormatting sqref="A3:A52">
    <cfRule type="cellIs" dxfId="339" priority="260" operator="equal">
      <formula>"Compensation"</formula>
    </cfRule>
  </conditionalFormatting>
  <conditionalFormatting sqref="E4:AI52">
    <cfRule type="cellIs" dxfId="338" priority="257" operator="equal">
      <formula>"Compensation"</formula>
    </cfRule>
  </conditionalFormatting>
  <conditionalFormatting sqref="O4:AA52">
    <cfRule type="cellIs" dxfId="337" priority="240" operator="equal">
      <formula>"Compensation"</formula>
    </cfRule>
  </conditionalFormatting>
  <conditionalFormatting sqref="P4:P52">
    <cfRule type="cellIs" dxfId="336" priority="239" operator="equal">
      <formula>"Compensation"</formula>
    </cfRule>
  </conditionalFormatting>
  <conditionalFormatting sqref="Q4:Q52">
    <cfRule type="cellIs" dxfId="335" priority="238" operator="equal">
      <formula>"Compensation"</formula>
    </cfRule>
  </conditionalFormatting>
  <conditionalFormatting sqref="R4:R52">
    <cfRule type="cellIs" dxfId="334" priority="237" operator="equal">
      <formula>"Compensation"</formula>
    </cfRule>
  </conditionalFormatting>
  <conditionalFormatting sqref="S4:S52">
    <cfRule type="cellIs" dxfId="333" priority="236" operator="equal">
      <formula>"Compensation"</formula>
    </cfRule>
  </conditionalFormatting>
  <conditionalFormatting sqref="T4:T52">
    <cfRule type="cellIs" dxfId="332" priority="235" operator="equal">
      <formula>"Compensation"</formula>
    </cfRule>
  </conditionalFormatting>
  <conditionalFormatting sqref="T4:T52">
    <cfRule type="cellIs" dxfId="331" priority="234" operator="equal">
      <formula>"Compensation"</formula>
    </cfRule>
  </conditionalFormatting>
  <conditionalFormatting sqref="T4:T52">
    <cfRule type="cellIs" dxfId="330" priority="233" operator="equal">
      <formula>"Compensation"</formula>
    </cfRule>
  </conditionalFormatting>
  <conditionalFormatting sqref="U4:U52">
    <cfRule type="cellIs" dxfId="329" priority="232" operator="equal">
      <formula>"Compensation"</formula>
    </cfRule>
  </conditionalFormatting>
  <conditionalFormatting sqref="U4:U52">
    <cfRule type="cellIs" dxfId="328" priority="231" operator="equal">
      <formula>"Compensation"</formula>
    </cfRule>
  </conditionalFormatting>
  <conditionalFormatting sqref="U4:U52">
    <cfRule type="cellIs" dxfId="327" priority="230" operator="equal">
      <formula>"Compensation"</formula>
    </cfRule>
  </conditionalFormatting>
  <conditionalFormatting sqref="V4:V52">
    <cfRule type="cellIs" dxfId="326" priority="229" operator="equal">
      <formula>"Compensation"</formula>
    </cfRule>
  </conditionalFormatting>
  <conditionalFormatting sqref="V4:V52">
    <cfRule type="cellIs" dxfId="325" priority="228" operator="equal">
      <formula>"Compensation"</formula>
    </cfRule>
  </conditionalFormatting>
  <conditionalFormatting sqref="V4:V52">
    <cfRule type="cellIs" dxfId="324" priority="227" operator="equal">
      <formula>"Compensation"</formula>
    </cfRule>
  </conditionalFormatting>
  <conditionalFormatting sqref="W4:W52">
    <cfRule type="cellIs" dxfId="323" priority="226" operator="equal">
      <formula>"Compensation"</formula>
    </cfRule>
  </conditionalFormatting>
  <conditionalFormatting sqref="W4:W52">
    <cfRule type="cellIs" dxfId="322" priority="225" operator="equal">
      <formula>"Compensation"</formula>
    </cfRule>
  </conditionalFormatting>
  <conditionalFormatting sqref="W4:W52">
    <cfRule type="cellIs" dxfId="321" priority="224" operator="equal">
      <formula>"Compensation"</formula>
    </cfRule>
  </conditionalFormatting>
  <conditionalFormatting sqref="X4:X52">
    <cfRule type="cellIs" dxfId="320" priority="223" operator="equal">
      <formula>"Compensation"</formula>
    </cfRule>
  </conditionalFormatting>
  <conditionalFormatting sqref="X4:X52">
    <cfRule type="cellIs" dxfId="319" priority="222" operator="equal">
      <formula>"Compensation"</formula>
    </cfRule>
  </conditionalFormatting>
  <conditionalFormatting sqref="X4:X52">
    <cfRule type="cellIs" dxfId="318" priority="221" operator="equal">
      <formula>"Compensation"</formula>
    </cfRule>
  </conditionalFormatting>
  <conditionalFormatting sqref="Y4:Y52">
    <cfRule type="cellIs" dxfId="317" priority="220" operator="equal">
      <formula>"Compensation"</formula>
    </cfRule>
  </conditionalFormatting>
  <conditionalFormatting sqref="Y4:Y52">
    <cfRule type="cellIs" dxfId="316" priority="219" operator="equal">
      <formula>"Compensation"</formula>
    </cfRule>
  </conditionalFormatting>
  <conditionalFormatting sqref="Y4:Y52">
    <cfRule type="cellIs" dxfId="315" priority="218" operator="equal">
      <formula>"Compensation"</formula>
    </cfRule>
  </conditionalFormatting>
  <conditionalFormatting sqref="Z4:Z52">
    <cfRule type="cellIs" dxfId="314" priority="217" operator="equal">
      <formula>"Compensation"</formula>
    </cfRule>
  </conditionalFormatting>
  <conditionalFormatting sqref="Z4:Z52">
    <cfRule type="cellIs" dxfId="313" priority="216" operator="equal">
      <formula>"Compensation"</formula>
    </cfRule>
  </conditionalFormatting>
  <conditionalFormatting sqref="Z4:Z52">
    <cfRule type="cellIs" dxfId="312" priority="215" operator="equal">
      <formula>"Compensation"</formula>
    </cfRule>
  </conditionalFormatting>
  <conditionalFormatting sqref="AA4:AA52">
    <cfRule type="cellIs" dxfId="311" priority="214" operator="equal">
      <formula>"Compensation"</formula>
    </cfRule>
  </conditionalFormatting>
  <conditionalFormatting sqref="AA4:AA52">
    <cfRule type="cellIs" dxfId="310" priority="213" operator="equal">
      <formula>"Compensation"</formula>
    </cfRule>
  </conditionalFormatting>
  <conditionalFormatting sqref="AA4:AA52">
    <cfRule type="cellIs" dxfId="309" priority="212" operator="equal">
      <formula>"Compensation"</formula>
    </cfRule>
  </conditionalFormatting>
  <conditionalFormatting sqref="AB4:AB52">
    <cfRule type="cellIs" dxfId="308" priority="211" operator="equal">
      <formula>"Compensation"</formula>
    </cfRule>
  </conditionalFormatting>
  <conditionalFormatting sqref="AB4:AB52">
    <cfRule type="cellIs" dxfId="307" priority="210" operator="equal">
      <formula>"Compensation"</formula>
    </cfRule>
  </conditionalFormatting>
  <conditionalFormatting sqref="AB4:AB52">
    <cfRule type="cellIs" dxfId="306" priority="209" operator="equal">
      <formula>"Compensation"</formula>
    </cfRule>
  </conditionalFormatting>
  <conditionalFormatting sqref="AC4:AC52">
    <cfRule type="cellIs" dxfId="305" priority="208" operator="equal">
      <formula>"Compensation"</formula>
    </cfRule>
  </conditionalFormatting>
  <conditionalFormatting sqref="AC4:AC52">
    <cfRule type="cellIs" dxfId="304" priority="207" operator="equal">
      <formula>"Compensation"</formula>
    </cfRule>
  </conditionalFormatting>
  <conditionalFormatting sqref="AC4:AC52">
    <cfRule type="cellIs" dxfId="303" priority="206" operator="equal">
      <formula>"Compensation"</formula>
    </cfRule>
  </conditionalFormatting>
  <conditionalFormatting sqref="AD4:AD52">
    <cfRule type="cellIs" dxfId="302" priority="205" operator="equal">
      <formula>"Compensation"</formula>
    </cfRule>
  </conditionalFormatting>
  <conditionalFormatting sqref="AD4:AD52">
    <cfRule type="cellIs" dxfId="301" priority="204" operator="equal">
      <formula>"Compensation"</formula>
    </cfRule>
  </conditionalFormatting>
  <conditionalFormatting sqref="AD4:AD52">
    <cfRule type="cellIs" dxfId="300" priority="203" operator="equal">
      <formula>"Compensation"</formula>
    </cfRule>
  </conditionalFormatting>
  <conditionalFormatting sqref="AE4:AE52">
    <cfRule type="cellIs" dxfId="299" priority="202" operator="equal">
      <formula>"Compensation"</formula>
    </cfRule>
  </conditionalFormatting>
  <conditionalFormatting sqref="AE4:AE52">
    <cfRule type="cellIs" dxfId="298" priority="201" operator="equal">
      <formula>"Compensation"</formula>
    </cfRule>
  </conditionalFormatting>
  <conditionalFormatting sqref="AE4:AE52">
    <cfRule type="cellIs" dxfId="297" priority="200" operator="equal">
      <formula>"Compensation"</formula>
    </cfRule>
  </conditionalFormatting>
  <conditionalFormatting sqref="AF4:AF52">
    <cfRule type="cellIs" dxfId="296" priority="199" operator="equal">
      <formula>"Compensation"</formula>
    </cfRule>
  </conditionalFormatting>
  <conditionalFormatting sqref="AF4:AF52">
    <cfRule type="cellIs" dxfId="295" priority="198" operator="equal">
      <formula>"Compensation"</formula>
    </cfRule>
  </conditionalFormatting>
  <conditionalFormatting sqref="AF4:AF52">
    <cfRule type="cellIs" dxfId="294" priority="197" operator="equal">
      <formula>"Compensation"</formula>
    </cfRule>
  </conditionalFormatting>
  <conditionalFormatting sqref="AG4:AI52">
    <cfRule type="cellIs" dxfId="293" priority="196" operator="equal">
      <formula>"Compensation"</formula>
    </cfRule>
  </conditionalFormatting>
  <conditionalFormatting sqref="AG4:AI52">
    <cfRule type="cellIs" dxfId="292" priority="195" operator="equal">
      <formula>"Compensation"</formula>
    </cfRule>
  </conditionalFormatting>
  <conditionalFormatting sqref="AG4:AI52">
    <cfRule type="cellIs" dxfId="291" priority="194" operator="equal">
      <formula>"Compensation"</formula>
    </cfRule>
  </conditionalFormatting>
  <conditionalFormatting sqref="AI4:AI52">
    <cfRule type="cellIs" dxfId="290" priority="193" operator="equal">
      <formula>"Compensation"</formula>
    </cfRule>
  </conditionalFormatting>
  <conditionalFormatting sqref="AI4:AI52">
    <cfRule type="cellIs" dxfId="289" priority="192" operator="equal">
      <formula>"Compensation"</formula>
    </cfRule>
  </conditionalFormatting>
  <conditionalFormatting sqref="AI4:AI52">
    <cfRule type="cellIs" dxfId="288" priority="191" operator="equal">
      <formula>"Compensation"</formula>
    </cfRule>
  </conditionalFormatting>
  <conditionalFormatting sqref="P4:Q52">
    <cfRule type="cellIs" dxfId="287" priority="167" operator="equal">
      <formula>"Compensation"</formula>
    </cfRule>
  </conditionalFormatting>
  <conditionalFormatting sqref="S4:V52">
    <cfRule type="cellIs" dxfId="286" priority="166" operator="equal">
      <formula>"Compensation"</formula>
    </cfRule>
  </conditionalFormatting>
  <conditionalFormatting sqref="S4:AA52">
    <cfRule type="cellIs" dxfId="285" priority="165" operator="equal">
      <formula>"Compensation"</formula>
    </cfRule>
  </conditionalFormatting>
  <conditionalFormatting sqref="W4:W52">
    <cfRule type="cellIs" dxfId="284" priority="164" operator="equal">
      <formula>"Compensation"</formula>
    </cfRule>
  </conditionalFormatting>
  <conditionalFormatting sqref="W4:W52">
    <cfRule type="cellIs" dxfId="283" priority="163" operator="equal">
      <formula>"Compensation"</formula>
    </cfRule>
  </conditionalFormatting>
  <conditionalFormatting sqref="W4:W52">
    <cfRule type="cellIs" dxfId="282" priority="162" operator="equal">
      <formula>"Compensation"</formula>
    </cfRule>
  </conditionalFormatting>
  <conditionalFormatting sqref="W4:W52">
    <cfRule type="cellIs" dxfId="281" priority="161" operator="equal">
      <formula>"Compensation"</formula>
    </cfRule>
  </conditionalFormatting>
  <conditionalFormatting sqref="X4:X52">
    <cfRule type="cellIs" dxfId="280" priority="160" operator="equal">
      <formula>"Compensation"</formula>
    </cfRule>
  </conditionalFormatting>
  <conditionalFormatting sqref="X4:X52">
    <cfRule type="cellIs" dxfId="279" priority="159" operator="equal">
      <formula>"Compensation"</formula>
    </cfRule>
  </conditionalFormatting>
  <conditionalFormatting sqref="X4:X52">
    <cfRule type="cellIs" dxfId="278" priority="158" operator="equal">
      <formula>"Compensation"</formula>
    </cfRule>
  </conditionalFormatting>
  <conditionalFormatting sqref="X4:X52">
    <cfRule type="cellIs" dxfId="277" priority="157" operator="equal">
      <formula>"Compensation"</formula>
    </cfRule>
  </conditionalFormatting>
  <conditionalFormatting sqref="X4:X52">
    <cfRule type="cellIs" dxfId="276" priority="156" operator="equal">
      <formula>"Compensation"</formula>
    </cfRule>
  </conditionalFormatting>
  <conditionalFormatting sqref="X4:X52">
    <cfRule type="cellIs" dxfId="275" priority="155" operator="equal">
      <formula>"Compensation"</formula>
    </cfRule>
  </conditionalFormatting>
  <conditionalFormatting sqref="X4:X52">
    <cfRule type="cellIs" dxfId="274" priority="154" operator="equal">
      <formula>"Compensation"</formula>
    </cfRule>
  </conditionalFormatting>
  <conditionalFormatting sqref="X4:X52">
    <cfRule type="cellIs" dxfId="273" priority="153" operator="equal">
      <formula>"Compensation"</formula>
    </cfRule>
  </conditionalFormatting>
  <conditionalFormatting sqref="X4:X52">
    <cfRule type="cellIs" dxfId="272" priority="152" operator="equal">
      <formula>"Compensation"</formula>
    </cfRule>
  </conditionalFormatting>
  <conditionalFormatting sqref="Y4:AA52">
    <cfRule type="cellIs" dxfId="271" priority="151" operator="equal">
      <formula>"Compensation"</formula>
    </cfRule>
  </conditionalFormatting>
  <conditionalFormatting sqref="Y4:AA52">
    <cfRule type="cellIs" dxfId="270" priority="150" operator="equal">
      <formula>"Compensation"</formula>
    </cfRule>
  </conditionalFormatting>
  <conditionalFormatting sqref="Y4:AA52">
    <cfRule type="cellIs" dxfId="269" priority="149" operator="equal">
      <formula>"Compensation"</formula>
    </cfRule>
  </conditionalFormatting>
  <conditionalFormatting sqref="Y4:AA52">
    <cfRule type="cellIs" dxfId="268" priority="148" operator="equal">
      <formula>"Compensation"</formula>
    </cfRule>
  </conditionalFormatting>
  <conditionalFormatting sqref="Y4:AA52">
    <cfRule type="cellIs" dxfId="267" priority="147" operator="equal">
      <formula>"Compensation"</formula>
    </cfRule>
  </conditionalFormatting>
  <conditionalFormatting sqref="Y4:AA52">
    <cfRule type="cellIs" dxfId="266" priority="146" operator="equal">
      <formula>"Compensation"</formula>
    </cfRule>
  </conditionalFormatting>
  <conditionalFormatting sqref="Y4:AA52">
    <cfRule type="cellIs" dxfId="265" priority="145" operator="equal">
      <formula>"Compensation"</formula>
    </cfRule>
  </conditionalFormatting>
  <conditionalFormatting sqref="Y4:AA52">
    <cfRule type="cellIs" dxfId="264" priority="144" operator="equal">
      <formula>"Compensation"</formula>
    </cfRule>
  </conditionalFormatting>
  <conditionalFormatting sqref="Y4:AA52">
    <cfRule type="cellIs" dxfId="263" priority="143" operator="equal">
      <formula>"Compensation"</formula>
    </cfRule>
  </conditionalFormatting>
  <conditionalFormatting sqref="Y4:AA52">
    <cfRule type="cellIs" dxfId="262" priority="142" operator="equal">
      <formula>"Compensation"</formula>
    </cfRule>
  </conditionalFormatting>
  <conditionalFormatting sqref="Y4:AA52">
    <cfRule type="cellIs" dxfId="261" priority="141" operator="equal">
      <formula>"Compensation"</formula>
    </cfRule>
  </conditionalFormatting>
  <conditionalFormatting sqref="Y4:AA52">
    <cfRule type="cellIs" dxfId="260" priority="140" operator="equal">
      <formula>"Compensation"</formula>
    </cfRule>
  </conditionalFormatting>
  <conditionalFormatting sqref="AB4:AG52">
    <cfRule type="cellIs" dxfId="259" priority="139" operator="equal">
      <formula>"Compensation"</formula>
    </cfRule>
  </conditionalFormatting>
  <conditionalFormatting sqref="AB4:AG52">
    <cfRule type="cellIs" dxfId="258" priority="138" operator="equal">
      <formula>"Compensation"</formula>
    </cfRule>
  </conditionalFormatting>
  <conditionalFormatting sqref="AB4:AG52">
    <cfRule type="cellIs" dxfId="257" priority="137" operator="equal">
      <formula>"Compensation"</formula>
    </cfRule>
  </conditionalFormatting>
  <conditionalFormatting sqref="AB4:AG52">
    <cfRule type="cellIs" dxfId="256" priority="136" operator="equal">
      <formula>"Compensation"</formula>
    </cfRule>
  </conditionalFormatting>
  <conditionalFormatting sqref="AB4:AG52">
    <cfRule type="cellIs" dxfId="255" priority="135" operator="equal">
      <formula>"Compensation"</formula>
    </cfRule>
  </conditionalFormatting>
  <conditionalFormatting sqref="AB4:AG52">
    <cfRule type="cellIs" dxfId="254" priority="134" operator="equal">
      <formula>"Compensation"</formula>
    </cfRule>
  </conditionalFormatting>
  <conditionalFormatting sqref="AB4:AG52">
    <cfRule type="cellIs" dxfId="253" priority="133" operator="equal">
      <formula>"Compensation"</formula>
    </cfRule>
  </conditionalFormatting>
  <conditionalFormatting sqref="AB4:AG52">
    <cfRule type="cellIs" dxfId="252" priority="132" operator="equal">
      <formula>"Compensation"</formula>
    </cfRule>
  </conditionalFormatting>
  <conditionalFormatting sqref="AB4:AG52">
    <cfRule type="cellIs" dxfId="251" priority="131" operator="equal">
      <formula>"Compensation"</formula>
    </cfRule>
  </conditionalFormatting>
  <conditionalFormatting sqref="AB4:AG52">
    <cfRule type="cellIs" dxfId="250" priority="130" operator="equal">
      <formula>"Compensation"</formula>
    </cfRule>
  </conditionalFormatting>
  <conditionalFormatting sqref="AB4:AG52">
    <cfRule type="cellIs" dxfId="249" priority="129" operator="equal">
      <formula>"Compensation"</formula>
    </cfRule>
  </conditionalFormatting>
  <conditionalFormatting sqref="AB4:AG52">
    <cfRule type="cellIs" dxfId="248" priority="128" operator="equal">
      <formula>"Compensation"</formula>
    </cfRule>
  </conditionalFormatting>
  <conditionalFormatting sqref="AB4:AG52">
    <cfRule type="cellIs" dxfId="247" priority="127" operator="equal">
      <formula>"Compensation"</formula>
    </cfRule>
  </conditionalFormatting>
  <conditionalFormatting sqref="AB4:AG52">
    <cfRule type="cellIs" dxfId="246" priority="126" operator="equal">
      <formula>"Compensation"</formula>
    </cfRule>
  </conditionalFormatting>
  <conditionalFormatting sqref="AB4:AG52">
    <cfRule type="cellIs" dxfId="245" priority="125" operator="equal">
      <formula>"Compensation"</formula>
    </cfRule>
  </conditionalFormatting>
  <conditionalFormatting sqref="AH4:AI52">
    <cfRule type="cellIs" dxfId="244" priority="124" operator="equal">
      <formula>"Compensation"</formula>
    </cfRule>
  </conditionalFormatting>
  <conditionalFormatting sqref="AH4:AI52">
    <cfRule type="cellIs" dxfId="243" priority="123" operator="equal">
      <formula>"Compensation"</formula>
    </cfRule>
  </conditionalFormatting>
  <conditionalFormatting sqref="AH4:AI52">
    <cfRule type="cellIs" dxfId="242" priority="122" operator="equal">
      <formula>"Compensation"</formula>
    </cfRule>
  </conditionalFormatting>
  <conditionalFormatting sqref="AH4:AI52">
    <cfRule type="cellIs" dxfId="241" priority="121" operator="equal">
      <formula>"Compensation"</formula>
    </cfRule>
  </conditionalFormatting>
  <conditionalFormatting sqref="AH4:AI52">
    <cfRule type="cellIs" dxfId="240" priority="120" operator="equal">
      <formula>"Compensation"</formula>
    </cfRule>
  </conditionalFormatting>
  <conditionalFormatting sqref="AH4:AI52">
    <cfRule type="cellIs" dxfId="239" priority="119" operator="equal">
      <formula>"Compensation"</formula>
    </cfRule>
  </conditionalFormatting>
  <conditionalFormatting sqref="AH4:AI52">
    <cfRule type="cellIs" dxfId="238" priority="118" operator="equal">
      <formula>"Compensation"</formula>
    </cfRule>
  </conditionalFormatting>
  <conditionalFormatting sqref="AH4:AI52">
    <cfRule type="cellIs" dxfId="237" priority="117" operator="equal">
      <formula>"Compensation"</formula>
    </cfRule>
  </conditionalFormatting>
  <conditionalFormatting sqref="AH4:AI52">
    <cfRule type="cellIs" dxfId="236" priority="116" operator="equal">
      <formula>"Compensation"</formula>
    </cfRule>
  </conditionalFormatting>
  <conditionalFormatting sqref="AH4:AI52">
    <cfRule type="cellIs" dxfId="235" priority="115" operator="equal">
      <formula>"Compensation"</formula>
    </cfRule>
  </conditionalFormatting>
  <conditionalFormatting sqref="AH4:AI52">
    <cfRule type="cellIs" dxfId="234" priority="114" operator="equal">
      <formula>"Compensation"</formula>
    </cfRule>
  </conditionalFormatting>
  <conditionalFormatting sqref="AH4:AI52">
    <cfRule type="cellIs" dxfId="233" priority="113" operator="equal">
      <formula>"Compensation"</formula>
    </cfRule>
  </conditionalFormatting>
  <conditionalFormatting sqref="AH4:AI52">
    <cfRule type="cellIs" dxfId="232" priority="112" operator="equal">
      <formula>"Compensation"</formula>
    </cfRule>
  </conditionalFormatting>
  <conditionalFormatting sqref="AH4:AI52">
    <cfRule type="cellIs" dxfId="231" priority="111" operator="equal">
      <formula>"Compensation"</formula>
    </cfRule>
  </conditionalFormatting>
  <conditionalFormatting sqref="AH4:AI52">
    <cfRule type="cellIs" dxfId="230" priority="110" operator="equal">
      <formula>"Compensation"</formula>
    </cfRule>
  </conditionalFormatting>
  <conditionalFormatting sqref="E4:E52">
    <cfRule type="cellIs" dxfId="229" priority="109" operator="equal">
      <formula>"Compensation"</formula>
    </cfRule>
  </conditionalFormatting>
  <conditionalFormatting sqref="E4:E52">
    <cfRule type="cellIs" dxfId="228" priority="108" operator="equal">
      <formula>"Compensation"</formula>
    </cfRule>
  </conditionalFormatting>
  <conditionalFormatting sqref="E4:E52">
    <cfRule type="cellIs" dxfId="227" priority="107" operator="equal">
      <formula>"Compensation"</formula>
    </cfRule>
  </conditionalFormatting>
  <conditionalFormatting sqref="E4:E52">
    <cfRule type="cellIs" dxfId="226" priority="106" operator="equal">
      <formula>"Compensation"</formula>
    </cfRule>
  </conditionalFormatting>
  <conditionalFormatting sqref="E4:E52">
    <cfRule type="cellIs" dxfId="225" priority="105" operator="equal">
      <formula>"Compensation"</formula>
    </cfRule>
  </conditionalFormatting>
  <conditionalFormatting sqref="E4:E52">
    <cfRule type="cellIs" dxfId="224" priority="104" operator="equal">
      <formula>"Compensation"</formula>
    </cfRule>
  </conditionalFormatting>
  <conditionalFormatting sqref="E4:E52">
    <cfRule type="cellIs" dxfId="223" priority="103" operator="equal">
      <formula>"Compensation"</formula>
    </cfRule>
  </conditionalFormatting>
  <conditionalFormatting sqref="E4:E52">
    <cfRule type="cellIs" dxfId="222" priority="102" operator="equal">
      <formula>"Compensation"</formula>
    </cfRule>
  </conditionalFormatting>
  <conditionalFormatting sqref="E4:E52">
    <cfRule type="cellIs" dxfId="221" priority="101" operator="equal">
      <formula>"Compensation"</formula>
    </cfRule>
  </conditionalFormatting>
  <conditionalFormatting sqref="E4:E52">
    <cfRule type="cellIs" dxfId="220" priority="100" operator="equal">
      <formula>"Compensation"</formula>
    </cfRule>
  </conditionalFormatting>
  <conditionalFormatting sqref="E4:E52">
    <cfRule type="cellIs" dxfId="219" priority="99" operator="equal">
      <formula>"Compensation"</formula>
    </cfRule>
  </conditionalFormatting>
  <conditionalFormatting sqref="E4:E52">
    <cfRule type="cellIs" dxfId="218" priority="98" operator="equal">
      <formula>"Compensation"</formula>
    </cfRule>
  </conditionalFormatting>
  <conditionalFormatting sqref="E4:E52">
    <cfRule type="cellIs" dxfId="217" priority="97" operator="equal">
      <formula>"Compensation"</formula>
    </cfRule>
  </conditionalFormatting>
  <conditionalFormatting sqref="E4:E52">
    <cfRule type="cellIs" dxfId="216" priority="96" operator="equal">
      <formula>"Compensation"</formula>
    </cfRule>
  </conditionalFormatting>
  <conditionalFormatting sqref="E4:E52">
    <cfRule type="cellIs" dxfId="215" priority="95" operator="equal">
      <formula>"Compensation"</formula>
    </cfRule>
  </conditionalFormatting>
  <conditionalFormatting sqref="E4:E52">
    <cfRule type="cellIs" dxfId="214" priority="94" operator="equal">
      <formula>"Compensation"</formula>
    </cfRule>
  </conditionalFormatting>
  <conditionalFormatting sqref="E4:E52">
    <cfRule type="cellIs" dxfId="213" priority="93" operator="equal">
      <formula>"Compensation"</formula>
    </cfRule>
  </conditionalFormatting>
  <conditionalFormatting sqref="E4:E52">
    <cfRule type="cellIs" dxfId="212" priority="92" operator="equal">
      <formula>"Compensation"</formula>
    </cfRule>
  </conditionalFormatting>
  <conditionalFormatting sqref="E4:E52">
    <cfRule type="cellIs" dxfId="211" priority="91" operator="equal">
      <formula>"Compensation"</formula>
    </cfRule>
  </conditionalFormatting>
  <conditionalFormatting sqref="E4:E52">
    <cfRule type="cellIs" dxfId="210" priority="90" operator="equal">
      <formula>"Compensation"</formula>
    </cfRule>
  </conditionalFormatting>
  <conditionalFormatting sqref="E4:E52">
    <cfRule type="cellIs" dxfId="209" priority="89" operator="equal">
      <formula>"Compensation"</formula>
    </cfRule>
  </conditionalFormatting>
  <conditionalFormatting sqref="AK4:AK52">
    <cfRule type="colorScale" priority="140387">
      <colorScale>
        <cfvo type="min"/>
        <cfvo type="max"/>
        <color rgb="FFFCFCFF"/>
        <color rgb="FFF8696B"/>
      </colorScale>
    </cfRule>
  </conditionalFormatting>
  <conditionalFormatting sqref="B4:B52">
    <cfRule type="duplicateValues" dxfId="208" priority="140389"/>
  </conditionalFormatting>
  <conditionalFormatting sqref="C4:C52">
    <cfRule type="duplicateValues" dxfId="207" priority="140390"/>
    <cfRule type="duplicateValues" dxfId="206" priority="140391"/>
  </conditionalFormatting>
  <conditionalFormatting sqref="B4:B52">
    <cfRule type="duplicateValues" dxfId="205" priority="140393"/>
    <cfRule type="duplicateValues" dxfId="204" priority="140394"/>
  </conditionalFormatting>
  <conditionalFormatting sqref="C4:C52">
    <cfRule type="duplicateValues" dxfId="203" priority="140395"/>
    <cfRule type="duplicateValues" dxfId="202" priority="140396"/>
    <cfRule type="duplicateValues" dxfId="201" priority="140397"/>
  </conditionalFormatting>
  <conditionalFormatting sqref="C4:C52">
    <cfRule type="duplicateValues" dxfId="200" priority="140398"/>
  </conditionalFormatting>
  <conditionalFormatting sqref="C4:C52">
    <cfRule type="duplicateValues" dxfId="199" priority="140399"/>
    <cfRule type="aboveAverage" dxfId="198" priority="140400" aboveAverage="0"/>
  </conditionalFormatting>
  <conditionalFormatting sqref="C4:C52">
    <cfRule type="duplicateValues" dxfId="197" priority="140401"/>
    <cfRule type="duplicateValues" dxfId="196" priority="140402"/>
    <cfRule type="duplicateValues" dxfId="195" priority="140403"/>
    <cfRule type="duplicateValues" dxfId="194" priority="140404"/>
  </conditionalFormatting>
  <conditionalFormatting sqref="C4:C52">
    <cfRule type="duplicateValues" dxfId="193" priority="140405"/>
    <cfRule type="duplicateValues" dxfId="192" priority="140406"/>
    <cfRule type="duplicateValues" dxfId="191" priority="140407"/>
    <cfRule type="duplicateValues" dxfId="190" priority="140408"/>
    <cfRule type="duplicateValues" dxfId="189" priority="140409"/>
  </conditionalFormatting>
  <conditionalFormatting sqref="F4:J52">
    <cfRule type="cellIs" dxfId="188" priority="88" operator="equal">
      <formula>"Compensation"</formula>
    </cfRule>
  </conditionalFormatting>
  <conditionalFormatting sqref="F4:J52">
    <cfRule type="cellIs" dxfId="187" priority="87" operator="equal">
      <formula>"Compensation"</formula>
    </cfRule>
  </conditionalFormatting>
  <conditionalFormatting sqref="F4:J52">
    <cfRule type="cellIs" dxfId="186" priority="86" operator="equal">
      <formula>"Compensation"</formula>
    </cfRule>
  </conditionalFormatting>
  <conditionalFormatting sqref="F4:J52">
    <cfRule type="cellIs" dxfId="185" priority="85" operator="equal">
      <formula>"Compensation"</formula>
    </cfRule>
  </conditionalFormatting>
  <conditionalFormatting sqref="F4:J52">
    <cfRule type="cellIs" dxfId="184" priority="84" operator="equal">
      <formula>"Compensation"</formula>
    </cfRule>
  </conditionalFormatting>
  <conditionalFormatting sqref="F4:J52">
    <cfRule type="cellIs" dxfId="183" priority="83" operator="equal">
      <formula>"Compensation"</formula>
    </cfRule>
  </conditionalFormatting>
  <conditionalFormatting sqref="F4:J52">
    <cfRule type="cellIs" dxfId="182" priority="82" operator="equal">
      <formula>"Compensation"</formula>
    </cfRule>
  </conditionalFormatting>
  <conditionalFormatting sqref="F4:J52">
    <cfRule type="cellIs" dxfId="181" priority="81" operator="equal">
      <formula>"Compensation"</formula>
    </cfRule>
  </conditionalFormatting>
  <conditionalFormatting sqref="F4:J52">
    <cfRule type="cellIs" dxfId="180" priority="80" operator="equal">
      <formula>"Compensation"</formula>
    </cfRule>
  </conditionalFormatting>
  <conditionalFormatting sqref="F4:J52">
    <cfRule type="cellIs" dxfId="179" priority="79" operator="equal">
      <formula>"Compensation"</formula>
    </cfRule>
  </conditionalFormatting>
  <conditionalFormatting sqref="F4:J52">
    <cfRule type="cellIs" dxfId="178" priority="78" operator="equal">
      <formula>"Compensation"</formula>
    </cfRule>
  </conditionalFormatting>
  <conditionalFormatting sqref="F4:J52">
    <cfRule type="cellIs" dxfId="177" priority="77" operator="equal">
      <formula>"Compensation"</formula>
    </cfRule>
  </conditionalFormatting>
  <conditionalFormatting sqref="F4:J52">
    <cfRule type="cellIs" dxfId="176" priority="76" operator="equal">
      <formula>"Compensation"</formula>
    </cfRule>
  </conditionalFormatting>
  <conditionalFormatting sqref="F4:J52">
    <cfRule type="cellIs" dxfId="175" priority="75" operator="equal">
      <formula>"Compensation"</formula>
    </cfRule>
  </conditionalFormatting>
  <conditionalFormatting sqref="F4:J52">
    <cfRule type="cellIs" dxfId="174" priority="74" operator="equal">
      <formula>"Compensation"</formula>
    </cfRule>
  </conditionalFormatting>
  <conditionalFormatting sqref="F4:J52">
    <cfRule type="cellIs" dxfId="173" priority="73" operator="equal">
      <formula>"Compensation"</formula>
    </cfRule>
  </conditionalFormatting>
  <conditionalFormatting sqref="F4:J52">
    <cfRule type="cellIs" dxfId="172" priority="72" operator="equal">
      <formula>"Compensation"</formula>
    </cfRule>
  </conditionalFormatting>
  <conditionalFormatting sqref="F4:J52">
    <cfRule type="cellIs" dxfId="171" priority="71" operator="equal">
      <formula>"Compensation"</formula>
    </cfRule>
  </conditionalFormatting>
  <conditionalFormatting sqref="F4:J52">
    <cfRule type="cellIs" dxfId="170" priority="70" operator="equal">
      <formula>"Compensation"</formula>
    </cfRule>
  </conditionalFormatting>
  <conditionalFormatting sqref="F4:J52">
    <cfRule type="cellIs" dxfId="169" priority="69" operator="equal">
      <formula>"Compensation"</formula>
    </cfRule>
  </conditionalFormatting>
  <conditionalFormatting sqref="F4:J52">
    <cfRule type="cellIs" dxfId="168" priority="68" operator="equal">
      <formula>"Compensation"</formula>
    </cfRule>
  </conditionalFormatting>
  <conditionalFormatting sqref="K4:N52">
    <cfRule type="cellIs" dxfId="167" priority="67" operator="equal">
      <formula>"Compensation"</formula>
    </cfRule>
  </conditionalFormatting>
  <conditionalFormatting sqref="K4:N52">
    <cfRule type="cellIs" dxfId="166" priority="66" operator="equal">
      <formula>"Compensation"</formula>
    </cfRule>
  </conditionalFormatting>
  <conditionalFormatting sqref="K4:N52">
    <cfRule type="cellIs" dxfId="165" priority="65" operator="equal">
      <formula>"Compensation"</formula>
    </cfRule>
  </conditionalFormatting>
  <conditionalFormatting sqref="K4:N52">
    <cfRule type="cellIs" dxfId="164" priority="64" operator="equal">
      <formula>"Compensation"</formula>
    </cfRule>
  </conditionalFormatting>
  <conditionalFormatting sqref="K4:N52">
    <cfRule type="cellIs" dxfId="163" priority="63" operator="equal">
      <formula>"Compensation"</formula>
    </cfRule>
  </conditionalFormatting>
  <conditionalFormatting sqref="K4:N52">
    <cfRule type="cellIs" dxfId="162" priority="62" operator="equal">
      <formula>"Compensation"</formula>
    </cfRule>
  </conditionalFormatting>
  <conditionalFormatting sqref="K4:N52">
    <cfRule type="cellIs" dxfId="161" priority="61" operator="equal">
      <formula>"Compensation"</formula>
    </cfRule>
  </conditionalFormatting>
  <conditionalFormatting sqref="K4:N52">
    <cfRule type="cellIs" dxfId="160" priority="60" operator="equal">
      <formula>"Compensation"</formula>
    </cfRule>
  </conditionalFormatting>
  <conditionalFormatting sqref="K4:N52">
    <cfRule type="cellIs" dxfId="159" priority="59" operator="equal">
      <formula>"Compensation"</formula>
    </cfRule>
  </conditionalFormatting>
  <conditionalFormatting sqref="K4:N52">
    <cfRule type="cellIs" dxfId="158" priority="58" operator="equal">
      <formula>"Compensation"</formula>
    </cfRule>
  </conditionalFormatting>
  <conditionalFormatting sqref="K4:N52">
    <cfRule type="cellIs" dxfId="157" priority="57" operator="equal">
      <formula>"Compensation"</formula>
    </cfRule>
  </conditionalFormatting>
  <conditionalFormatting sqref="K4:N52">
    <cfRule type="cellIs" dxfId="156" priority="56" operator="equal">
      <formula>"Compensation"</formula>
    </cfRule>
  </conditionalFormatting>
  <conditionalFormatting sqref="K4:N52">
    <cfRule type="cellIs" dxfId="155" priority="55" operator="equal">
      <formula>"Compensation"</formula>
    </cfRule>
  </conditionalFormatting>
  <conditionalFormatting sqref="K4:N52">
    <cfRule type="cellIs" dxfId="154" priority="54" operator="equal">
      <formula>"Compensation"</formula>
    </cfRule>
  </conditionalFormatting>
  <conditionalFormatting sqref="K4:N52">
    <cfRule type="cellIs" dxfId="153" priority="53" operator="equal">
      <formula>"Compensation"</formula>
    </cfRule>
  </conditionalFormatting>
  <conditionalFormatting sqref="K4:N52">
    <cfRule type="cellIs" dxfId="152" priority="52" operator="equal">
      <formula>"Compensation"</formula>
    </cfRule>
  </conditionalFormatting>
  <conditionalFormatting sqref="K4:N52">
    <cfRule type="cellIs" dxfId="151" priority="51" operator="equal">
      <formula>"Compensation"</formula>
    </cfRule>
  </conditionalFormatting>
  <conditionalFormatting sqref="K4:N52">
    <cfRule type="cellIs" dxfId="150" priority="50" operator="equal">
      <formula>"Compensation"</formula>
    </cfRule>
  </conditionalFormatting>
  <conditionalFormatting sqref="K4:N52">
    <cfRule type="cellIs" dxfId="149" priority="49" operator="equal">
      <formula>"Compensation"</formula>
    </cfRule>
  </conditionalFormatting>
  <conditionalFormatting sqref="K4:N52">
    <cfRule type="cellIs" dxfId="148" priority="48" operator="equal">
      <formula>"Compensation"</formula>
    </cfRule>
  </conditionalFormatting>
  <conditionalFormatting sqref="K4:N52">
    <cfRule type="cellIs" dxfId="147" priority="47" operator="equal">
      <formula>"Compensation"</formula>
    </cfRule>
  </conditionalFormatting>
  <conditionalFormatting sqref="O4:V52">
    <cfRule type="cellIs" dxfId="146" priority="46" operator="equal">
      <formula>"Compensation"</formula>
    </cfRule>
  </conditionalFormatting>
  <conditionalFormatting sqref="O4:V52">
    <cfRule type="cellIs" dxfId="145" priority="45" operator="equal">
      <formula>"Compensation"</formula>
    </cfRule>
  </conditionalFormatting>
  <conditionalFormatting sqref="O4:V52">
    <cfRule type="cellIs" dxfId="144" priority="44" operator="equal">
      <formula>"Compensation"</formula>
    </cfRule>
  </conditionalFormatting>
  <conditionalFormatting sqref="O4:V52">
    <cfRule type="cellIs" dxfId="143" priority="43" operator="equal">
      <formula>"Compensation"</formula>
    </cfRule>
  </conditionalFormatting>
  <conditionalFormatting sqref="O4:V52">
    <cfRule type="cellIs" dxfId="142" priority="42" operator="equal">
      <formula>"Compensation"</formula>
    </cfRule>
  </conditionalFormatting>
  <conditionalFormatting sqref="O4:V52">
    <cfRule type="cellIs" dxfId="141" priority="41" operator="equal">
      <formula>"Compensation"</formula>
    </cfRule>
  </conditionalFormatting>
  <conditionalFormatting sqref="O4:V52">
    <cfRule type="cellIs" dxfId="140" priority="40" operator="equal">
      <formula>"Compensation"</formula>
    </cfRule>
  </conditionalFormatting>
  <conditionalFormatting sqref="O4:V52">
    <cfRule type="cellIs" dxfId="139" priority="39" operator="equal">
      <formula>"Compensation"</formula>
    </cfRule>
  </conditionalFormatting>
  <conditionalFormatting sqref="O4:V52">
    <cfRule type="cellIs" dxfId="138" priority="38" operator="equal">
      <formula>"Compensation"</formula>
    </cfRule>
  </conditionalFormatting>
  <conditionalFormatting sqref="O4:V52">
    <cfRule type="cellIs" dxfId="137" priority="37" operator="equal">
      <formula>"Compensation"</formula>
    </cfRule>
  </conditionalFormatting>
  <conditionalFormatting sqref="O4:V52">
    <cfRule type="cellIs" dxfId="136" priority="36" operator="equal">
      <formula>"Compensation"</formula>
    </cfRule>
  </conditionalFormatting>
  <conditionalFormatting sqref="O4:V52">
    <cfRule type="cellIs" dxfId="135" priority="35" operator="equal">
      <formula>"Compensation"</formula>
    </cfRule>
  </conditionalFormatting>
  <conditionalFormatting sqref="O4:V52">
    <cfRule type="cellIs" dxfId="134" priority="34" operator="equal">
      <formula>"Compensation"</formula>
    </cfRule>
  </conditionalFormatting>
  <conditionalFormatting sqref="O4:V52">
    <cfRule type="cellIs" dxfId="133" priority="33" operator="equal">
      <formula>"Compensation"</formula>
    </cfRule>
  </conditionalFormatting>
  <conditionalFormatting sqref="O4:V52">
    <cfRule type="cellIs" dxfId="132" priority="32" operator="equal">
      <formula>"Compensation"</formula>
    </cfRule>
  </conditionalFormatting>
  <conditionalFormatting sqref="O4:V52">
    <cfRule type="cellIs" dxfId="131" priority="31" operator="equal">
      <formula>"Compensation"</formula>
    </cfRule>
  </conditionalFormatting>
  <conditionalFormatting sqref="O4:V52">
    <cfRule type="cellIs" dxfId="130" priority="30" operator="equal">
      <formula>"Compensation"</formula>
    </cfRule>
  </conditionalFormatting>
  <conditionalFormatting sqref="O4:V52">
    <cfRule type="cellIs" dxfId="129" priority="29" operator="equal">
      <formula>"Compensation"</formula>
    </cfRule>
  </conditionalFormatting>
  <conditionalFormatting sqref="O4:V52">
    <cfRule type="cellIs" dxfId="128" priority="28" operator="equal">
      <formula>"Compensation"</formula>
    </cfRule>
  </conditionalFormatting>
  <conditionalFormatting sqref="O4:V52">
    <cfRule type="cellIs" dxfId="127" priority="27" operator="equal">
      <formula>"Compensation"</formula>
    </cfRule>
  </conditionalFormatting>
  <conditionalFormatting sqref="O4:V52">
    <cfRule type="cellIs" dxfId="126" priority="26" operator="equal">
      <formula>"Compensation"</formula>
    </cfRule>
  </conditionalFormatting>
  <conditionalFormatting sqref="W4:AA52">
    <cfRule type="cellIs" dxfId="33" priority="25" operator="equal">
      <formula>"Compensation"</formula>
    </cfRule>
  </conditionalFormatting>
  <conditionalFormatting sqref="W4:AA52">
    <cfRule type="cellIs" dxfId="32" priority="24" operator="equal">
      <formula>"Compensation"</formula>
    </cfRule>
  </conditionalFormatting>
  <conditionalFormatting sqref="W4:AA52">
    <cfRule type="cellIs" dxfId="31" priority="23" operator="equal">
      <formula>"Compensation"</formula>
    </cfRule>
  </conditionalFormatting>
  <conditionalFormatting sqref="W4:AA52">
    <cfRule type="cellIs" dxfId="30" priority="22" operator="equal">
      <formula>"Compensation"</formula>
    </cfRule>
  </conditionalFormatting>
  <conditionalFormatting sqref="W4:AA52">
    <cfRule type="cellIs" dxfId="29" priority="21" operator="equal">
      <formula>"Compensation"</formula>
    </cfRule>
  </conditionalFormatting>
  <conditionalFormatting sqref="W4:AA52">
    <cfRule type="cellIs" dxfId="28" priority="20" operator="equal">
      <formula>"Compensation"</formula>
    </cfRule>
  </conditionalFormatting>
  <conditionalFormatting sqref="W4:AA52">
    <cfRule type="cellIs" dxfId="27" priority="19" operator="equal">
      <formula>"Compensation"</formula>
    </cfRule>
  </conditionalFormatting>
  <conditionalFormatting sqref="W4:AA52">
    <cfRule type="cellIs" dxfId="26" priority="18" operator="equal">
      <formula>"Compensation"</formula>
    </cfRule>
  </conditionalFormatting>
  <conditionalFormatting sqref="W4:AA52">
    <cfRule type="cellIs" dxfId="25" priority="17" operator="equal">
      <formula>"Compensation"</formula>
    </cfRule>
  </conditionalFormatting>
  <conditionalFormatting sqref="W4:AA52">
    <cfRule type="cellIs" dxfId="24" priority="16" operator="equal">
      <formula>"Compensation"</formula>
    </cfRule>
  </conditionalFormatting>
  <conditionalFormatting sqref="W4:AA52">
    <cfRule type="cellIs" dxfId="23" priority="15" operator="equal">
      <formula>"Compensation"</formula>
    </cfRule>
  </conditionalFormatting>
  <conditionalFormatting sqref="W4:AA52">
    <cfRule type="cellIs" dxfId="22" priority="14" operator="equal">
      <formula>"Compensation"</formula>
    </cfRule>
  </conditionalFormatting>
  <conditionalFormatting sqref="W4:AA52">
    <cfRule type="cellIs" dxfId="21" priority="13" operator="equal">
      <formula>"Compensation"</formula>
    </cfRule>
  </conditionalFormatting>
  <conditionalFormatting sqref="W4:AA52">
    <cfRule type="cellIs" dxfId="20" priority="12" operator="equal">
      <formula>"Compensation"</formula>
    </cfRule>
  </conditionalFormatting>
  <conditionalFormatting sqref="W4:AA52">
    <cfRule type="cellIs" dxfId="19" priority="11" operator="equal">
      <formula>"Compensation"</formula>
    </cfRule>
  </conditionalFormatting>
  <conditionalFormatting sqref="W4:AA52">
    <cfRule type="cellIs" dxfId="18" priority="10" operator="equal">
      <formula>"Compensation"</formula>
    </cfRule>
  </conditionalFormatting>
  <conditionalFormatting sqref="W4:AA52">
    <cfRule type="cellIs" dxfId="17" priority="9" operator="equal">
      <formula>"Compensation"</formula>
    </cfRule>
  </conditionalFormatting>
  <conditionalFormatting sqref="W4:AA52">
    <cfRule type="cellIs" dxfId="16" priority="8" operator="equal">
      <formula>"Compensation"</formula>
    </cfRule>
  </conditionalFormatting>
  <conditionalFormatting sqref="W4:AA52">
    <cfRule type="cellIs" dxfId="15" priority="7" operator="equal">
      <formula>"Compensation"</formula>
    </cfRule>
  </conditionalFormatting>
  <conditionalFormatting sqref="W4:AA52">
    <cfRule type="cellIs" dxfId="14" priority="6" operator="equal">
      <formula>"Compensation"</formula>
    </cfRule>
  </conditionalFormatting>
  <conditionalFormatting sqref="W4:AA52">
    <cfRule type="cellIs" dxfId="13" priority="5" operator="equal">
      <formula>"Compensation"</formula>
    </cfRule>
  </conditionalFormatting>
  <conditionalFormatting sqref="W4:AA52">
    <cfRule type="cellIs" dxfId="12" priority="4" operator="equal">
      <formula>"Compensation"</formula>
    </cfRule>
  </conditionalFormatting>
  <conditionalFormatting sqref="W4:AA52">
    <cfRule type="cellIs" dxfId="11" priority="3" operator="equal">
      <formula>"Compensation"</formula>
    </cfRule>
  </conditionalFormatting>
  <conditionalFormatting sqref="W4:AA52">
    <cfRule type="cellIs" dxfId="10" priority="2" operator="equal">
      <formula>"Compensation"</formula>
    </cfRule>
  </conditionalFormatting>
  <conditionalFormatting sqref="W4:AA52">
    <cfRule type="cellIs" dxfId="9" priority="1" operator="equal">
      <formula>"Compensation"</formula>
    </cfRule>
  </conditionalFormatting>
  <hyperlinks>
    <hyperlink ref="A1" display="VF.Cash" xr:uid="{B47E0095-34CE-4C68-8DCB-0B7FB92C330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AG57"/>
  <sheetViews>
    <sheetView showGridLines="0" zoomScale="70" zoomScaleNormal="70" workbookViewId="0"/>
  </sheetViews>
  <sheetFormatPr defaultColWidth="9.140625" defaultRowHeight="15" x14ac:dyDescent="0.25"/>
  <cols>
    <col min="1" max="1" width="38.5703125" style="3" bestFit="1" customWidth="1"/>
    <col min="2" max="2" width="12.140625" style="3" bestFit="1" customWidth="1"/>
    <col min="3" max="3" width="8.140625" style="3" bestFit="1" customWidth="1"/>
    <col min="4" max="4" width="14.42578125" style="3" bestFit="1" customWidth="1"/>
    <col min="5" max="5" width="9.7109375" style="3" bestFit="1" customWidth="1"/>
    <col min="6" max="6" width="16.85546875" style="3" bestFit="1" customWidth="1"/>
    <col min="7" max="7" width="15.42578125" style="3" bestFit="1" customWidth="1"/>
    <col min="8" max="8" width="12.85546875" style="3" bestFit="1" customWidth="1"/>
    <col min="9" max="9" width="10.5703125" style="3" bestFit="1" customWidth="1"/>
    <col min="10" max="10" width="7.42578125" style="3" bestFit="1" customWidth="1"/>
    <col min="11" max="11" width="18.140625" style="3" bestFit="1" customWidth="1"/>
    <col min="12" max="12" width="18.5703125" style="3" bestFit="1" customWidth="1"/>
    <col min="13" max="13" width="7.140625" style="3" bestFit="1" customWidth="1"/>
    <col min="14" max="21" width="7.42578125" style="3" bestFit="1" customWidth="1"/>
    <col min="22" max="22" width="8.28515625" style="3" bestFit="1" customWidth="1"/>
    <col min="23" max="23" width="7.85546875" style="3" bestFit="1" customWidth="1"/>
    <col min="24" max="31" width="8.28515625" style="3" bestFit="1" customWidth="1"/>
    <col min="32" max="32" width="8.7109375" style="3" bestFit="1" customWidth="1"/>
    <col min="33" max="33" width="6.28515625" style="3" bestFit="1" customWidth="1"/>
    <col min="34" max="16384" width="9.140625" style="3"/>
  </cols>
  <sheetData>
    <row r="1" spans="1:17" x14ac:dyDescent="0.25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</row>
    <row r="2" spans="1:17" x14ac:dyDescent="0.25">
      <c r="A2" s="48" t="s">
        <v>11</v>
      </c>
      <c r="B2" s="48" t="s">
        <v>1</v>
      </c>
      <c r="C2" s="48" t="s">
        <v>28</v>
      </c>
      <c r="D2" s="48" t="s">
        <v>2</v>
      </c>
      <c r="E2" s="48" t="s">
        <v>8</v>
      </c>
      <c r="F2" s="48" t="s">
        <v>9</v>
      </c>
      <c r="G2" s="48" t="s">
        <v>7</v>
      </c>
      <c r="H2" s="48" t="s">
        <v>10</v>
      </c>
      <c r="I2" s="48" t="s">
        <v>27</v>
      </c>
      <c r="J2" s="48" t="s">
        <v>3</v>
      </c>
      <c r="K2" s="48" t="s">
        <v>21</v>
      </c>
      <c r="L2" s="48" t="s">
        <v>22</v>
      </c>
      <c r="Q2"/>
    </row>
    <row r="3" spans="1:17" x14ac:dyDescent="0.25">
      <c r="A3" s="49" t="str">
        <f>IF(PIV!A22="Grand total",0,PIV!A22)</f>
        <v>Mohamed Ahmed-Nagy</v>
      </c>
      <c r="B3" s="8">
        <f>IFERROR(VLOOKUP($A3,PIV!$A:$J,Summary!B$1,0),"-")</f>
        <v>86</v>
      </c>
      <c r="C3" s="8">
        <f>IFERROR(VLOOKUP(A:A,PIV!A:F,6,0),"-")</f>
        <v>0</v>
      </c>
      <c r="D3" s="8">
        <f>IFERROR(VLOOKUP(A:A,PIV!A:C,3,0),"-")</f>
        <v>0</v>
      </c>
      <c r="E3" s="8">
        <f>IFERROR(VLOOKUP(A:A,PIV!A:D,4,0),"-")</f>
        <v>0</v>
      </c>
      <c r="F3" s="8">
        <f>IFERROR(VLOOKUP(A:A,PIV!A:E,5,0),"-")</f>
        <v>0</v>
      </c>
      <c r="G3" s="8">
        <f>IFERROR(VLOOKUP(A:A,PIV!A:G,7,0),"*")</f>
        <v>0</v>
      </c>
      <c r="H3" s="8">
        <f>IFERROR(VLOOKUP($A3,PIV!A:J,10,0),"-")</f>
        <v>0</v>
      </c>
      <c r="I3" s="8">
        <f>IFERROR(VLOOKUP(A:A,PIV!A:I,9,0),"-")</f>
        <v>0</v>
      </c>
      <c r="J3" s="8">
        <f>IFERROR(VLOOKUP(A:A,PIV!A:K,11,0),"-")</f>
        <v>6</v>
      </c>
      <c r="K3" s="8">
        <f>IFERROR(VLOOKUP(A:A,PIV!A:H,8,0),"-")</f>
        <v>0</v>
      </c>
      <c r="L3" s="50">
        <f>SUM(D3,F3,H3,C3)/SUM(D3,F3,H3,B3)</f>
        <v>0</v>
      </c>
      <c r="Q3"/>
    </row>
    <row r="4" spans="1:17" s="29" customFormat="1" x14ac:dyDescent="0.25">
      <c r="A4" s="49" t="str">
        <f>IF(PIV!A23="Grand total",0,PIV!A23)</f>
        <v>Omar Emad-Mahmoud</v>
      </c>
      <c r="B4" s="8">
        <f>IFERROR(VLOOKUP($A4,PIV!$A:$J,Summary!B$1,0),"-")</f>
        <v>199</v>
      </c>
      <c r="C4" s="8">
        <f>IFERROR(VLOOKUP(A:A,PIV!A:F,6,0),"-")</f>
        <v>0</v>
      </c>
      <c r="D4" s="8">
        <f>IFERROR(VLOOKUP(A:A,PIV!A:C,3,0),"-")</f>
        <v>11</v>
      </c>
      <c r="E4" s="8">
        <f>IFERROR(VLOOKUP(A:A,PIV!A:D,4,0),"-")</f>
        <v>1</v>
      </c>
      <c r="F4" s="8">
        <f>IFERROR(VLOOKUP(A:A,PIV!A:E,5,0),"-")</f>
        <v>0</v>
      </c>
      <c r="G4" s="8">
        <f>IFERROR(VLOOKUP(A:A,PIV!A:G,7,0),"*")</f>
        <v>0</v>
      </c>
      <c r="H4" s="8">
        <f>IFERROR(VLOOKUP($A4,PIV!A:J,10,0),"-")</f>
        <v>5</v>
      </c>
      <c r="I4" s="8">
        <f>IFERROR(VLOOKUP(A:A,PIV!A:I,9,0),"-")</f>
        <v>0</v>
      </c>
      <c r="J4" s="8">
        <f>IFERROR(VLOOKUP(A:A,PIV!A:K,11,0),"-")</f>
        <v>69</v>
      </c>
      <c r="K4" s="8">
        <f>IFERROR(VLOOKUP(A:A,PIV!A:H,8,0),"-")</f>
        <v>2</v>
      </c>
      <c r="L4" s="50">
        <f>SUM(D4,F4,H4,C4)/SUM(D4,F4,H4,B4)</f>
        <v>7.441860465116279E-2</v>
      </c>
      <c r="Q4" s="28"/>
    </row>
    <row r="5" spans="1:17" s="29" customFormat="1" x14ac:dyDescent="0.25">
      <c r="A5" s="49" t="str">
        <f>IF(PIV!A24="Grand total",0,PIV!A24)</f>
        <v>Merna Ashraf-Ashrafy</v>
      </c>
      <c r="B5" s="8">
        <f>IFERROR(VLOOKUP($A5,PIV!$A:$J,Summary!B$1,0),"-")</f>
        <v>198</v>
      </c>
      <c r="C5" s="8">
        <f>IFERROR(VLOOKUP(A:A,PIV!A:F,6,0),"-")</f>
        <v>0</v>
      </c>
      <c r="D5" s="8">
        <f>IFERROR(VLOOKUP(A:A,PIV!A:C,3,0),"-")</f>
        <v>18</v>
      </c>
      <c r="E5" s="8">
        <f>IFERROR(VLOOKUP(A:A,PIV!A:D,4,0),"-")</f>
        <v>0</v>
      </c>
      <c r="F5" s="8">
        <f>IFERROR(VLOOKUP(A:A,PIV!A:E,5,0),"-")</f>
        <v>0</v>
      </c>
      <c r="G5" s="8">
        <f>IFERROR(VLOOKUP(A:A,PIV!A:G,7,0),"*")</f>
        <v>0</v>
      </c>
      <c r="H5" s="8">
        <f>IFERROR(VLOOKUP($A5,PIV!A:J,10,0),"-")</f>
        <v>11</v>
      </c>
      <c r="I5" s="8">
        <f>IFERROR(VLOOKUP(A:A,PIV!A:I,9,0),"-")</f>
        <v>0</v>
      </c>
      <c r="J5" s="8">
        <f>IFERROR(VLOOKUP(A:A,PIV!A:K,11,0),"-")</f>
        <v>83</v>
      </c>
      <c r="K5" s="8">
        <f>IFERROR(VLOOKUP(A:A,PIV!A:H,8,0),"-")</f>
        <v>0</v>
      </c>
      <c r="L5" s="50">
        <f>SUM(D5,F5,H5,C5)/SUM(D5,F5,H5,B5)</f>
        <v>0.1277533039647577</v>
      </c>
      <c r="Q5" s="28"/>
    </row>
    <row r="6" spans="1:17" x14ac:dyDescent="0.25">
      <c r="A6" s="49" t="str">
        <f>IF(PIV!A25="Grand total",0,PIV!A25)</f>
        <v>AbdElRahman Adel-ElKelany</v>
      </c>
      <c r="B6" s="8">
        <f>IFERROR(VLOOKUP($A6,PIV!$A:$J,Summary!B$1,0),"-")</f>
        <v>191</v>
      </c>
      <c r="C6" s="8">
        <f>IFERROR(VLOOKUP(A:A,PIV!A:F,6,0),"-")</f>
        <v>0</v>
      </c>
      <c r="D6" s="8">
        <f>IFERROR(VLOOKUP(A:A,PIV!A:C,3,0),"-")</f>
        <v>8</v>
      </c>
      <c r="E6" s="8">
        <f>IFERROR(VLOOKUP(A:A,PIV!A:D,4,0),"-")</f>
        <v>0</v>
      </c>
      <c r="F6" s="8">
        <f>IFERROR(VLOOKUP(A:A,PIV!A:E,5,0),"-")</f>
        <v>0</v>
      </c>
      <c r="G6" s="8">
        <f>IFERROR(VLOOKUP(A:A,PIV!A:G,7,0),"*")</f>
        <v>0</v>
      </c>
      <c r="H6" s="8">
        <f>IFERROR(VLOOKUP($A6,PIV!A:J,10,0),"-")</f>
        <v>0</v>
      </c>
      <c r="I6" s="8">
        <f>IFERROR(VLOOKUP(A:A,PIV!A:I,9,0),"-")</f>
        <v>0</v>
      </c>
      <c r="J6" s="8">
        <f>IFERROR(VLOOKUP(A:A,PIV!A:K,11,0),"-")</f>
        <v>67</v>
      </c>
      <c r="K6" s="8">
        <f>IFERROR(VLOOKUP(A:A,PIV!A:H,8,0),"-")</f>
        <v>0</v>
      </c>
      <c r="L6" s="50">
        <f t="shared" ref="L6:L10" si="0">SUM(D6,F6,H6,C6)/SUM(D6,F6,H6,B6)</f>
        <v>4.0201005025125629E-2</v>
      </c>
      <c r="Q6"/>
    </row>
    <row r="7" spans="1:17" s="29" customFormat="1" x14ac:dyDescent="0.25">
      <c r="A7" s="49">
        <f>IF(PIV!A26="Grand total",0,PIV!A26)</f>
        <v>0</v>
      </c>
      <c r="B7" s="8" t="str">
        <f>IFERROR(VLOOKUP($A7,PIV!$A:$J,Summary!B$1,0),"-")</f>
        <v>-</v>
      </c>
      <c r="C7" s="8" t="str">
        <f>IFERROR(VLOOKUP(A:A,PIV!A:F,6,0),"-")</f>
        <v>-</v>
      </c>
      <c r="D7" s="8" t="str">
        <f>IFERROR(VLOOKUP(A:A,PIV!A:C,3,0),"-")</f>
        <v>-</v>
      </c>
      <c r="E7" s="8" t="str">
        <f>IFERROR(VLOOKUP(A:A,PIV!A:D,4,0),"-")</f>
        <v>-</v>
      </c>
      <c r="F7" s="8" t="str">
        <f>IFERROR(VLOOKUP(A:A,PIV!A:E,5,0),"-")</f>
        <v>-</v>
      </c>
      <c r="G7" s="8" t="str">
        <f>IFERROR(VLOOKUP(A:A,PIV!A:G,7,0),"*")</f>
        <v>*</v>
      </c>
      <c r="H7" s="8" t="str">
        <f>IFERROR(VLOOKUP($A7,PIV!A:J,10,0),"-")</f>
        <v>-</v>
      </c>
      <c r="I7" s="8" t="str">
        <f>IFERROR(VLOOKUP(A:A,PIV!A:I,9,0),"-")</f>
        <v>-</v>
      </c>
      <c r="J7" s="8" t="str">
        <f>IFERROR(VLOOKUP(A:A,PIV!A:K,11,0),"-")</f>
        <v>-</v>
      </c>
      <c r="K7" s="8" t="str">
        <f>IFERROR(VLOOKUP(A:A,PIV!A:H,8,0),"-")</f>
        <v>-</v>
      </c>
      <c r="L7" s="50" t="e">
        <f t="shared" ref="L7" si="1">SUM(D7,F7,H7,C7)/SUM(D7,F7,H7,B7)</f>
        <v>#DIV/0!</v>
      </c>
      <c r="Q7" s="28"/>
    </row>
    <row r="8" spans="1:17" s="29" customFormat="1" x14ac:dyDescent="0.25">
      <c r="A8" s="49">
        <f>IF(PIV!A27="Grand total",0,PIV!A27)</f>
        <v>0</v>
      </c>
      <c r="B8" s="8" t="str">
        <f>IFERROR(VLOOKUP($A8,PIV!$A:$J,Summary!B$1,0),"-")</f>
        <v>-</v>
      </c>
      <c r="C8" s="8" t="str">
        <f>IFERROR(VLOOKUP(A:A,PIV!A:F,6,0),"-")</f>
        <v>-</v>
      </c>
      <c r="D8" s="8" t="str">
        <f>IFERROR(VLOOKUP(A:A,PIV!A:C,3,0),"-")</f>
        <v>-</v>
      </c>
      <c r="E8" s="8" t="str">
        <f>IFERROR(VLOOKUP(A:A,PIV!A:D,4,0),"-")</f>
        <v>-</v>
      </c>
      <c r="F8" s="8" t="str">
        <f>IFERROR(VLOOKUP(A:A,PIV!A:E,5,0),"-")</f>
        <v>-</v>
      </c>
      <c r="G8" s="8" t="str">
        <f>IFERROR(VLOOKUP(A:A,PIV!A:G,7,0),"*")</f>
        <v>*</v>
      </c>
      <c r="H8" s="8" t="str">
        <f>IFERROR(VLOOKUP($A8,PIV!A:J,10,0),"-")</f>
        <v>-</v>
      </c>
      <c r="I8" s="8" t="str">
        <f>IFERROR(VLOOKUP(A:A,PIV!A:I,9,0),"-")</f>
        <v>-</v>
      </c>
      <c r="J8" s="8" t="str">
        <f>IFERROR(VLOOKUP(A:A,PIV!A:K,11,0),"-")</f>
        <v>-</v>
      </c>
      <c r="K8" s="8" t="str">
        <f>IFERROR(VLOOKUP(A:A,PIV!A:H,8,0),"-")</f>
        <v>-</v>
      </c>
      <c r="L8" s="50" t="e">
        <f t="shared" ref="L8" si="2">SUM(D8,F8,H8,C8)/SUM(D8,F8,H8,B8)</f>
        <v>#DIV/0!</v>
      </c>
      <c r="Q8" s="28"/>
    </row>
    <row r="9" spans="1:17" x14ac:dyDescent="0.25">
      <c r="A9" s="49">
        <f>IF(PIV!A28="Grand total",0,PIV!A28)</f>
        <v>0</v>
      </c>
      <c r="B9" s="8" t="str">
        <f>IFERROR(VLOOKUP($A9,PIV!$A:$J,Summary!B$1,0),"-")</f>
        <v>-</v>
      </c>
      <c r="C9" s="8" t="str">
        <f>IFERROR(VLOOKUP(A:A,PIV!A:F,6,0),"-")</f>
        <v>-</v>
      </c>
      <c r="D9" s="8" t="str">
        <f>IFERROR(VLOOKUP(A:A,PIV!A:C,3,0),"-")</f>
        <v>-</v>
      </c>
      <c r="E9" s="8" t="str">
        <f>IFERROR(VLOOKUP(A:A,PIV!A:D,4,0),"-")</f>
        <v>-</v>
      </c>
      <c r="F9" s="8" t="str">
        <f>IFERROR(VLOOKUP(A:A,PIV!A:E,5,0),"-")</f>
        <v>-</v>
      </c>
      <c r="G9" s="8" t="str">
        <f>IFERROR(VLOOKUP(A:A,PIV!A:G,7,0),"*")</f>
        <v>*</v>
      </c>
      <c r="H9" s="8" t="str">
        <f>IFERROR(VLOOKUP($A9,PIV!A:J,10,0),"-")</f>
        <v>-</v>
      </c>
      <c r="I9" s="8" t="str">
        <f>IFERROR(VLOOKUP(A:A,PIV!A:I,9,0),"-")</f>
        <v>-</v>
      </c>
      <c r="J9" s="8" t="str">
        <f>IFERROR(VLOOKUP(A:A,PIV!A:K,11,0),"-")</f>
        <v>-</v>
      </c>
      <c r="K9" s="8" t="str">
        <f>IFERROR(VLOOKUP(A:A,PIV!A:H,8,0),"-")</f>
        <v>-</v>
      </c>
      <c r="L9" s="50" t="e">
        <f t="shared" si="0"/>
        <v>#DIV/0!</v>
      </c>
    </row>
    <row r="10" spans="1:17" x14ac:dyDescent="0.25">
      <c r="A10" s="48" t="s">
        <v>18</v>
      </c>
      <c r="B10" s="48">
        <f t="shared" ref="B10:K10" si="3">SUM(B3:B9)</f>
        <v>674</v>
      </c>
      <c r="C10" s="48">
        <f t="shared" si="3"/>
        <v>0</v>
      </c>
      <c r="D10" s="48">
        <f t="shared" si="3"/>
        <v>37</v>
      </c>
      <c r="E10" s="48">
        <f t="shared" si="3"/>
        <v>1</v>
      </c>
      <c r="F10" s="48">
        <f t="shared" si="3"/>
        <v>0</v>
      </c>
      <c r="G10" s="48">
        <f t="shared" si="3"/>
        <v>0</v>
      </c>
      <c r="H10" s="48">
        <f t="shared" si="3"/>
        <v>16</v>
      </c>
      <c r="I10" s="48">
        <f t="shared" si="3"/>
        <v>0</v>
      </c>
      <c r="J10" s="48">
        <f t="shared" si="3"/>
        <v>225</v>
      </c>
      <c r="K10" s="48">
        <f t="shared" si="3"/>
        <v>2</v>
      </c>
      <c r="L10" s="51">
        <f t="shared" si="0"/>
        <v>7.2902338376891335E-2</v>
      </c>
      <c r="Q10"/>
    </row>
    <row r="11" spans="1:17" s="44" customFormat="1" x14ac:dyDescent="0.25">
      <c r="O11" s="45"/>
      <c r="P11" s="45"/>
      <c r="Q11" s="45"/>
    </row>
    <row r="12" spans="1:17" s="44" customFormat="1" ht="15.75" x14ac:dyDescent="0.25">
      <c r="A12" s="41" t="s">
        <v>1</v>
      </c>
      <c r="B12" s="41" t="s">
        <v>2</v>
      </c>
      <c r="C12" s="41" t="s">
        <v>8</v>
      </c>
      <c r="D12" s="41" t="s">
        <v>9</v>
      </c>
      <c r="E12" s="41" t="s">
        <v>28</v>
      </c>
      <c r="F12" s="41" t="s">
        <v>7</v>
      </c>
      <c r="G12" s="41" t="s">
        <v>21</v>
      </c>
      <c r="H12" s="41" t="s">
        <v>31</v>
      </c>
      <c r="I12" s="41" t="s">
        <v>10</v>
      </c>
      <c r="J12" s="41" t="s">
        <v>3</v>
      </c>
      <c r="K12" s="41" t="s">
        <v>25</v>
      </c>
      <c r="L12" s="4" t="s">
        <v>26</v>
      </c>
      <c r="M12" s="4" t="s">
        <v>26</v>
      </c>
      <c r="N12" s="4" t="s">
        <v>26</v>
      </c>
    </row>
    <row r="13" spans="1:17" s="44" customFormat="1" x14ac:dyDescent="0.25">
      <c r="A13" s="4" t="s">
        <v>26</v>
      </c>
      <c r="B13" s="4"/>
      <c r="C13" s="4"/>
      <c r="D13" s="4"/>
      <c r="E13" s="4"/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</row>
    <row r="14" spans="1:17" s="44" customFormat="1" x14ac:dyDescent="0.25">
      <c r="A14" s="4"/>
      <c r="B14" s="4"/>
      <c r="C14" s="4"/>
      <c r="D14" s="4"/>
      <c r="E14" s="4"/>
      <c r="F14" s="4" t="s">
        <v>26</v>
      </c>
      <c r="G14" s="4" t="s">
        <v>26</v>
      </c>
      <c r="H14" s="4" t="s">
        <v>26</v>
      </c>
      <c r="I14" s="4" t="s">
        <v>26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</row>
    <row r="15" spans="1:17" s="44" customFormat="1" x14ac:dyDescent="0.25">
      <c r="A15" s="4"/>
      <c r="B15" s="4"/>
      <c r="C15" s="4"/>
      <c r="D15" s="4"/>
      <c r="E15" s="4"/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</row>
    <row r="16" spans="1:17" s="44" customFormat="1" x14ac:dyDescent="0.25"/>
    <row r="17" spans="1:33" s="44" customFormat="1" x14ac:dyDescent="0.25"/>
    <row r="18" spans="1:33" s="44" customFormat="1" x14ac:dyDescent="0.25"/>
    <row r="19" spans="1:33" s="44" customFormat="1" x14ac:dyDescent="0.25"/>
    <row r="20" spans="1:33" s="44" customFormat="1" x14ac:dyDescent="0.25"/>
    <row r="21" spans="1:33" x14ac:dyDescent="0.25">
      <c r="A21" s="13" t="s">
        <v>40</v>
      </c>
      <c r="B21" s="14">
        <f>Conformance!E3</f>
        <v>45982</v>
      </c>
      <c r="C21" s="14">
        <f>Conformance!F3</f>
        <v>45983</v>
      </c>
      <c r="D21" s="14">
        <f>Conformance!G3</f>
        <v>45984</v>
      </c>
      <c r="E21" s="14">
        <f>Conformance!H3</f>
        <v>45985</v>
      </c>
      <c r="F21" s="14">
        <f>Conformance!I3</f>
        <v>45986</v>
      </c>
      <c r="G21" s="14">
        <f>Conformance!J3</f>
        <v>45987</v>
      </c>
      <c r="H21" s="14">
        <f>Conformance!K3</f>
        <v>45988</v>
      </c>
      <c r="I21" s="14">
        <f>Conformance!L3</f>
        <v>45989</v>
      </c>
      <c r="J21" s="14">
        <f>Conformance!M3</f>
        <v>45990</v>
      </c>
      <c r="K21" s="14">
        <f>Conformance!N3</f>
        <v>45991</v>
      </c>
      <c r="L21" s="14">
        <f>Conformance!O3</f>
        <v>45992</v>
      </c>
      <c r="M21" s="14">
        <f>Conformance!P3</f>
        <v>45993</v>
      </c>
      <c r="N21" s="14">
        <f>Conformance!Q3</f>
        <v>45994</v>
      </c>
      <c r="O21" s="14">
        <f>Conformance!R3</f>
        <v>45995</v>
      </c>
      <c r="P21" s="14">
        <f>Conformance!S3</f>
        <v>45996</v>
      </c>
      <c r="Q21" s="14">
        <f>Conformance!T3</f>
        <v>45997</v>
      </c>
      <c r="R21" s="14">
        <f>Conformance!U3</f>
        <v>45998</v>
      </c>
      <c r="S21" s="14">
        <f>Conformance!V3</f>
        <v>45999</v>
      </c>
      <c r="T21" s="14">
        <f>Conformance!W3</f>
        <v>46000</v>
      </c>
      <c r="U21" s="14">
        <f>Conformance!X3</f>
        <v>46001</v>
      </c>
      <c r="V21" s="14">
        <f>Conformance!Y3</f>
        <v>46002</v>
      </c>
      <c r="W21" s="14">
        <f>Conformance!Z3</f>
        <v>46003</v>
      </c>
      <c r="X21" s="14">
        <f>Conformance!AA3</f>
        <v>46004</v>
      </c>
      <c r="Y21" s="14">
        <f>Conformance!AB3</f>
        <v>46005</v>
      </c>
      <c r="Z21" s="14">
        <f>Conformance!AC3</f>
        <v>46006</v>
      </c>
      <c r="AA21" s="14">
        <f>Conformance!AD3</f>
        <v>46007</v>
      </c>
      <c r="AB21" s="14">
        <f>Conformance!AE3</f>
        <v>46008</v>
      </c>
      <c r="AC21" s="14">
        <f>Conformance!AF3</f>
        <v>46009</v>
      </c>
      <c r="AD21" s="14">
        <f>Conformance!AG3</f>
        <v>46010</v>
      </c>
      <c r="AE21" s="14">
        <f>Conformance!AH3</f>
        <v>46011</v>
      </c>
      <c r="AF21" s="14">
        <f>Conformance!AI3</f>
        <v>46012</v>
      </c>
      <c r="AG21" s="13" t="s">
        <v>18</v>
      </c>
    </row>
    <row r="22" spans="1:33" ht="15.75" x14ac:dyDescent="0.25">
      <c r="A22" s="46" t="s">
        <v>1</v>
      </c>
      <c r="B22" s="8">
        <f>COUNTIF(FL!F:F,Summary!$A$22)+COUNTIF(FL!F:F,$A$13)</f>
        <v>23</v>
      </c>
      <c r="C22" s="8">
        <f>COUNTIF(FL!G:G,Summary!$A$22)+COUNTIF(FL!G:G,$A$13)</f>
        <v>28</v>
      </c>
      <c r="D22" s="8">
        <f>COUNTIF(FL!H:H,Summary!$A$22)+COUNTIF(FL!H:H,$A$13)</f>
        <v>30</v>
      </c>
      <c r="E22" s="8">
        <f>COUNTIF(FL!I:I,Summary!$A$22)+COUNTIF(FL!I:I,$A$13)</f>
        <v>28</v>
      </c>
      <c r="F22" s="8">
        <f>COUNTIF(FL!J:J,Summary!$A$22)+COUNTIF(FL!J:J,$A$13)</f>
        <v>28</v>
      </c>
      <c r="G22" s="8">
        <f>COUNTIF(FL!K:K,Summary!$A$22)+COUNTIF(FL!K:K,$A$13)</f>
        <v>31</v>
      </c>
      <c r="H22" s="8">
        <f>COUNTIF(FL!L:L,Summary!$A$22)+COUNTIF(FL!L:L,$A$13)</f>
        <v>30</v>
      </c>
      <c r="I22" s="8">
        <f>COUNTIF(FL!M:M,Summary!$A$22)+COUNTIF(FL!M:M,$A$13)</f>
        <v>26</v>
      </c>
      <c r="J22" s="8">
        <f>COUNTIF(FL!N:N,Summary!$A$22)+COUNTIF(FL!N:N,$A$13)</f>
        <v>28</v>
      </c>
      <c r="K22" s="8">
        <f>COUNTIF(FL!O:O,Summary!$A$22)+COUNTIF(FL!O:O,$A$13)</f>
        <v>28</v>
      </c>
      <c r="L22" s="8">
        <f>COUNTIF(FL!P:P,Summary!$A$22)+COUNTIF(FL!P:P,$A$13)</f>
        <v>34</v>
      </c>
      <c r="M22" s="8">
        <f>COUNTIF(FL!Q:Q,Summary!$A$22)+COUNTIF(FL!Q:Q,$A$13)</f>
        <v>34</v>
      </c>
      <c r="N22" s="8">
        <f>COUNTIF(FL!R:R,Summary!$A$22)+COUNTIF(FL!R:R,$A$13)</f>
        <v>32</v>
      </c>
      <c r="O22" s="8">
        <f>COUNTIF(FL!S:S,Summary!$A$22)+COUNTIF(FL!S:S,$A$13)</f>
        <v>34</v>
      </c>
      <c r="P22" s="8">
        <f>COUNTIF(FL!T:T,Summary!$A$22)+COUNTIF(FL!T:T,$A$13)</f>
        <v>26</v>
      </c>
      <c r="Q22" s="8">
        <f>COUNTIF(FL!U:U,Summary!$A$22)+COUNTIF(FL!U:U,$A$13)</f>
        <v>30</v>
      </c>
      <c r="R22" s="8">
        <f>COUNTIF(FL!V:V,Summary!$A$22)+COUNTIF(FL!V:V,$A$13)</f>
        <v>33</v>
      </c>
      <c r="S22" s="8">
        <f>COUNTIF(FL!W:W,Summary!$A$22)+COUNTIF(FL!W:W,$A$13)</f>
        <v>30</v>
      </c>
      <c r="T22" s="8">
        <f>COUNTIF(FL!X:X,Summary!$A$22)+COUNTIF(FL!X:X,$A$13)</f>
        <v>32</v>
      </c>
      <c r="U22" s="8">
        <f>COUNTIF(FL!Y:Y,Summary!$A$22)+COUNTIF(FL!Y:Y,$A$13)</f>
        <v>31</v>
      </c>
      <c r="V22" s="8">
        <f>COUNTIF(FL!Z:Z,Summary!$A$22)+COUNTIF(FL!Z:Z,$A$13)</f>
        <v>30</v>
      </c>
      <c r="W22" s="8">
        <f>COUNTIF(FL!AA:AA,Summary!$A$22)+COUNTIF(FL!AA:AA,$A$13)</f>
        <v>27</v>
      </c>
      <c r="X22" s="8">
        <f>COUNTIF(FL!AB:AB,Summary!$A$22)+COUNTIF(FL!AB:AB,$A$13)</f>
        <v>30</v>
      </c>
      <c r="Y22" s="8">
        <f>COUNTIF(FL!AC:AC,Summary!$A$22)+COUNTIF(FL!AC:AC,$A$13)</f>
        <v>0</v>
      </c>
      <c r="Z22" s="8">
        <f>COUNTIF(FL!AD:AD,Summary!$A$22)+COUNTIF(FL!AD:AD,$A$13)</f>
        <v>0</v>
      </c>
      <c r="AA22" s="8">
        <f>COUNTIF(FL!AE:AE,Summary!$A$22)+COUNTIF(FL!AE:AE,$A$13)</f>
        <v>0</v>
      </c>
      <c r="AB22" s="8">
        <f>COUNTIF(FL!AF:AF,Summary!$A$22)+COUNTIF(FL!AF:AF,$A$13)</f>
        <v>0</v>
      </c>
      <c r="AC22" s="8">
        <f>COUNTIF(FL!AG:AG,Summary!$A$22)+COUNTIF(FL!AG:AG,$A$13)</f>
        <v>0</v>
      </c>
      <c r="AD22" s="8">
        <f>COUNTIF(FL!AH:AH,Summary!$A$22)+COUNTIF(FL!AH:AH,$A$13)</f>
        <v>0</v>
      </c>
      <c r="AE22" s="8">
        <f>COUNTIF(FL!AI:AI,Summary!$A$22)+COUNTIF(FL!AI:AI,$A$13)</f>
        <v>0</v>
      </c>
      <c r="AF22" s="8">
        <f>COUNTIF(FL!AJ:AJ,Summary!$A$22)+COUNTIF(FL!AJ:AJ,$A$13)</f>
        <v>0</v>
      </c>
      <c r="AG22" s="8">
        <f t="shared" ref="AG22:AG31" si="4">SUM(B22:AF22)</f>
        <v>683</v>
      </c>
    </row>
    <row r="23" spans="1:33" ht="15.75" x14ac:dyDescent="0.25">
      <c r="A23" s="46" t="s">
        <v>2</v>
      </c>
      <c r="B23" s="8">
        <f>COUNTIF(FL!F:F,Summary!$A23)</f>
        <v>1</v>
      </c>
      <c r="C23" s="8">
        <f>COUNTIF(FL!G:G,Summary!$A23)</f>
        <v>0</v>
      </c>
      <c r="D23" s="8">
        <f>COUNTIF(FL!H:H,Summary!$A23)</f>
        <v>0</v>
      </c>
      <c r="E23" s="8">
        <f>COUNTIF(FL!I:I,Summary!$A23)</f>
        <v>2</v>
      </c>
      <c r="F23" s="8">
        <f>COUNTIF(FL!J:J,Summary!$A23)</f>
        <v>2</v>
      </c>
      <c r="G23" s="8">
        <f>COUNTIF(FL!K:K,Summary!$A23)</f>
        <v>0</v>
      </c>
      <c r="H23" s="8">
        <f>COUNTIF(FL!L:L,Summary!$A23)</f>
        <v>0</v>
      </c>
      <c r="I23" s="8">
        <f>COUNTIF(FL!M:M,Summary!$A23)</f>
        <v>1</v>
      </c>
      <c r="J23" s="8">
        <f>COUNTIF(FL!N:N,Summary!$A23)</f>
        <v>2</v>
      </c>
      <c r="K23" s="8">
        <f>COUNTIF(FL!O:O,Summary!$A23)</f>
        <v>1</v>
      </c>
      <c r="L23" s="8">
        <f>COUNTIF(FL!P:P,Summary!$A23)</f>
        <v>0</v>
      </c>
      <c r="M23" s="8">
        <f>COUNTIF(FL!Q:Q,Summary!$A23)</f>
        <v>1</v>
      </c>
      <c r="N23" s="8">
        <f>COUNTIF(FL!R:R,Summary!$A23)</f>
        <v>1</v>
      </c>
      <c r="O23" s="8">
        <f>COUNTIF(FL!S:S,Summary!$A23)</f>
        <v>0</v>
      </c>
      <c r="P23" s="8">
        <f>COUNTIF(FL!T:T,Summary!$A23)</f>
        <v>0</v>
      </c>
      <c r="Q23" s="8">
        <f>COUNTIF(FL!U:U,Summary!$A23)</f>
        <v>3</v>
      </c>
      <c r="R23" s="8">
        <f>COUNTIF(FL!V:V,Summary!$A23)</f>
        <v>2</v>
      </c>
      <c r="S23" s="8">
        <f>COUNTIF(FL!W:W,Summary!$A23)</f>
        <v>5</v>
      </c>
      <c r="T23" s="8">
        <f>COUNTIF(FL!X:X,Summary!$A23)</f>
        <v>4</v>
      </c>
      <c r="U23" s="8">
        <f>COUNTIF(FL!Y:Y,Summary!$A23)</f>
        <v>6</v>
      </c>
      <c r="V23" s="8">
        <f>COUNTIF(FL!Z:Z,Summary!$A23)</f>
        <v>4</v>
      </c>
      <c r="W23" s="8">
        <f>COUNTIF(FL!AA:AA,Summary!$A23)</f>
        <v>1</v>
      </c>
      <c r="X23" s="8">
        <f>COUNTIF(FL!AB:AB,Summary!$A23)</f>
        <v>2</v>
      </c>
      <c r="Y23" s="8">
        <f>COUNTIF(FL!AC:AC,Summary!$A23)</f>
        <v>0</v>
      </c>
      <c r="Z23" s="8">
        <f>COUNTIF(FL!AD:AD,Summary!$A23)</f>
        <v>0</v>
      </c>
      <c r="AA23" s="8">
        <f>COUNTIF(FL!AE:AE,Summary!$A23)</f>
        <v>0</v>
      </c>
      <c r="AB23" s="8">
        <f>COUNTIF(FL!AF:AF,Summary!$A23)</f>
        <v>0</v>
      </c>
      <c r="AC23" s="8">
        <f>COUNTIF(FL!AG:AG,Summary!$A23)</f>
        <v>0</v>
      </c>
      <c r="AD23" s="8">
        <f>COUNTIF(FL!AH:AH,Summary!$A23)</f>
        <v>0</v>
      </c>
      <c r="AE23" s="8">
        <f>COUNTIF(FL!AI:AI,Summary!$A23)</f>
        <v>0</v>
      </c>
      <c r="AF23" s="8">
        <f>COUNTIF(FL!AJ:AJ,Summary!$A23)</f>
        <v>0</v>
      </c>
      <c r="AG23" s="8">
        <f t="shared" si="4"/>
        <v>38</v>
      </c>
    </row>
    <row r="24" spans="1:33" ht="15.75" x14ac:dyDescent="0.25">
      <c r="A24" s="46" t="s">
        <v>8</v>
      </c>
      <c r="B24" s="8">
        <f>COUNTIF(FL!F:F,Summary!$A24)</f>
        <v>0</v>
      </c>
      <c r="C24" s="8">
        <f>COUNTIF(FL!G:G,Summary!$A24)</f>
        <v>0</v>
      </c>
      <c r="D24" s="8">
        <f>COUNTIF(FL!H:H,Summary!$A24)</f>
        <v>0</v>
      </c>
      <c r="E24" s="8">
        <f>COUNTIF(FL!I:I,Summary!$A24)</f>
        <v>0</v>
      </c>
      <c r="F24" s="8">
        <f>COUNTIF(FL!J:J,Summary!$A24)</f>
        <v>0</v>
      </c>
      <c r="G24" s="8">
        <f>COUNTIF(FL!K:K,Summary!$A24)</f>
        <v>1</v>
      </c>
      <c r="H24" s="8">
        <f>COUNTIF(FL!L:L,Summary!$A24)</f>
        <v>0</v>
      </c>
      <c r="I24" s="8">
        <f>COUNTIF(FL!M:M,Summary!$A24)</f>
        <v>0</v>
      </c>
      <c r="J24" s="8">
        <f>COUNTIF(FL!N:N,Summary!$A24)</f>
        <v>0</v>
      </c>
      <c r="K24" s="8">
        <f>COUNTIF(FL!O:O,Summary!$A24)</f>
        <v>0</v>
      </c>
      <c r="L24" s="8">
        <f>COUNTIF(FL!P:P,Summary!$A24)</f>
        <v>0</v>
      </c>
      <c r="M24" s="8">
        <f>COUNTIF(FL!Q:Q,Summary!$A24)</f>
        <v>0</v>
      </c>
      <c r="N24" s="8">
        <f>COUNTIF(FL!R:R,Summary!$A24)</f>
        <v>0</v>
      </c>
      <c r="O24" s="8">
        <f>COUNTIF(FL!S:S,Summary!$A24)</f>
        <v>0</v>
      </c>
      <c r="P24" s="8">
        <f>COUNTIF(FL!T:T,Summary!$A24)</f>
        <v>0</v>
      </c>
      <c r="Q24" s="8">
        <f>COUNTIF(FL!U:U,Summary!$A24)</f>
        <v>0</v>
      </c>
      <c r="R24" s="8">
        <f>COUNTIF(FL!V:V,Summary!$A24)</f>
        <v>0</v>
      </c>
      <c r="S24" s="8">
        <f>COUNTIF(FL!W:W,Summary!$A24)</f>
        <v>0</v>
      </c>
      <c r="T24" s="8">
        <f>COUNTIF(FL!X:X,Summary!$A24)</f>
        <v>0</v>
      </c>
      <c r="U24" s="8">
        <f>COUNTIF(FL!Y:Y,Summary!$A24)</f>
        <v>0</v>
      </c>
      <c r="V24" s="8">
        <f>COUNTIF(FL!Z:Z,Summary!$A24)</f>
        <v>0</v>
      </c>
      <c r="W24" s="8">
        <f>COUNTIF(FL!AA:AA,Summary!$A24)</f>
        <v>0</v>
      </c>
      <c r="X24" s="8">
        <f>COUNTIF(FL!AB:AB,Summary!$A24)</f>
        <v>0</v>
      </c>
      <c r="Y24" s="8">
        <f>COUNTIF(FL!AC:AC,Summary!$A24)</f>
        <v>0</v>
      </c>
      <c r="Z24" s="8">
        <f>COUNTIF(FL!AD:AD,Summary!$A24)</f>
        <v>0</v>
      </c>
      <c r="AA24" s="8">
        <f>COUNTIF(FL!AE:AE,Summary!$A24)</f>
        <v>0</v>
      </c>
      <c r="AB24" s="8">
        <f>COUNTIF(FL!AF:AF,Summary!$A24)</f>
        <v>0</v>
      </c>
      <c r="AC24" s="8">
        <f>COUNTIF(FL!AG:AG,Summary!$A24)</f>
        <v>0</v>
      </c>
      <c r="AD24" s="8">
        <f>COUNTIF(FL!AH:AH,Summary!$A24)</f>
        <v>0</v>
      </c>
      <c r="AE24" s="8">
        <f>COUNTIF(FL!AI:AI,Summary!$A24)</f>
        <v>0</v>
      </c>
      <c r="AF24" s="8">
        <f>COUNTIF(FL!AJ:AJ,Summary!$A24)</f>
        <v>0</v>
      </c>
      <c r="AG24" s="8">
        <f t="shared" si="4"/>
        <v>1</v>
      </c>
    </row>
    <row r="25" spans="1:33" ht="15.75" x14ac:dyDescent="0.25">
      <c r="A25" s="46" t="s">
        <v>9</v>
      </c>
      <c r="B25" s="8">
        <f>COUNTIF(FL!F:F,Summary!$A25)</f>
        <v>0</v>
      </c>
      <c r="C25" s="8">
        <f>COUNTIF(FL!G:G,Summary!$A25)</f>
        <v>0</v>
      </c>
      <c r="D25" s="8">
        <f>COUNTIF(FL!H:H,Summary!$A25)</f>
        <v>0</v>
      </c>
      <c r="E25" s="8">
        <f>COUNTIF(FL!I:I,Summary!$A25)</f>
        <v>0</v>
      </c>
      <c r="F25" s="8">
        <f>COUNTIF(FL!J:J,Summary!$A25)</f>
        <v>0</v>
      </c>
      <c r="G25" s="8">
        <f>COUNTIF(FL!K:K,Summary!$A25)</f>
        <v>0</v>
      </c>
      <c r="H25" s="8">
        <f>COUNTIF(FL!L:L,Summary!$A25)</f>
        <v>0</v>
      </c>
      <c r="I25" s="8">
        <f>COUNTIF(FL!M:M,Summary!$A25)</f>
        <v>0</v>
      </c>
      <c r="J25" s="8">
        <f>COUNTIF(FL!N:N,Summary!$A25)</f>
        <v>0</v>
      </c>
      <c r="K25" s="8">
        <f>COUNTIF(FL!O:O,Summary!$A25)</f>
        <v>0</v>
      </c>
      <c r="L25" s="8">
        <f>COUNTIF(FL!P:P,Summary!$A25)</f>
        <v>0</v>
      </c>
      <c r="M25" s="8">
        <f>COUNTIF(FL!Q:Q,Summary!$A25)</f>
        <v>0</v>
      </c>
      <c r="N25" s="8">
        <f>COUNTIF(FL!R:R,Summary!$A25)</f>
        <v>0</v>
      </c>
      <c r="O25" s="8">
        <f>COUNTIF(FL!S:S,Summary!$A25)</f>
        <v>0</v>
      </c>
      <c r="P25" s="8">
        <f>COUNTIF(FL!T:T,Summary!$A25)</f>
        <v>0</v>
      </c>
      <c r="Q25" s="8">
        <f>COUNTIF(FL!U:U,Summary!$A25)</f>
        <v>0</v>
      </c>
      <c r="R25" s="8">
        <f>COUNTIF(FL!V:V,Summary!$A25)</f>
        <v>0</v>
      </c>
      <c r="S25" s="8">
        <f>COUNTIF(FL!W:W,Summary!$A25)</f>
        <v>0</v>
      </c>
      <c r="T25" s="8">
        <f>COUNTIF(FL!X:X,Summary!$A25)</f>
        <v>0</v>
      </c>
      <c r="U25" s="8">
        <f>COUNTIF(FL!Y:Y,Summary!$A25)</f>
        <v>0</v>
      </c>
      <c r="V25" s="8">
        <f>COUNTIF(FL!Z:Z,Summary!$A25)</f>
        <v>0</v>
      </c>
      <c r="W25" s="8">
        <f>COUNTIF(FL!AA:AA,Summary!$A25)</f>
        <v>0</v>
      </c>
      <c r="X25" s="8">
        <f>COUNTIF(FL!AB:AB,Summary!$A25)</f>
        <v>0</v>
      </c>
      <c r="Y25" s="8">
        <f>COUNTIF(FL!AC:AC,Summary!$A25)</f>
        <v>0</v>
      </c>
      <c r="Z25" s="8">
        <f>COUNTIF(FL!AD:AD,Summary!$A25)</f>
        <v>0</v>
      </c>
      <c r="AA25" s="8">
        <f>COUNTIF(FL!AE:AE,Summary!$A25)</f>
        <v>0</v>
      </c>
      <c r="AB25" s="8">
        <f>COUNTIF(FL!AF:AF,Summary!$A25)</f>
        <v>0</v>
      </c>
      <c r="AC25" s="8">
        <f>COUNTIF(FL!AG:AG,Summary!$A25)</f>
        <v>0</v>
      </c>
      <c r="AD25" s="8">
        <f>COUNTIF(FL!AH:AH,Summary!$A25)</f>
        <v>0</v>
      </c>
      <c r="AE25" s="8">
        <f>COUNTIF(FL!AI:AI,Summary!$A25)</f>
        <v>0</v>
      </c>
      <c r="AF25" s="8">
        <f>COUNTIF(FL!AJ:AJ,Summary!$A25)</f>
        <v>0</v>
      </c>
      <c r="AG25" s="8">
        <f t="shared" si="4"/>
        <v>0</v>
      </c>
    </row>
    <row r="26" spans="1:33" ht="15.75" x14ac:dyDescent="0.25">
      <c r="A26" s="46" t="s">
        <v>28</v>
      </c>
      <c r="B26" s="8">
        <f>COUNTIF(FL!F:F,Summary!$A26)</f>
        <v>0</v>
      </c>
      <c r="C26" s="8">
        <f>COUNTIF(FL!G:G,Summary!$A26)</f>
        <v>0</v>
      </c>
      <c r="D26" s="8">
        <f>COUNTIF(FL!H:H,Summary!$A26)</f>
        <v>0</v>
      </c>
      <c r="E26" s="8">
        <f>COUNTIF(FL!I:I,Summary!$A26)</f>
        <v>0</v>
      </c>
      <c r="F26" s="8">
        <f>COUNTIF(FL!J:J,Summary!$A26)</f>
        <v>0</v>
      </c>
      <c r="G26" s="8">
        <f>COUNTIF(FL!K:K,Summary!$A26)</f>
        <v>0</v>
      </c>
      <c r="H26" s="8">
        <f>COUNTIF(FL!L:L,Summary!$A26)</f>
        <v>0</v>
      </c>
      <c r="I26" s="8">
        <f>COUNTIF(FL!M:M,Summary!$A26)</f>
        <v>0</v>
      </c>
      <c r="J26" s="8">
        <f>COUNTIF(FL!N:N,Summary!$A26)</f>
        <v>0</v>
      </c>
      <c r="K26" s="8">
        <f>COUNTIF(FL!O:O,Summary!$A26)</f>
        <v>0</v>
      </c>
      <c r="L26" s="8">
        <f>COUNTIF(FL!P:P,Summary!$A26)</f>
        <v>0</v>
      </c>
      <c r="M26" s="8">
        <f>COUNTIF(FL!Q:Q,Summary!$A26)</f>
        <v>0</v>
      </c>
      <c r="N26" s="8">
        <f>COUNTIF(FL!R:R,Summary!$A26)</f>
        <v>0</v>
      </c>
      <c r="O26" s="8">
        <f>COUNTIF(FL!S:S,Summary!$A26)</f>
        <v>0</v>
      </c>
      <c r="P26" s="8">
        <f>COUNTIF(FL!T:T,Summary!$A26)</f>
        <v>0</v>
      </c>
      <c r="Q26" s="8">
        <f>COUNTIF(FL!U:U,Summary!$A26)</f>
        <v>0</v>
      </c>
      <c r="R26" s="8">
        <f>COUNTIF(FL!V:V,Summary!$A26)</f>
        <v>0</v>
      </c>
      <c r="S26" s="8">
        <f>COUNTIF(FL!W:W,Summary!$A26)</f>
        <v>0</v>
      </c>
      <c r="T26" s="8">
        <f>COUNTIF(FL!X:X,Summary!$A26)</f>
        <v>0</v>
      </c>
      <c r="U26" s="8">
        <f>COUNTIF(FL!Y:Y,Summary!$A26)</f>
        <v>0</v>
      </c>
      <c r="V26" s="8">
        <f>COUNTIF(FL!Z:Z,Summary!$A26)</f>
        <v>0</v>
      </c>
      <c r="W26" s="8">
        <f>COUNTIF(FL!AA:AA,Summary!$A26)</f>
        <v>0</v>
      </c>
      <c r="X26" s="8">
        <f>COUNTIF(FL!AB:AB,Summary!$A26)</f>
        <v>0</v>
      </c>
      <c r="Y26" s="8">
        <f>COUNTIF(FL!AC:AC,Summary!$A26)</f>
        <v>0</v>
      </c>
      <c r="Z26" s="8">
        <f>COUNTIF(FL!AD:AD,Summary!$A26)</f>
        <v>0</v>
      </c>
      <c r="AA26" s="8">
        <f>COUNTIF(FL!AE:AE,Summary!$A26)</f>
        <v>0</v>
      </c>
      <c r="AB26" s="8">
        <f>COUNTIF(FL!AF:AF,Summary!$A26)</f>
        <v>0</v>
      </c>
      <c r="AC26" s="8">
        <f>COUNTIF(FL!AG:AG,Summary!$A26)</f>
        <v>0</v>
      </c>
      <c r="AD26" s="8">
        <f>COUNTIF(FL!AH:AH,Summary!$A26)</f>
        <v>0</v>
      </c>
      <c r="AE26" s="8">
        <f>COUNTIF(FL!AI:AI,Summary!$A26)</f>
        <v>0</v>
      </c>
      <c r="AF26" s="8">
        <f>COUNTIF(FL!AJ:AJ,Summary!$A26)</f>
        <v>0</v>
      </c>
      <c r="AG26" s="8">
        <f t="shared" si="4"/>
        <v>0</v>
      </c>
    </row>
    <row r="27" spans="1:33" ht="15.75" x14ac:dyDescent="0.25">
      <c r="A27" s="46" t="s">
        <v>7</v>
      </c>
      <c r="B27" s="8">
        <f>COUNTIF(FL!F:F,Summary!$A27)</f>
        <v>0</v>
      </c>
      <c r="C27" s="8">
        <f>COUNTIF(FL!G:G,Summary!$A27)</f>
        <v>0</v>
      </c>
      <c r="D27" s="8">
        <f>COUNTIF(FL!H:H,Summary!$A27)</f>
        <v>0</v>
      </c>
      <c r="E27" s="8">
        <f>COUNTIF(FL!I:I,Summary!$A27)</f>
        <v>0</v>
      </c>
      <c r="F27" s="8">
        <f>COUNTIF(FL!J:J,Summary!$A27)</f>
        <v>0</v>
      </c>
      <c r="G27" s="8">
        <f>COUNTIF(FL!K:K,Summary!$A27)</f>
        <v>0</v>
      </c>
      <c r="H27" s="8">
        <f>COUNTIF(FL!L:L,Summary!$A27)</f>
        <v>0</v>
      </c>
      <c r="I27" s="8">
        <f>COUNTIF(FL!M:M,Summary!$A27)</f>
        <v>0</v>
      </c>
      <c r="J27" s="8">
        <f>COUNTIF(FL!N:N,Summary!$A27)</f>
        <v>0</v>
      </c>
      <c r="K27" s="8">
        <f>COUNTIF(FL!O:O,Summary!$A27)</f>
        <v>0</v>
      </c>
      <c r="L27" s="8">
        <f>COUNTIF(FL!P:P,Summary!$A27)</f>
        <v>0</v>
      </c>
      <c r="M27" s="8">
        <f>COUNTIF(FL!Q:Q,Summary!$A27)</f>
        <v>0</v>
      </c>
      <c r="N27" s="8">
        <f>COUNTIF(FL!R:R,Summary!$A27)</f>
        <v>0</v>
      </c>
      <c r="O27" s="8">
        <f>COUNTIF(FL!S:S,Summary!$A27)</f>
        <v>0</v>
      </c>
      <c r="P27" s="8">
        <f>COUNTIF(FL!T:T,Summary!$A27)</f>
        <v>0</v>
      </c>
      <c r="Q27" s="8">
        <f>COUNTIF(FL!U:U,Summary!$A27)</f>
        <v>0</v>
      </c>
      <c r="R27" s="8">
        <f>COUNTIF(FL!V:V,Summary!$A27)</f>
        <v>0</v>
      </c>
      <c r="S27" s="8">
        <f>COUNTIF(FL!W:W,Summary!$A27)</f>
        <v>0</v>
      </c>
      <c r="T27" s="8">
        <f>COUNTIF(FL!X:X,Summary!$A27)</f>
        <v>0</v>
      </c>
      <c r="U27" s="8">
        <f>COUNTIF(FL!Y:Y,Summary!$A27)</f>
        <v>0</v>
      </c>
      <c r="V27" s="8">
        <f>COUNTIF(FL!Z:Z,Summary!$A27)</f>
        <v>0</v>
      </c>
      <c r="W27" s="8">
        <f>COUNTIF(FL!AA:AA,Summary!$A27)</f>
        <v>0</v>
      </c>
      <c r="X27" s="8">
        <f>COUNTIF(FL!AB:AB,Summary!$A27)</f>
        <v>0</v>
      </c>
      <c r="Y27" s="8">
        <f>COUNTIF(FL!AC:AC,Summary!$A27)</f>
        <v>0</v>
      </c>
      <c r="Z27" s="8">
        <f>COUNTIF(FL!AD:AD,Summary!$A27)</f>
        <v>0</v>
      </c>
      <c r="AA27" s="8">
        <f>COUNTIF(FL!AE:AE,Summary!$A27)</f>
        <v>0</v>
      </c>
      <c r="AB27" s="8">
        <f>COUNTIF(FL!AF:AF,Summary!$A27)</f>
        <v>0</v>
      </c>
      <c r="AC27" s="8">
        <f>COUNTIF(FL!AG:AG,Summary!$A27)</f>
        <v>0</v>
      </c>
      <c r="AD27" s="8">
        <f>COUNTIF(FL!AH:AH,Summary!$A27)</f>
        <v>0</v>
      </c>
      <c r="AE27" s="8">
        <f>COUNTIF(FL!AI:AI,Summary!$A27)</f>
        <v>0</v>
      </c>
      <c r="AF27" s="8">
        <f>COUNTIF(FL!AJ:AJ,Summary!$A27)</f>
        <v>0</v>
      </c>
      <c r="AG27" s="8">
        <f t="shared" si="4"/>
        <v>0</v>
      </c>
    </row>
    <row r="28" spans="1:33" ht="15.75" x14ac:dyDescent="0.25">
      <c r="A28" s="46" t="s">
        <v>21</v>
      </c>
      <c r="B28" s="8">
        <f>COUNTIF(FL!F:F,Summary!$A28)</f>
        <v>0</v>
      </c>
      <c r="C28" s="8">
        <f>COUNTIF(FL!G:G,Summary!$A28)</f>
        <v>0</v>
      </c>
      <c r="D28" s="8">
        <f>COUNTIF(FL!H:H,Summary!$A28)</f>
        <v>0</v>
      </c>
      <c r="E28" s="8">
        <f>COUNTIF(FL!I:I,Summary!$A28)</f>
        <v>0</v>
      </c>
      <c r="F28" s="8">
        <f>COUNTIF(FL!J:J,Summary!$A28)</f>
        <v>0</v>
      </c>
      <c r="G28" s="8">
        <f>COUNTIF(FL!K:K,Summary!$A28)</f>
        <v>0</v>
      </c>
      <c r="H28" s="8">
        <f>COUNTIF(FL!L:L,Summary!$A28)</f>
        <v>0</v>
      </c>
      <c r="I28" s="8">
        <f>COUNTIF(FL!M:M,Summary!$A28)</f>
        <v>0</v>
      </c>
      <c r="J28" s="8">
        <f>COUNTIF(FL!N:N,Summary!$A28)</f>
        <v>0</v>
      </c>
      <c r="K28" s="8">
        <f>COUNTIF(FL!O:O,Summary!$A28)</f>
        <v>1</v>
      </c>
      <c r="L28" s="8">
        <f>COUNTIF(FL!P:P,Summary!$A28)</f>
        <v>0</v>
      </c>
      <c r="M28" s="8">
        <f>COUNTIF(FL!Q:Q,Summary!$A28)</f>
        <v>0</v>
      </c>
      <c r="N28" s="8">
        <f>COUNTIF(FL!R:R,Summary!$A28)</f>
        <v>1</v>
      </c>
      <c r="O28" s="8">
        <f>COUNTIF(FL!S:S,Summary!$A28)</f>
        <v>0</v>
      </c>
      <c r="P28" s="8">
        <f>COUNTIF(FL!T:T,Summary!$A28)</f>
        <v>0</v>
      </c>
      <c r="Q28" s="8">
        <f>COUNTIF(FL!U:U,Summary!$A28)</f>
        <v>0</v>
      </c>
      <c r="R28" s="8">
        <f>COUNTIF(FL!V:V,Summary!$A28)</f>
        <v>0</v>
      </c>
      <c r="S28" s="8">
        <f>COUNTIF(FL!W:W,Summary!$A28)</f>
        <v>0</v>
      </c>
      <c r="T28" s="8">
        <f>COUNTIF(FL!X:X,Summary!$A28)</f>
        <v>0</v>
      </c>
      <c r="U28" s="8">
        <f>COUNTIF(FL!Y:Y,Summary!$A28)</f>
        <v>0</v>
      </c>
      <c r="V28" s="8">
        <f>COUNTIF(FL!Z:Z,Summary!$A28)</f>
        <v>0</v>
      </c>
      <c r="W28" s="8">
        <f>COUNTIF(FL!AA:AA,Summary!$A28)</f>
        <v>0</v>
      </c>
      <c r="X28" s="8">
        <f>COUNTIF(FL!AB:AB,Summary!$A28)</f>
        <v>0</v>
      </c>
      <c r="Y28" s="8">
        <f>COUNTIF(FL!AC:AC,Summary!$A28)</f>
        <v>0</v>
      </c>
      <c r="Z28" s="8">
        <f>COUNTIF(FL!AD:AD,Summary!$A28)</f>
        <v>0</v>
      </c>
      <c r="AA28" s="8">
        <f>COUNTIF(FL!AE:AE,Summary!$A28)</f>
        <v>0</v>
      </c>
      <c r="AB28" s="8">
        <f>COUNTIF(FL!AF:AF,Summary!$A28)</f>
        <v>0</v>
      </c>
      <c r="AC28" s="8">
        <f>COUNTIF(FL!AG:AG,Summary!$A28)</f>
        <v>0</v>
      </c>
      <c r="AD28" s="8">
        <f>COUNTIF(FL!AH:AH,Summary!$A28)</f>
        <v>0</v>
      </c>
      <c r="AE28" s="8">
        <f>COUNTIF(FL!AI:AI,Summary!$A28)</f>
        <v>0</v>
      </c>
      <c r="AF28" s="8">
        <f>COUNTIF(FL!AJ:AJ,Summary!$A28)</f>
        <v>0</v>
      </c>
      <c r="AG28" s="8">
        <f t="shared" si="4"/>
        <v>2</v>
      </c>
    </row>
    <row r="29" spans="1:33" ht="15.75" x14ac:dyDescent="0.25">
      <c r="A29" s="46" t="s">
        <v>31</v>
      </c>
      <c r="B29" s="8">
        <f>COUNTIF(FL!F:F,Summary!$A29)</f>
        <v>0</v>
      </c>
      <c r="C29" s="8">
        <f>COUNTIF(FL!G:G,Summary!$A29)</f>
        <v>0</v>
      </c>
      <c r="D29" s="8">
        <f>COUNTIF(FL!H:H,Summary!$A29)</f>
        <v>0</v>
      </c>
      <c r="E29" s="8">
        <f>COUNTIF(FL!I:I,Summary!$A29)</f>
        <v>0</v>
      </c>
      <c r="F29" s="8">
        <f>COUNTIF(FL!J:J,Summary!$A29)</f>
        <v>0</v>
      </c>
      <c r="G29" s="8">
        <f>COUNTIF(FL!K:K,Summary!$A29)</f>
        <v>0</v>
      </c>
      <c r="H29" s="8">
        <f>COUNTIF(FL!L:L,Summary!$A29)</f>
        <v>0</v>
      </c>
      <c r="I29" s="8">
        <f>COUNTIF(FL!M:M,Summary!$A29)</f>
        <v>0</v>
      </c>
      <c r="J29" s="8">
        <f>COUNTIF(FL!N:N,Summary!$A29)</f>
        <v>0</v>
      </c>
      <c r="K29" s="8">
        <f>COUNTIF(FL!O:O,Summary!$A29)</f>
        <v>0</v>
      </c>
      <c r="L29" s="8">
        <f>COUNTIF(FL!P:P,Summary!$A29)</f>
        <v>0</v>
      </c>
      <c r="M29" s="8">
        <f>COUNTIF(FL!Q:Q,Summary!$A29)</f>
        <v>1</v>
      </c>
      <c r="N29" s="8">
        <f>COUNTIF(FL!R:R,Summary!$A29)</f>
        <v>2</v>
      </c>
      <c r="O29" s="8">
        <f>COUNTIF(FL!S:S,Summary!$A29)</f>
        <v>2</v>
      </c>
      <c r="P29" s="8">
        <f>COUNTIF(FL!T:T,Summary!$A29)</f>
        <v>2</v>
      </c>
      <c r="Q29" s="8">
        <f>COUNTIF(FL!U:U,Summary!$A29)</f>
        <v>2</v>
      </c>
      <c r="R29" s="8">
        <f>COUNTIF(FL!V:V,Summary!$A29)</f>
        <v>2</v>
      </c>
      <c r="S29" s="8">
        <f>COUNTIF(FL!W:W,Summary!$A29)</f>
        <v>2</v>
      </c>
      <c r="T29" s="8">
        <f>COUNTIF(FL!X:X,Summary!$A29)</f>
        <v>2</v>
      </c>
      <c r="U29" s="8">
        <f>COUNTIF(FL!Y:Y,Summary!$A29)</f>
        <v>2</v>
      </c>
      <c r="V29" s="8">
        <f>COUNTIF(FL!Z:Z,Summary!$A29)</f>
        <v>2</v>
      </c>
      <c r="W29" s="8">
        <f>COUNTIF(FL!AA:AA,Summary!$A29)</f>
        <v>2</v>
      </c>
      <c r="X29" s="8">
        <f>COUNTIF(FL!AB:AB,Summary!$A29)</f>
        <v>2</v>
      </c>
      <c r="Y29" s="8">
        <f>COUNTIF(FL!AC:AC,Summary!$A29)</f>
        <v>0</v>
      </c>
      <c r="Z29" s="8">
        <f>COUNTIF(FL!AD:AD,Summary!$A29)</f>
        <v>0</v>
      </c>
      <c r="AA29" s="8">
        <f>COUNTIF(FL!AE:AE,Summary!$A29)</f>
        <v>0</v>
      </c>
      <c r="AB29" s="8">
        <f>COUNTIF(FL!AF:AF,Summary!$A29)</f>
        <v>0</v>
      </c>
      <c r="AC29" s="8">
        <f>COUNTIF(FL!AG:AG,Summary!$A29)</f>
        <v>0</v>
      </c>
      <c r="AD29" s="8">
        <f>COUNTIF(FL!AH:AH,Summary!$A29)</f>
        <v>0</v>
      </c>
      <c r="AE29" s="8">
        <f>COUNTIF(FL!AI:AI,Summary!$A29)</f>
        <v>0</v>
      </c>
      <c r="AF29" s="8">
        <f>COUNTIF(FL!AJ:AJ,Summary!$A29)</f>
        <v>0</v>
      </c>
      <c r="AG29" s="8">
        <f t="shared" si="4"/>
        <v>23</v>
      </c>
    </row>
    <row r="30" spans="1:33" ht="15.75" x14ac:dyDescent="0.25">
      <c r="A30" s="46" t="s">
        <v>10</v>
      </c>
      <c r="B30" s="8">
        <f>COUNTIF(FL!F:F,Summary!$A30)</f>
        <v>0</v>
      </c>
      <c r="C30" s="8">
        <f>COUNTIF(FL!G:G,Summary!$A30)</f>
        <v>0</v>
      </c>
      <c r="D30" s="8">
        <f>COUNTIF(FL!H:H,Summary!$A30)</f>
        <v>0</v>
      </c>
      <c r="E30" s="8">
        <f>COUNTIF(FL!I:I,Summary!$A30)</f>
        <v>0</v>
      </c>
      <c r="F30" s="8">
        <f>COUNTIF(FL!J:J,Summary!$A30)</f>
        <v>0</v>
      </c>
      <c r="G30" s="8">
        <f>COUNTIF(FL!K:K,Summary!$A30)</f>
        <v>0</v>
      </c>
      <c r="H30" s="8">
        <f>COUNTIF(FL!L:L,Summary!$A30)</f>
        <v>0</v>
      </c>
      <c r="I30" s="8">
        <f>COUNTIF(FL!M:M,Summary!$A30)</f>
        <v>0</v>
      </c>
      <c r="J30" s="8">
        <f>COUNTIF(FL!N:N,Summary!$A30)</f>
        <v>0</v>
      </c>
      <c r="K30" s="8">
        <f>COUNTIF(FL!O:O,Summary!$A30)</f>
        <v>0</v>
      </c>
      <c r="L30" s="8">
        <f>COUNTIF(FL!P:P,Summary!$A30)</f>
        <v>0</v>
      </c>
      <c r="M30" s="8">
        <f>COUNTIF(FL!Q:Q,Summary!$A30)</f>
        <v>0</v>
      </c>
      <c r="N30" s="8">
        <f>COUNTIF(FL!R:R,Summary!$A30)</f>
        <v>2</v>
      </c>
      <c r="O30" s="8">
        <f>COUNTIF(FL!S:S,Summary!$A30)</f>
        <v>2</v>
      </c>
      <c r="P30" s="8">
        <f>COUNTIF(FL!T:T,Summary!$A30)</f>
        <v>2</v>
      </c>
      <c r="Q30" s="8">
        <f>COUNTIF(FL!U:U,Summary!$A30)</f>
        <v>2</v>
      </c>
      <c r="R30" s="8">
        <f>COUNTIF(FL!V:V,Summary!$A30)</f>
        <v>2</v>
      </c>
      <c r="S30" s="8">
        <f>COUNTIF(FL!W:W,Summary!$A30)</f>
        <v>1</v>
      </c>
      <c r="T30" s="8">
        <f>COUNTIF(FL!X:X,Summary!$A30)</f>
        <v>1</v>
      </c>
      <c r="U30" s="8">
        <f>COUNTIF(FL!Y:Y,Summary!$A30)</f>
        <v>1</v>
      </c>
      <c r="V30" s="8">
        <f>COUNTIF(FL!Z:Z,Summary!$A30)</f>
        <v>1</v>
      </c>
      <c r="W30" s="8">
        <f>COUNTIF(FL!AA:AA,Summary!$A30)</f>
        <v>1</v>
      </c>
      <c r="X30" s="8">
        <f>COUNTIF(FL!AB:AB,Summary!$A30)</f>
        <v>1</v>
      </c>
      <c r="Y30" s="8">
        <f>COUNTIF(FL!AC:AC,Summary!$A30)</f>
        <v>0</v>
      </c>
      <c r="Z30" s="8">
        <f>COUNTIF(FL!AD:AD,Summary!$A30)</f>
        <v>0</v>
      </c>
      <c r="AA30" s="8">
        <f>COUNTIF(FL!AE:AE,Summary!$A30)</f>
        <v>0</v>
      </c>
      <c r="AB30" s="8">
        <f>COUNTIF(FL!AF:AF,Summary!$A30)</f>
        <v>0</v>
      </c>
      <c r="AC30" s="8">
        <f>COUNTIF(FL!AG:AG,Summary!$A30)</f>
        <v>0</v>
      </c>
      <c r="AD30" s="8">
        <f>COUNTIF(FL!AH:AH,Summary!$A30)</f>
        <v>0</v>
      </c>
      <c r="AE30" s="8">
        <f>COUNTIF(FL!AI:AI,Summary!$A30)</f>
        <v>0</v>
      </c>
      <c r="AF30" s="8">
        <f>COUNTIF(FL!AJ:AJ,Summary!$A30)</f>
        <v>0</v>
      </c>
      <c r="AG30" s="8">
        <f t="shared" si="4"/>
        <v>16</v>
      </c>
    </row>
    <row r="31" spans="1:33" ht="15.75" x14ac:dyDescent="0.25">
      <c r="A31" s="46" t="s">
        <v>3</v>
      </c>
      <c r="B31" s="8">
        <f>COUNTIF(FL!F:F,Summary!$A31)</f>
        <v>14</v>
      </c>
      <c r="C31" s="8">
        <f>COUNTIF(FL!G:G,Summary!$A31)</f>
        <v>10</v>
      </c>
      <c r="D31" s="8">
        <f>COUNTIF(FL!H:H,Summary!$A31)</f>
        <v>8</v>
      </c>
      <c r="E31" s="8">
        <f>COUNTIF(FL!I:I,Summary!$A31)</f>
        <v>8</v>
      </c>
      <c r="F31" s="8">
        <f>COUNTIF(FL!J:J,Summary!$A31)</f>
        <v>8</v>
      </c>
      <c r="G31" s="8">
        <f>COUNTIF(FL!K:K,Summary!$A31)</f>
        <v>6</v>
      </c>
      <c r="H31" s="8">
        <f>COUNTIF(FL!L:L,Summary!$A31)</f>
        <v>8</v>
      </c>
      <c r="I31" s="8">
        <f>COUNTIF(FL!M:M,Summary!$A31)</f>
        <v>11</v>
      </c>
      <c r="J31" s="8">
        <f>COUNTIF(FL!N:N,Summary!$A31)</f>
        <v>8</v>
      </c>
      <c r="K31" s="8">
        <f>COUNTIF(FL!O:O,Summary!$A31)</f>
        <v>8</v>
      </c>
      <c r="L31" s="8">
        <f>COUNTIF(FL!P:P,Summary!$A31)</f>
        <v>4</v>
      </c>
      <c r="M31" s="8">
        <f>COUNTIF(FL!Q:Q,Summary!$A31)</f>
        <v>9</v>
      </c>
      <c r="N31" s="8">
        <f>COUNTIF(FL!R:R,Summary!$A31)</f>
        <v>10</v>
      </c>
      <c r="O31" s="8">
        <f>COUNTIF(FL!S:S,Summary!$A31)</f>
        <v>10</v>
      </c>
      <c r="P31" s="8">
        <f>COUNTIF(FL!T:T,Summary!$A31)</f>
        <v>18</v>
      </c>
      <c r="Q31" s="8">
        <f>COUNTIF(FL!U:U,Summary!$A31)</f>
        <v>11</v>
      </c>
      <c r="R31" s="8">
        <f>COUNTIF(FL!V:V,Summary!$A31)</f>
        <v>9</v>
      </c>
      <c r="S31" s="8">
        <f>COUNTIF(FL!W:W,Summary!$A31)</f>
        <v>9</v>
      </c>
      <c r="T31" s="8">
        <f>COUNTIF(FL!X:X,Summary!$A31)</f>
        <v>9</v>
      </c>
      <c r="U31" s="8">
        <f>COUNTIF(FL!Y:Y,Summary!$A31)</f>
        <v>8</v>
      </c>
      <c r="V31" s="8">
        <f>COUNTIF(FL!Z:Z,Summary!$A31)</f>
        <v>11</v>
      </c>
      <c r="W31" s="8">
        <f>COUNTIF(FL!AA:AA,Summary!$A31)</f>
        <v>17</v>
      </c>
      <c r="X31" s="8">
        <f>COUNTIF(FL!AB:AB,Summary!$A31)</f>
        <v>13</v>
      </c>
      <c r="Y31" s="8">
        <f>COUNTIF(FL!AC:AC,Summary!$A31)</f>
        <v>0</v>
      </c>
      <c r="Z31" s="8">
        <f>COUNTIF(FL!AD:AD,Summary!$A31)</f>
        <v>0</v>
      </c>
      <c r="AA31" s="8">
        <f>COUNTIF(FL!AE:AE,Summary!$A31)</f>
        <v>0</v>
      </c>
      <c r="AB31" s="8">
        <f>COUNTIF(FL!AF:AF,Summary!$A31)</f>
        <v>0</v>
      </c>
      <c r="AC31" s="8">
        <f>COUNTIF(FL!AG:AG,Summary!$A31)</f>
        <v>0</v>
      </c>
      <c r="AD31" s="8">
        <f>COUNTIF(FL!AH:AH,Summary!$A31)</f>
        <v>0</v>
      </c>
      <c r="AE31" s="8">
        <f>COUNTIF(FL!AI:AI,Summary!$A31)</f>
        <v>0</v>
      </c>
      <c r="AF31" s="8">
        <f>COUNTIF(FL!AJ:AJ,Summary!$A31)</f>
        <v>0</v>
      </c>
      <c r="AG31" s="8">
        <f t="shared" si="4"/>
        <v>227</v>
      </c>
    </row>
    <row r="32" spans="1:33" ht="15.75" x14ac:dyDescent="0.25">
      <c r="A32" s="46" t="s">
        <v>25</v>
      </c>
      <c r="B32" s="8">
        <f>COUNTIF(FL!F:F,Summary!$A32)</f>
        <v>0</v>
      </c>
      <c r="C32" s="8">
        <f>COUNTIF(FL!G:G,Summary!$A32)</f>
        <v>0</v>
      </c>
      <c r="D32" s="8">
        <f>COUNTIF(FL!H:H,Summary!$A32)</f>
        <v>0</v>
      </c>
      <c r="E32" s="8">
        <f>COUNTIF(FL!I:I,Summary!$A32)</f>
        <v>0</v>
      </c>
      <c r="F32" s="8">
        <f>COUNTIF(FL!J:J,Summary!$A32)</f>
        <v>0</v>
      </c>
      <c r="G32" s="8">
        <f>COUNTIF(FL!K:K,Summary!$A32)</f>
        <v>0</v>
      </c>
      <c r="H32" s="8">
        <f>COUNTIF(FL!L:L,Summary!$A32)</f>
        <v>0</v>
      </c>
      <c r="I32" s="8">
        <f>COUNTIF(FL!M:M,Summary!$A32)</f>
        <v>0</v>
      </c>
      <c r="J32" s="8">
        <f>COUNTIF(FL!N:N,Summary!$A32)</f>
        <v>0</v>
      </c>
      <c r="K32" s="8">
        <f>COUNTIF(FL!O:O,Summary!$A32)</f>
        <v>0</v>
      </c>
      <c r="L32" s="8">
        <f>COUNTIF(FL!P:P,Summary!$A32)</f>
        <v>0</v>
      </c>
      <c r="M32" s="8">
        <f>COUNTIF(FL!Q:Q,Summary!$A32)</f>
        <v>0</v>
      </c>
      <c r="N32" s="8">
        <f>COUNTIF(FL!R:R,Summary!$A32)</f>
        <v>0</v>
      </c>
      <c r="O32" s="8">
        <f>COUNTIF(FL!S:S,Summary!$A32)</f>
        <v>0</v>
      </c>
      <c r="P32" s="8">
        <f>COUNTIF(FL!T:T,Summary!$A32)</f>
        <v>0</v>
      </c>
      <c r="Q32" s="8">
        <f>COUNTIF(FL!U:U,Summary!$A32)</f>
        <v>0</v>
      </c>
      <c r="R32" s="8">
        <f>COUNTIF(FL!V:V,Summary!$A32)</f>
        <v>0</v>
      </c>
      <c r="S32" s="8">
        <f>COUNTIF(FL!W:W,Summary!$A32)</f>
        <v>0</v>
      </c>
      <c r="T32" s="8">
        <f>COUNTIF(FL!X:X,Summary!$A32)</f>
        <v>0</v>
      </c>
      <c r="U32" s="8">
        <f>COUNTIF(FL!Y:Y,Summary!$A32)</f>
        <v>0</v>
      </c>
      <c r="V32" s="8">
        <f>COUNTIF(FL!Z:Z,Summary!$A32)</f>
        <v>0</v>
      </c>
      <c r="W32" s="8">
        <f>COUNTIF(FL!AA:AA,Summary!$A32)</f>
        <v>0</v>
      </c>
      <c r="X32" s="8">
        <f>COUNTIF(FL!AB:AB,Summary!$A32)</f>
        <v>0</v>
      </c>
      <c r="Y32" s="8">
        <f>COUNTIF(FL!AC:AC,Summary!$A32)</f>
        <v>0</v>
      </c>
      <c r="Z32" s="8">
        <f>COUNTIF(FL!AD:AD,Summary!$A32)</f>
        <v>0</v>
      </c>
      <c r="AA32" s="8">
        <f>COUNTIF(FL!AE:AE,Summary!$A32)</f>
        <v>0</v>
      </c>
      <c r="AB32" s="8">
        <f>COUNTIF(FL!AF:AF,Summary!$A32)</f>
        <v>0</v>
      </c>
      <c r="AC32" s="8">
        <f>COUNTIF(FL!AG:AG,Summary!$A32)</f>
        <v>0</v>
      </c>
      <c r="AD32" s="8">
        <f>COUNTIF(FL!AH:AH,Summary!$A32)</f>
        <v>0</v>
      </c>
      <c r="AE32" s="8">
        <f>COUNTIF(FL!AI:AI,Summary!$A32)</f>
        <v>0</v>
      </c>
      <c r="AF32" s="8">
        <f>COUNTIF(FL!AJ:AJ,Summary!$A32)</f>
        <v>0</v>
      </c>
      <c r="AG32" s="27">
        <f>SUM(AG22:AG31)</f>
        <v>990</v>
      </c>
    </row>
    <row r="33" spans="1:33" ht="15.75" x14ac:dyDescent="0.25">
      <c r="A33" s="47" t="s">
        <v>22</v>
      </c>
      <c r="B33" s="15">
        <f>SUM(B23,B25,B30)/SUM(B23,B25,B30,B22)</f>
        <v>4.1666666666666664E-2</v>
      </c>
      <c r="C33" s="15">
        <f t="shared" ref="C33:AG33" si="5">SUM(C23,C25,C30)/SUM(C23,C25,C30,C22)</f>
        <v>0</v>
      </c>
      <c r="D33" s="15">
        <f t="shared" si="5"/>
        <v>0</v>
      </c>
      <c r="E33" s="15">
        <f t="shared" si="5"/>
        <v>6.6666666666666666E-2</v>
      </c>
      <c r="F33" s="15">
        <f t="shared" si="5"/>
        <v>6.6666666666666666E-2</v>
      </c>
      <c r="G33" s="15">
        <f t="shared" si="5"/>
        <v>0</v>
      </c>
      <c r="H33" s="15">
        <f t="shared" si="5"/>
        <v>0</v>
      </c>
      <c r="I33" s="15">
        <f t="shared" si="5"/>
        <v>3.7037037037037035E-2</v>
      </c>
      <c r="J33" s="15">
        <f t="shared" si="5"/>
        <v>6.6666666666666666E-2</v>
      </c>
      <c r="K33" s="15">
        <f t="shared" si="5"/>
        <v>3.4482758620689655E-2</v>
      </c>
      <c r="L33" s="15">
        <f t="shared" si="5"/>
        <v>0</v>
      </c>
      <c r="M33" s="15">
        <f t="shared" si="5"/>
        <v>2.8571428571428571E-2</v>
      </c>
      <c r="N33" s="15">
        <f t="shared" si="5"/>
        <v>8.5714285714285715E-2</v>
      </c>
      <c r="O33" s="15">
        <f t="shared" si="5"/>
        <v>5.5555555555555552E-2</v>
      </c>
      <c r="P33" s="15">
        <f t="shared" si="5"/>
        <v>7.1428571428571425E-2</v>
      </c>
      <c r="Q33" s="15">
        <f t="shared" si="5"/>
        <v>0.14285714285714285</v>
      </c>
      <c r="R33" s="15">
        <f t="shared" si="5"/>
        <v>0.10810810810810811</v>
      </c>
      <c r="S33" s="15">
        <f t="shared" si="5"/>
        <v>0.16666666666666666</v>
      </c>
      <c r="T33" s="15">
        <f t="shared" si="5"/>
        <v>0.13513513513513514</v>
      </c>
      <c r="U33" s="15">
        <f t="shared" si="5"/>
        <v>0.18421052631578946</v>
      </c>
      <c r="V33" s="15">
        <f t="shared" si="5"/>
        <v>0.14285714285714285</v>
      </c>
      <c r="W33" s="15">
        <f t="shared" si="5"/>
        <v>6.8965517241379309E-2</v>
      </c>
      <c r="X33" s="15">
        <f t="shared" si="5"/>
        <v>9.0909090909090912E-2</v>
      </c>
      <c r="Y33" s="15" t="e">
        <f t="shared" si="5"/>
        <v>#DIV/0!</v>
      </c>
      <c r="Z33" s="15" t="e">
        <f t="shared" si="5"/>
        <v>#DIV/0!</v>
      </c>
      <c r="AA33" s="15" t="e">
        <f t="shared" si="5"/>
        <v>#DIV/0!</v>
      </c>
      <c r="AB33" s="15" t="e">
        <f t="shared" si="5"/>
        <v>#DIV/0!</v>
      </c>
      <c r="AC33" s="15" t="e">
        <f>SUM(AC23,AC25,AC30)/SUM(AC23,AC25,AC30,AC22)</f>
        <v>#DIV/0!</v>
      </c>
      <c r="AD33" s="15" t="e">
        <f>SUM(AD23,AD25,AD30)/SUM(AD23,AD25,AD30,AD22)</f>
        <v>#DIV/0!</v>
      </c>
      <c r="AE33" s="15" t="e">
        <f t="shared" ref="AE33:AF33" si="6">SUM(AE23,AE25,AE30)/SUM(AE23,AE25,AE30,AE22)</f>
        <v>#DIV/0!</v>
      </c>
      <c r="AF33" s="15" t="e">
        <f t="shared" si="6"/>
        <v>#DIV/0!</v>
      </c>
      <c r="AG33" s="15">
        <f t="shared" si="5"/>
        <v>7.3270013568521031E-2</v>
      </c>
    </row>
    <row r="41" spans="1:33" x14ac:dyDescent="0.25">
      <c r="A41" s="22" t="s">
        <v>30</v>
      </c>
      <c r="B41" s="11" t="s">
        <v>1</v>
      </c>
      <c r="C41" s="11" t="s">
        <v>28</v>
      </c>
      <c r="D41" s="11" t="s">
        <v>2</v>
      </c>
      <c r="E41" s="11" t="s">
        <v>8</v>
      </c>
      <c r="F41" s="11" t="s">
        <v>9</v>
      </c>
      <c r="G41" s="11" t="s">
        <v>7</v>
      </c>
      <c r="H41" s="11" t="s">
        <v>10</v>
      </c>
      <c r="I41" s="11" t="s">
        <v>27</v>
      </c>
      <c r="J41" s="11" t="s">
        <v>3</v>
      </c>
      <c r="K41" s="11" t="s">
        <v>21</v>
      </c>
      <c r="L41" s="11" t="s">
        <v>22</v>
      </c>
    </row>
    <row r="42" spans="1:33" x14ac:dyDescent="0.25">
      <c r="A42" s="26" t="s">
        <v>43</v>
      </c>
      <c r="B42" s="21" t="e">
        <f>VLOOKUP(A42,PIV!A43:B48,2,0)</f>
        <v>#N/A</v>
      </c>
      <c r="C42" s="6" t="e">
        <f>VLOOKUP(A42,PIV!A41:F48,6,0)</f>
        <v>#N/A</v>
      </c>
      <c r="D42" s="6" t="e">
        <f>VLOOKUP(A42,PIV!A41:C48,3,0)</f>
        <v>#N/A</v>
      </c>
      <c r="E42" s="6" t="e">
        <f>VLOOKUP(A42,PIV!A41:D48,4,0)</f>
        <v>#N/A</v>
      </c>
      <c r="F42" s="6" t="e">
        <f>VLOOKUP(A42,PIV!A41:E48,5,0)</f>
        <v>#N/A</v>
      </c>
      <c r="G42" s="6" t="e">
        <f>VLOOKUP(A42,PIV!A41:G48,7,0)</f>
        <v>#N/A</v>
      </c>
      <c r="H42" s="6" t="e">
        <f>VLOOKUP(A42,PIV!A41:J48,10,0)</f>
        <v>#N/A</v>
      </c>
      <c r="I42" s="6" t="e">
        <f>VLOOKUP(A42,PIV!A41:I48,9,0)</f>
        <v>#N/A</v>
      </c>
      <c r="J42" s="6" t="e">
        <f>VLOOKUP(A42,PIV!A41:K48,11,0)</f>
        <v>#N/A</v>
      </c>
      <c r="K42" s="6" t="e">
        <f>VLOOKUP(A:A,PIV!A:L,8,0)</f>
        <v>#N/A</v>
      </c>
      <c r="L42" s="7" t="e">
        <f>SUM(D42,F42,H42,C42)/SUM(D42,F42,H42,B42)</f>
        <v>#N/A</v>
      </c>
    </row>
    <row r="43" spans="1:33" s="29" customFormat="1" x14ac:dyDescent="0.25">
      <c r="A43" s="26" t="s">
        <v>41</v>
      </c>
      <c r="B43" s="21" t="e">
        <f>VLOOKUP(A43,PIV!A44:B49,2,0)</f>
        <v>#N/A</v>
      </c>
      <c r="C43" s="6" t="e">
        <f>VLOOKUP(A43,PIV!A42:F49,6,0)</f>
        <v>#N/A</v>
      </c>
      <c r="D43" s="6" t="e">
        <f>VLOOKUP(A43,PIV!A42:C49,3,0)</f>
        <v>#N/A</v>
      </c>
      <c r="E43" s="6" t="e">
        <f>VLOOKUP(A43,PIV!A42:D49,4,0)</f>
        <v>#N/A</v>
      </c>
      <c r="F43" s="6" t="e">
        <f>VLOOKUP(A43,PIV!A42:E49,5,0)</f>
        <v>#N/A</v>
      </c>
      <c r="G43" s="6" t="e">
        <f>VLOOKUP(A43,PIV!A42:G49,7,0)</f>
        <v>#N/A</v>
      </c>
      <c r="H43" s="6" t="e">
        <f>VLOOKUP(A43,PIV!A42:J49,10,0)</f>
        <v>#N/A</v>
      </c>
      <c r="I43" s="6" t="e">
        <f>VLOOKUP(A43,PIV!A42:I49,9,0)</f>
        <v>#N/A</v>
      </c>
      <c r="J43" s="6" t="e">
        <f>VLOOKUP(A43,PIV!A42:K49,11,0)</f>
        <v>#N/A</v>
      </c>
      <c r="K43" s="6" t="e">
        <f>VLOOKUP(A:A,PIV!A:L,8,0)</f>
        <v>#N/A</v>
      </c>
      <c r="L43" s="7" t="e">
        <f t="shared" ref="L43:L44" si="7">SUM(D43,F43,H43,C43)/SUM(D43,F43,H43,B43)</f>
        <v>#N/A</v>
      </c>
    </row>
    <row r="44" spans="1:33" s="29" customFormat="1" x14ac:dyDescent="0.25">
      <c r="A44" s="26" t="s">
        <v>42</v>
      </c>
      <c r="B44" s="21" t="e">
        <f>VLOOKUP(A44,PIV!A45:B50,2,0)</f>
        <v>#N/A</v>
      </c>
      <c r="C44" s="6" t="e">
        <f>VLOOKUP(A44,PIV!A43:F50,6,0)</f>
        <v>#N/A</v>
      </c>
      <c r="D44" s="6" t="e">
        <f>VLOOKUP(A44,PIV!A43:C50,3,0)</f>
        <v>#N/A</v>
      </c>
      <c r="E44" s="6" t="e">
        <f>VLOOKUP(A44,PIV!A43:D50,4,0)</f>
        <v>#N/A</v>
      </c>
      <c r="F44" s="6" t="e">
        <f>VLOOKUP(A44,PIV!A43:E50,5,0)</f>
        <v>#N/A</v>
      </c>
      <c r="G44" s="6" t="e">
        <f>VLOOKUP(A44,PIV!A43:G50,7,0)</f>
        <v>#N/A</v>
      </c>
      <c r="H44" s="6" t="e">
        <f>VLOOKUP(A44,PIV!A43:J50,10,0)</f>
        <v>#N/A</v>
      </c>
      <c r="I44" s="6" t="e">
        <f>VLOOKUP(A44,PIV!A43:I50,9,0)</f>
        <v>#N/A</v>
      </c>
      <c r="J44" s="6" t="e">
        <f>VLOOKUP(A44,PIV!A43:K50,11,0)</f>
        <v>#N/A</v>
      </c>
      <c r="K44" s="6" t="e">
        <f>VLOOKUP(A:A,PIV!A:L,8,0)</f>
        <v>#N/A</v>
      </c>
      <c r="L44" s="7" t="e">
        <f t="shared" si="7"/>
        <v>#N/A</v>
      </c>
    </row>
    <row r="45" spans="1:33" x14ac:dyDescent="0.25">
      <c r="A45" s="23" t="s">
        <v>18</v>
      </c>
      <c r="B45" s="11" t="e">
        <f t="shared" ref="B45:K45" si="8">SUM(B42:B42)</f>
        <v>#N/A</v>
      </c>
      <c r="C45" s="11" t="e">
        <f t="shared" si="8"/>
        <v>#N/A</v>
      </c>
      <c r="D45" s="11" t="e">
        <f t="shared" si="8"/>
        <v>#N/A</v>
      </c>
      <c r="E45" s="11" t="e">
        <f t="shared" si="8"/>
        <v>#N/A</v>
      </c>
      <c r="F45" s="11" t="e">
        <f t="shared" si="8"/>
        <v>#N/A</v>
      </c>
      <c r="G45" s="11" t="e">
        <f t="shared" si="8"/>
        <v>#N/A</v>
      </c>
      <c r="H45" s="11" t="e">
        <f t="shared" si="8"/>
        <v>#N/A</v>
      </c>
      <c r="I45" s="11" t="e">
        <f t="shared" si="8"/>
        <v>#N/A</v>
      </c>
      <c r="J45" s="11" t="e">
        <f t="shared" si="8"/>
        <v>#N/A</v>
      </c>
      <c r="K45" s="11" t="e">
        <f t="shared" si="8"/>
        <v>#N/A</v>
      </c>
      <c r="L45" s="12" t="e">
        <f t="shared" ref="L45" si="9">SUM(D45,F45,H45,C45)/SUM(D45,F45,H45,B45)</f>
        <v>#N/A</v>
      </c>
    </row>
    <row r="57" hidden="1" x14ac:dyDescent="0.25"/>
  </sheetData>
  <conditionalFormatting sqref="A32:A33 A22:A27 A29:A30">
    <cfRule type="cellIs" dxfId="125" priority="10" operator="equal">
      <formula>"OFF"</formula>
    </cfRule>
  </conditionalFormatting>
  <conditionalFormatting sqref="A22:A27 A29:A33">
    <cfRule type="cellIs" dxfId="124" priority="9" operator="equal">
      <formula>"Compensation"</formula>
    </cfRule>
  </conditionalFormatting>
  <conditionalFormatting sqref="A34">
    <cfRule type="cellIs" dxfId="123" priority="5" operator="equal">
      <formula>"Compensation"</formula>
    </cfRule>
  </conditionalFormatting>
  <conditionalFormatting sqref="A35">
    <cfRule type="cellIs" dxfId="122" priority="3" operator="equal">
      <formula>"Compensation"</formula>
    </cfRule>
  </conditionalFormatting>
  <conditionalFormatting sqref="K12 A12:F12 H12:I12">
    <cfRule type="cellIs" dxfId="121" priority="2" operator="equal">
      <formula>"OFF"</formula>
    </cfRule>
  </conditionalFormatting>
  <conditionalFormatting sqref="A12:F12 H12:K12">
    <cfRule type="cellIs" dxfId="120" priority="1" operator="equal">
      <formula>"Compensation"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topLeftCell="E1" workbookViewId="0">
      <selection activeCell="F1" sqref="F1"/>
    </sheetView>
  </sheetViews>
  <sheetFormatPr defaultRowHeight="15" x14ac:dyDescent="0.25"/>
  <cols>
    <col min="1" max="1" width="8.85546875" style="28"/>
    <col min="2" max="2" width="19.42578125" bestFit="1" customWidth="1"/>
    <col min="3" max="3" width="34.85546875" bestFit="1" customWidth="1"/>
    <col min="4" max="4" width="31.42578125" bestFit="1" customWidth="1"/>
    <col min="5" max="5" width="31.140625" bestFit="1" customWidth="1"/>
    <col min="6" max="6" width="10.28515625" bestFit="1" customWidth="1"/>
    <col min="7" max="7" width="9.85546875" bestFit="1" customWidth="1"/>
    <col min="8" max="8" width="8" bestFit="1" customWidth="1"/>
    <col min="9" max="9" width="14.140625" bestFit="1" customWidth="1"/>
    <col min="10" max="10" width="4.85546875" bestFit="1" customWidth="1"/>
    <col min="11" max="11" width="4.7109375" bestFit="1" customWidth="1"/>
    <col min="12" max="12" width="15.140625" bestFit="1" customWidth="1"/>
    <col min="13" max="13" width="12.42578125" bestFit="1" customWidth="1"/>
    <col min="14" max="14" width="10.28515625" bestFit="1" customWidth="1"/>
    <col min="15" max="15" width="4.5703125" bestFit="1" customWidth="1"/>
    <col min="16" max="16" width="12" bestFit="1" customWidth="1"/>
    <col min="17" max="17" width="9" bestFit="1" customWidth="1"/>
    <col min="18" max="19" width="20.140625" bestFit="1" customWidth="1"/>
  </cols>
  <sheetData>
    <row r="1" spans="1:19" s="28" customFormat="1" ht="23.25" x14ac:dyDescent="0.25">
      <c r="A1" s="75" t="s">
        <v>37</v>
      </c>
      <c r="B1" s="76"/>
      <c r="C1" s="76"/>
      <c r="D1" s="76"/>
      <c r="E1" s="76"/>
      <c r="F1" s="29">
        <f>MATCH(F$2,FL!$B$3:$AV$3,0)</f>
        <v>36</v>
      </c>
      <c r="G1" s="29">
        <f>MATCH(G$2,FL!$B$3:$AV$3,0)</f>
        <v>37</v>
      </c>
      <c r="H1" s="29">
        <f>MATCH(H$2,FL!$B$3:$AV$3,0)</f>
        <v>38</v>
      </c>
      <c r="I1" s="29">
        <f>MATCH(I$2,FL!$B$3:$AV$3,0)</f>
        <v>39</v>
      </c>
      <c r="J1" s="29">
        <f>MATCH(J$2,FL!$B$3:$AV$3,0)</f>
        <v>40</v>
      </c>
      <c r="K1" s="29">
        <f>MATCH(K$2,FL!$B$3:$AV$3,0)</f>
        <v>41</v>
      </c>
      <c r="L1" s="29">
        <f>MATCH(L$2,FL!$B$3:$AV$3,0)</f>
        <v>42</v>
      </c>
      <c r="M1" s="29">
        <f>MATCH(M$2,FL!$B$3:$AV$3,0)</f>
        <v>43</v>
      </c>
      <c r="N1" s="29">
        <f>MATCH(N$2,FL!$B$3:$AV$3,0)</f>
        <v>44</v>
      </c>
      <c r="O1" s="29">
        <f>MATCH(O$2,FL!$B$3:$AV$3,0)</f>
        <v>45</v>
      </c>
      <c r="P1" s="29">
        <f>MATCH(P$2,FL!$B$3:$AV$3,0)</f>
        <v>46</v>
      </c>
      <c r="Q1" s="29">
        <f>MATCH(Q$2,FL!$B$3:$AV$3,0)</f>
        <v>47</v>
      </c>
      <c r="R1" s="29">
        <f>MATCH("Missing",Conformance!B3:AJ3,0)</f>
        <v>35</v>
      </c>
      <c r="S1" s="29"/>
    </row>
    <row r="2" spans="1:19" ht="15.75" x14ac:dyDescent="0.25">
      <c r="A2" s="16">
        <v>0</v>
      </c>
      <c r="B2" s="20" t="s">
        <v>5</v>
      </c>
      <c r="C2" s="20" t="s">
        <v>4</v>
      </c>
      <c r="D2" s="20" t="s">
        <v>6</v>
      </c>
      <c r="E2" s="20" t="s">
        <v>30</v>
      </c>
      <c r="F2" s="20" t="s">
        <v>1</v>
      </c>
      <c r="G2" s="20" t="s">
        <v>2</v>
      </c>
      <c r="H2" s="20" t="s">
        <v>8</v>
      </c>
      <c r="I2" s="20" t="s">
        <v>9</v>
      </c>
      <c r="J2" s="20" t="s">
        <v>28</v>
      </c>
      <c r="K2" s="20" t="s">
        <v>7</v>
      </c>
      <c r="L2" s="20" t="s">
        <v>21</v>
      </c>
      <c r="M2" s="20" t="s">
        <v>31</v>
      </c>
      <c r="N2" s="20" t="s">
        <v>10</v>
      </c>
      <c r="O2" s="20" t="s">
        <v>3</v>
      </c>
      <c r="P2" s="20" t="s">
        <v>34</v>
      </c>
      <c r="Q2" s="20" t="s">
        <v>33</v>
      </c>
      <c r="R2" s="20" t="s">
        <v>44</v>
      </c>
      <c r="S2" s="20" t="s">
        <v>45</v>
      </c>
    </row>
    <row r="3" spans="1:19" ht="15.75" x14ac:dyDescent="0.25">
      <c r="A3" s="16">
        <f t="shared" ref="A3:A36" si="0">A2+1</f>
        <v>1</v>
      </c>
      <c r="B3" s="38" t="str">
        <f>IF(FL!B4="","",FL!B4)</f>
        <v>V22HRassoul</v>
      </c>
      <c r="C3" s="38" t="str">
        <f>IF(FL!C4="","",FL!C4)</f>
        <v>Hend Yousry-AbdElRassoul</v>
      </c>
      <c r="D3" s="38" t="str">
        <f>IF(FL!D4="","",FL!D4)</f>
        <v>Mohamed Ahmed-Nagy</v>
      </c>
      <c r="E3" s="38" t="str">
        <f>IF(FL!E4="","",FL!E4)</f>
        <v>Mohamed Ahmed-Nagy</v>
      </c>
      <c r="F3" s="24">
        <f>VLOOKUP($B:$B,FL!$B:$AV,Total!F$1,0)</f>
        <v>23</v>
      </c>
      <c r="G3" s="24">
        <f>VLOOKUP($B:$B,FL!$B:$AV,Total!G$1,0)</f>
        <v>0</v>
      </c>
      <c r="H3" s="24">
        <f>VLOOKUP($B:$B,FL!$B:$AV,Total!H$1,0)</f>
        <v>0</v>
      </c>
      <c r="I3" s="24">
        <f>VLOOKUP($B:$B,FL!$B:$AV,Total!I$1,0)</f>
        <v>0</v>
      </c>
      <c r="J3" s="24">
        <f>VLOOKUP($B:$B,FL!$B:$AV,Total!J$1,0)</f>
        <v>0</v>
      </c>
      <c r="K3" s="24">
        <f>VLOOKUP($B:$B,FL!$B:$AV,Total!K$1,0)</f>
        <v>0</v>
      </c>
      <c r="L3" s="24">
        <f>VLOOKUP($B:$B,FL!$B:$AV,Total!L$1,0)</f>
        <v>0</v>
      </c>
      <c r="M3" s="24">
        <f>VLOOKUP($B:$B,FL!$B:$AV,Total!M$1,0)</f>
        <v>0</v>
      </c>
      <c r="N3" s="24">
        <f>VLOOKUP($B:$B,FL!$B:$AV,Total!N$1,0)</f>
        <v>0</v>
      </c>
      <c r="O3" s="24">
        <f>VLOOKUP($B:$B,FL!$B:$AV,Total!O$1,0)</f>
        <v>0</v>
      </c>
      <c r="P3" s="24">
        <f>VLOOKUP($B:$B,FL!$B:$AV,Total!P$1,0)</f>
        <v>0</v>
      </c>
      <c r="Q3" s="24">
        <f>VLOOKUP($B:$B,FL!$B:$AV,Total!Q$1,0)</f>
        <v>0</v>
      </c>
      <c r="R3" s="42">
        <f>VLOOKUP(B:B,Conformance!$B$3:$AJ$37,Total!$R$1,0)</f>
        <v>0</v>
      </c>
      <c r="S3" s="43">
        <f>IF((R3*24)&gt;12,3,IF((R3*24)&gt;6,2,IF((R3*24)&gt;2,1,0)))</f>
        <v>0</v>
      </c>
    </row>
    <row r="4" spans="1:19" ht="15.75" x14ac:dyDescent="0.25">
      <c r="A4" s="16">
        <f t="shared" si="0"/>
        <v>2</v>
      </c>
      <c r="B4" s="38" t="str">
        <f>IF(FL!B5="","",FL!B5)</f>
        <v>V23MGelil</v>
      </c>
      <c r="C4" s="38" t="str">
        <f>IF(FL!C5="","",FL!C5)</f>
        <v>Mohamed Ali-AbdElGelil</v>
      </c>
      <c r="D4" s="38" t="str">
        <f>IF(FL!D5="","",FL!D5)</f>
        <v>Omar Emad-Mahmoud</v>
      </c>
      <c r="E4" s="38" t="str">
        <f>IF(FL!E5="","",FL!E5)</f>
        <v>Mohamed Ahmed-Nagy</v>
      </c>
      <c r="F4" s="24">
        <f>VLOOKUP($B:$B,FL!$B:$AV,Total!F$1,0)</f>
        <v>15</v>
      </c>
      <c r="G4" s="24">
        <f>VLOOKUP($B:$B,FL!$B:$AV,Total!G$1,0)</f>
        <v>2</v>
      </c>
      <c r="H4" s="24">
        <f>VLOOKUP($B:$B,FL!$B:$AV,Total!H$1,0)</f>
        <v>0</v>
      </c>
      <c r="I4" s="24">
        <f>VLOOKUP($B:$B,FL!$B:$AV,Total!I$1,0)</f>
        <v>0</v>
      </c>
      <c r="J4" s="24">
        <f>VLOOKUP($B:$B,FL!$B:$AV,Total!J$1,0)</f>
        <v>0</v>
      </c>
      <c r="K4" s="24">
        <f>VLOOKUP($B:$B,FL!$B:$AV,Total!K$1,0)</f>
        <v>0</v>
      </c>
      <c r="L4" s="24">
        <f>VLOOKUP($B:$B,FL!$B:$AV,Total!L$1,0)</f>
        <v>1</v>
      </c>
      <c r="M4" s="24">
        <f>VLOOKUP($B:$B,FL!$B:$AV,Total!M$1,0)</f>
        <v>0</v>
      </c>
      <c r="N4" s="24">
        <f>VLOOKUP($B:$B,FL!$B:$AV,Total!N$1,0)</f>
        <v>0</v>
      </c>
      <c r="O4" s="24">
        <f>VLOOKUP($B:$B,FL!$B:$AV,Total!O$1,0)</f>
        <v>5</v>
      </c>
      <c r="P4" s="24">
        <f>VLOOKUP($B:$B,FL!$B:$AV,Total!P$1,0)</f>
        <v>0</v>
      </c>
      <c r="Q4" s="24">
        <f>VLOOKUP($B:$B,FL!$B:$AV,Total!Q$1,0)</f>
        <v>0</v>
      </c>
      <c r="R4" s="42">
        <f>VLOOKUP(B:B,Conformance!$B$3:$AJ$37,Total!$R$1,0)</f>
        <v>0.17423611111111115</v>
      </c>
      <c r="S4" s="43">
        <f t="shared" ref="S4:S27" si="1">IF((R4*24)&gt;12,3,IF((R4*24)&gt;6,2,IF((R4*24)&gt;2,1,0)))</f>
        <v>1</v>
      </c>
    </row>
    <row r="5" spans="1:19" ht="15.75" x14ac:dyDescent="0.25">
      <c r="A5" s="16">
        <f t="shared" si="0"/>
        <v>3</v>
      </c>
      <c r="B5" s="38" t="str">
        <f>IF(FL!B6="","",FL!B6)</f>
        <v>V24OMahmoud</v>
      </c>
      <c r="C5" s="38" t="str">
        <f>IF(FL!C6="","",FL!C6)</f>
        <v>Omar Emad-Mahmoud</v>
      </c>
      <c r="D5" s="38" t="str">
        <f>IF(FL!D6="","",FL!D6)</f>
        <v>Mohamed Ahmed-Nagy</v>
      </c>
      <c r="E5" s="38" t="str">
        <f>IF(FL!E6="","",FL!E6)</f>
        <v>Mohamed Ahmed-Nagy</v>
      </c>
      <c r="F5" s="24">
        <f>VLOOKUP($B:$B,FL!$B:$AV,Total!F$1,0)</f>
        <v>19</v>
      </c>
      <c r="G5" s="24">
        <f>VLOOKUP($B:$B,FL!$B:$AV,Total!G$1,0)</f>
        <v>0</v>
      </c>
      <c r="H5" s="24">
        <f>VLOOKUP($B:$B,FL!$B:$AV,Total!H$1,0)</f>
        <v>0</v>
      </c>
      <c r="I5" s="24">
        <f>VLOOKUP($B:$B,FL!$B:$AV,Total!I$1,0)</f>
        <v>0</v>
      </c>
      <c r="J5" s="24">
        <f>VLOOKUP($B:$B,FL!$B:$AV,Total!J$1,0)</f>
        <v>0</v>
      </c>
      <c r="K5" s="24">
        <f>VLOOKUP($B:$B,FL!$B:$AV,Total!K$1,0)</f>
        <v>0</v>
      </c>
      <c r="L5" s="24">
        <f>VLOOKUP($B:$B,FL!$B:$AV,Total!L$1,0)</f>
        <v>0</v>
      </c>
      <c r="M5" s="24">
        <f>VLOOKUP($B:$B,FL!$B:$AV,Total!M$1,0)</f>
        <v>0</v>
      </c>
      <c r="N5" s="24">
        <f>VLOOKUP($B:$B,FL!$B:$AV,Total!N$1,0)</f>
        <v>0</v>
      </c>
      <c r="O5" s="24">
        <f>VLOOKUP($B:$B,FL!$B:$AV,Total!O$1,0)</f>
        <v>4</v>
      </c>
      <c r="P5" s="24">
        <f>VLOOKUP($B:$B,FL!$B:$AV,Total!P$1,0)</f>
        <v>0</v>
      </c>
      <c r="Q5" s="24">
        <f>VLOOKUP($B:$B,FL!$B:$AV,Total!Q$1,0)</f>
        <v>0</v>
      </c>
      <c r="R5" s="42">
        <f>VLOOKUP(B:B,Conformance!$B$3:$AJ$37,Total!$R$1,0)</f>
        <v>0.23565972222222223</v>
      </c>
      <c r="S5" s="43">
        <f t="shared" si="1"/>
        <v>1</v>
      </c>
    </row>
    <row r="6" spans="1:19" ht="15.75" x14ac:dyDescent="0.25">
      <c r="A6" s="16">
        <f t="shared" si="0"/>
        <v>4</v>
      </c>
      <c r="B6" s="38" t="str">
        <f>IF(FL!B7="","",FL!B7)</f>
        <v>V24AHassan6</v>
      </c>
      <c r="C6" s="38" t="str">
        <f>IF(FL!C7="","",FL!C7)</f>
        <v>Aya Mohamed-Hassan</v>
      </c>
      <c r="D6" s="38" t="str">
        <f>IF(FL!D7="","",FL!D7)</f>
        <v>Merna Ashraf-Ashrafy</v>
      </c>
      <c r="E6" s="38" t="str">
        <f>IF(FL!E7="","",FL!E7)</f>
        <v>Mohamed Ahmed-Nagy</v>
      </c>
      <c r="F6" s="24">
        <f>VLOOKUP($B:$B,FL!$B:$AV,Total!F$1,0)</f>
        <v>15</v>
      </c>
      <c r="G6" s="24">
        <f>VLOOKUP($B:$B,FL!$B:$AV,Total!G$1,0)</f>
        <v>0</v>
      </c>
      <c r="H6" s="24">
        <f>VLOOKUP($B:$B,FL!$B:$AV,Total!H$1,0)</f>
        <v>0</v>
      </c>
      <c r="I6" s="24">
        <f>VLOOKUP($B:$B,FL!$B:$AV,Total!I$1,0)</f>
        <v>0</v>
      </c>
      <c r="J6" s="24">
        <f>VLOOKUP($B:$B,FL!$B:$AV,Total!J$1,0)</f>
        <v>0</v>
      </c>
      <c r="K6" s="24">
        <f>VLOOKUP($B:$B,FL!$B:$AV,Total!K$1,0)</f>
        <v>0</v>
      </c>
      <c r="L6" s="24">
        <f>VLOOKUP($B:$B,FL!$B:$AV,Total!L$1,0)</f>
        <v>0</v>
      </c>
      <c r="M6" s="24">
        <f>VLOOKUP($B:$B,FL!$B:$AV,Total!M$1,0)</f>
        <v>0</v>
      </c>
      <c r="N6" s="24">
        <f>VLOOKUP($B:$B,FL!$B:$AV,Total!N$1,0)</f>
        <v>0</v>
      </c>
      <c r="O6" s="24">
        <f>VLOOKUP($B:$B,FL!$B:$AV,Total!O$1,0)</f>
        <v>8</v>
      </c>
      <c r="P6" s="24">
        <f>VLOOKUP($B:$B,FL!$B:$AV,Total!P$1,0)</f>
        <v>0</v>
      </c>
      <c r="Q6" s="24">
        <f>VLOOKUP($B:$B,FL!$B:$AV,Total!Q$1,0)</f>
        <v>0</v>
      </c>
      <c r="R6" s="42">
        <f>VLOOKUP(B:B,Conformance!$B$3:$AJ$37,Total!$R$1,0)</f>
        <v>0</v>
      </c>
      <c r="S6" s="43">
        <f t="shared" si="1"/>
        <v>0</v>
      </c>
    </row>
    <row r="7" spans="1:19" ht="15.75" x14ac:dyDescent="0.25">
      <c r="A7" s="16">
        <f t="shared" si="0"/>
        <v>5</v>
      </c>
      <c r="B7" s="38" t="str">
        <f>IF(FL!B8="","",FL!B8)</f>
        <v>V22MAshrafy</v>
      </c>
      <c r="C7" s="38" t="str">
        <f>IF(FL!C8="","",FL!C8)</f>
        <v>Merna Ashraf-Ashrafy</v>
      </c>
      <c r="D7" s="38" t="str">
        <f>IF(FL!D8="","",FL!D8)</f>
        <v>Mohamed Ahmed-Nagy</v>
      </c>
      <c r="E7" s="38" t="str">
        <f>IF(FL!E8="","",FL!E8)</f>
        <v>Mohamed Ahmed-Nagy</v>
      </c>
      <c r="F7" s="24">
        <f>VLOOKUP($B:$B,FL!$B:$AV,Total!F$1,0)</f>
        <v>23</v>
      </c>
      <c r="G7" s="24">
        <f>VLOOKUP($B:$B,FL!$B:$AV,Total!G$1,0)</f>
        <v>0</v>
      </c>
      <c r="H7" s="24">
        <f>VLOOKUP($B:$B,FL!$B:$AV,Total!H$1,0)</f>
        <v>0</v>
      </c>
      <c r="I7" s="24">
        <f>VLOOKUP($B:$B,FL!$B:$AV,Total!I$1,0)</f>
        <v>0</v>
      </c>
      <c r="J7" s="24">
        <f>VLOOKUP($B:$B,FL!$B:$AV,Total!J$1,0)</f>
        <v>0</v>
      </c>
      <c r="K7" s="24">
        <f>VLOOKUP($B:$B,FL!$B:$AV,Total!K$1,0)</f>
        <v>0</v>
      </c>
      <c r="L7" s="24">
        <f>VLOOKUP($B:$B,FL!$B:$AV,Total!L$1,0)</f>
        <v>0</v>
      </c>
      <c r="M7" s="24">
        <f>VLOOKUP($B:$B,FL!$B:$AV,Total!M$1,0)</f>
        <v>0</v>
      </c>
      <c r="N7" s="24">
        <f>VLOOKUP($B:$B,FL!$B:$AV,Total!N$1,0)</f>
        <v>0</v>
      </c>
      <c r="O7" s="24">
        <f>VLOOKUP($B:$B,FL!$B:$AV,Total!O$1,0)</f>
        <v>0</v>
      </c>
      <c r="P7" s="24">
        <f>VLOOKUP($B:$B,FL!$B:$AV,Total!P$1,0)</f>
        <v>0</v>
      </c>
      <c r="Q7" s="24">
        <f>VLOOKUP($B:$B,FL!$B:$AV,Total!Q$1,0)</f>
        <v>0</v>
      </c>
      <c r="R7" s="42">
        <f>VLOOKUP(B:B,Conformance!$B$3:$AJ$37,Total!$R$1,0)</f>
        <v>0</v>
      </c>
      <c r="S7" s="43">
        <f t="shared" si="1"/>
        <v>0</v>
      </c>
    </row>
    <row r="8" spans="1:19" ht="15.75" x14ac:dyDescent="0.25">
      <c r="A8" s="16">
        <f t="shared" si="0"/>
        <v>6</v>
      </c>
      <c r="B8" s="38" t="str">
        <f>IF(FL!B9="","",FL!B9)</f>
        <v>V24SAhmed28</v>
      </c>
      <c r="C8" s="38" t="str">
        <f>IF(FL!C9="","",FL!C9)</f>
        <v>Salma Taha-Ahmed</v>
      </c>
      <c r="D8" s="38" t="str">
        <f>IF(FL!D9="","",FL!D9)</f>
        <v>Merna Ashraf-Ashrafy</v>
      </c>
      <c r="E8" s="38" t="str">
        <f>IF(FL!E9="","",FL!E9)</f>
        <v>Mohamed Ahmed-Nagy</v>
      </c>
      <c r="F8" s="24">
        <f>VLOOKUP($B:$B,FL!$B:$AV,Total!F$1,0)</f>
        <v>9</v>
      </c>
      <c r="G8" s="24">
        <f>VLOOKUP($B:$B,FL!$B:$AV,Total!G$1,0)</f>
        <v>7</v>
      </c>
      <c r="H8" s="24">
        <f>VLOOKUP($B:$B,FL!$B:$AV,Total!H$1,0)</f>
        <v>0</v>
      </c>
      <c r="I8" s="24">
        <f>VLOOKUP($B:$B,FL!$B:$AV,Total!I$1,0)</f>
        <v>0</v>
      </c>
      <c r="J8" s="24">
        <f>VLOOKUP($B:$B,FL!$B:$AV,Total!J$1,0)</f>
        <v>0</v>
      </c>
      <c r="K8" s="24">
        <f>VLOOKUP($B:$B,FL!$B:$AV,Total!K$1,0)</f>
        <v>0</v>
      </c>
      <c r="L8" s="24">
        <f>VLOOKUP($B:$B,FL!$B:$AV,Total!L$1,0)</f>
        <v>0</v>
      </c>
      <c r="M8" s="24">
        <f>VLOOKUP($B:$B,FL!$B:$AV,Total!M$1,0)</f>
        <v>0</v>
      </c>
      <c r="N8" s="24">
        <f>VLOOKUP($B:$B,FL!$B:$AV,Total!N$1,0)</f>
        <v>0</v>
      </c>
      <c r="O8" s="24">
        <f>VLOOKUP($B:$B,FL!$B:$AV,Total!O$1,0)</f>
        <v>7</v>
      </c>
      <c r="P8" s="24">
        <f>VLOOKUP($B:$B,FL!$B:$AV,Total!P$1,0)</f>
        <v>0</v>
      </c>
      <c r="Q8" s="24">
        <f>VLOOKUP($B:$B,FL!$B:$AV,Total!Q$1,0)</f>
        <v>0</v>
      </c>
      <c r="R8" s="42">
        <f>VLOOKUP(B:B,Conformance!$B$3:$AJ$37,Total!$R$1,0)</f>
        <v>8.3796296296296448E-3</v>
      </c>
      <c r="S8" s="43">
        <f t="shared" si="1"/>
        <v>0</v>
      </c>
    </row>
    <row r="9" spans="1:19" ht="15.75" x14ac:dyDescent="0.25">
      <c r="A9" s="16">
        <f t="shared" si="0"/>
        <v>7</v>
      </c>
      <c r="B9" s="38" t="str">
        <f>IF(FL!B10="","",FL!B10)</f>
        <v>V24AKelany</v>
      </c>
      <c r="C9" s="38" t="str">
        <f>IF(FL!C10="","",FL!C10)</f>
        <v>AbdElRahman Adel-ElKelany</v>
      </c>
      <c r="D9" s="38" t="str">
        <f>IF(FL!D10="","",FL!D10)</f>
        <v>Mohamed Ahmed-Nagy</v>
      </c>
      <c r="E9" s="38" t="str">
        <f>IF(FL!E10="","",FL!E10)</f>
        <v>Mohamed Ahmed-Nagy</v>
      </c>
      <c r="F9" s="24">
        <f>VLOOKUP($B:$B,FL!$B:$AV,Total!F$1,0)</f>
        <v>21</v>
      </c>
      <c r="G9" s="24">
        <f>VLOOKUP($B:$B,FL!$B:$AV,Total!G$1,0)</f>
        <v>0</v>
      </c>
      <c r="H9" s="24">
        <f>VLOOKUP($B:$B,FL!$B:$AV,Total!H$1,0)</f>
        <v>0</v>
      </c>
      <c r="I9" s="24">
        <f>VLOOKUP($B:$B,FL!$B:$AV,Total!I$1,0)</f>
        <v>0</v>
      </c>
      <c r="J9" s="24">
        <f>VLOOKUP($B:$B,FL!$B:$AV,Total!J$1,0)</f>
        <v>0</v>
      </c>
      <c r="K9" s="24">
        <f>VLOOKUP($B:$B,FL!$B:$AV,Total!K$1,0)</f>
        <v>0</v>
      </c>
      <c r="L9" s="24">
        <f>VLOOKUP($B:$B,FL!$B:$AV,Total!L$1,0)</f>
        <v>0</v>
      </c>
      <c r="M9" s="24">
        <f>VLOOKUP($B:$B,FL!$B:$AV,Total!M$1,0)</f>
        <v>0</v>
      </c>
      <c r="N9" s="24">
        <f>VLOOKUP($B:$B,FL!$B:$AV,Total!N$1,0)</f>
        <v>0</v>
      </c>
      <c r="O9" s="24">
        <f>VLOOKUP($B:$B,FL!$B:$AV,Total!O$1,0)</f>
        <v>2</v>
      </c>
      <c r="P9" s="24">
        <f>VLOOKUP($B:$B,FL!$B:$AV,Total!P$1,0)</f>
        <v>0</v>
      </c>
      <c r="Q9" s="24">
        <f>VLOOKUP($B:$B,FL!$B:$AV,Total!Q$1,0)</f>
        <v>0</v>
      </c>
      <c r="R9" s="42">
        <f>VLOOKUP(B:B,Conformance!$B$3:$AJ$37,Total!$R$1,0)</f>
        <v>2.3148148148151766E-5</v>
      </c>
      <c r="S9" s="43">
        <f t="shared" si="1"/>
        <v>0</v>
      </c>
    </row>
    <row r="10" spans="1:19" ht="15.75" x14ac:dyDescent="0.25">
      <c r="A10" s="16">
        <f t="shared" si="0"/>
        <v>8</v>
      </c>
      <c r="B10" s="38" t="str">
        <f>IF(FL!B11="","",FL!B11)</f>
        <v>V24OSamea</v>
      </c>
      <c r="C10" s="38" t="str">
        <f>IF(FL!C11="","",FL!C11)</f>
        <v xml:space="preserve">Omnia Salah-AbdElSamea </v>
      </c>
      <c r="D10" s="38" t="str">
        <f>IF(FL!D11="","",FL!D11)</f>
        <v>Merna Ashraf-Ashrafy</v>
      </c>
      <c r="E10" s="38" t="str">
        <f>IF(FL!E11="","",FL!E11)</f>
        <v>Mohamed Ahmed-Nagy</v>
      </c>
      <c r="F10" s="24">
        <f>VLOOKUP($B:$B,FL!$B:$AV,Total!F$1,0)</f>
        <v>13</v>
      </c>
      <c r="G10" s="24">
        <f>VLOOKUP($B:$B,FL!$B:$AV,Total!G$1,0)</f>
        <v>3</v>
      </c>
      <c r="H10" s="24">
        <f>VLOOKUP($B:$B,FL!$B:$AV,Total!H$1,0)</f>
        <v>0</v>
      </c>
      <c r="I10" s="24">
        <f>VLOOKUP($B:$B,FL!$B:$AV,Total!I$1,0)</f>
        <v>0</v>
      </c>
      <c r="J10" s="24">
        <f>VLOOKUP($B:$B,FL!$B:$AV,Total!J$1,0)</f>
        <v>0</v>
      </c>
      <c r="K10" s="24">
        <f>VLOOKUP($B:$B,FL!$B:$AV,Total!K$1,0)</f>
        <v>0</v>
      </c>
      <c r="L10" s="24">
        <f>VLOOKUP($B:$B,FL!$B:$AV,Total!L$1,0)</f>
        <v>0</v>
      </c>
      <c r="M10" s="24">
        <f>VLOOKUP($B:$B,FL!$B:$AV,Total!M$1,0)</f>
        <v>0</v>
      </c>
      <c r="N10" s="24">
        <f>VLOOKUP($B:$B,FL!$B:$AV,Total!N$1,0)</f>
        <v>0</v>
      </c>
      <c r="O10" s="24">
        <f>VLOOKUP($B:$B,FL!$B:$AV,Total!O$1,0)</f>
        <v>7</v>
      </c>
      <c r="P10" s="24">
        <f>VLOOKUP($B:$B,FL!$B:$AV,Total!P$1,0)</f>
        <v>0</v>
      </c>
      <c r="Q10" s="24">
        <f>VLOOKUP($B:$B,FL!$B:$AV,Total!Q$1,0)</f>
        <v>0</v>
      </c>
      <c r="R10" s="42">
        <f>VLOOKUP(B:B,Conformance!$B$3:$AJ$37,Total!$R$1,0)</f>
        <v>4.5150462962962948E-2</v>
      </c>
      <c r="S10" s="43">
        <f t="shared" si="1"/>
        <v>0</v>
      </c>
    </row>
    <row r="11" spans="1:19" ht="15.75" x14ac:dyDescent="0.25">
      <c r="A11" s="16">
        <f t="shared" si="0"/>
        <v>9</v>
      </c>
      <c r="B11" s="38" t="e">
        <f>IF(FL!#REF!="","",FL!#REF!)</f>
        <v>#REF!</v>
      </c>
      <c r="C11" s="38" t="e">
        <f>IF(FL!#REF!="","",FL!#REF!)</f>
        <v>#REF!</v>
      </c>
      <c r="D11" s="38" t="e">
        <f>IF(FL!#REF!="","",FL!#REF!)</f>
        <v>#REF!</v>
      </c>
      <c r="E11" s="38" t="e">
        <f>IF(FL!#REF!="","",FL!#REF!)</f>
        <v>#REF!</v>
      </c>
      <c r="F11" s="24" t="e">
        <f>VLOOKUP($B:$B,FL!$B:$AV,Total!F$1,0)</f>
        <v>#REF!</v>
      </c>
      <c r="G11" s="24" t="e">
        <f>VLOOKUP($B:$B,FL!$B:$AV,Total!G$1,0)</f>
        <v>#REF!</v>
      </c>
      <c r="H11" s="24" t="e">
        <f>VLOOKUP($B:$B,FL!$B:$AV,Total!H$1,0)</f>
        <v>#REF!</v>
      </c>
      <c r="I11" s="24" t="e">
        <f>VLOOKUP($B:$B,FL!$B:$AV,Total!I$1,0)</f>
        <v>#REF!</v>
      </c>
      <c r="J11" s="24" t="e">
        <f>VLOOKUP($B:$B,FL!$B:$AV,Total!J$1,0)</f>
        <v>#REF!</v>
      </c>
      <c r="K11" s="24" t="e">
        <f>VLOOKUP($B:$B,FL!$B:$AV,Total!K$1,0)</f>
        <v>#REF!</v>
      </c>
      <c r="L11" s="24" t="e">
        <f>VLOOKUP($B:$B,FL!$B:$AV,Total!L$1,0)</f>
        <v>#REF!</v>
      </c>
      <c r="M11" s="24" t="e">
        <f>VLOOKUP($B:$B,FL!$B:$AV,Total!M$1,0)</f>
        <v>#REF!</v>
      </c>
      <c r="N11" s="24" t="e">
        <f>VLOOKUP($B:$B,FL!$B:$AV,Total!N$1,0)</f>
        <v>#REF!</v>
      </c>
      <c r="O11" s="24" t="e">
        <f>VLOOKUP($B:$B,FL!$B:$AV,Total!O$1,0)</f>
        <v>#REF!</v>
      </c>
      <c r="P11" s="24" t="e">
        <f>VLOOKUP($B:$B,FL!$B:$AV,Total!P$1,0)</f>
        <v>#REF!</v>
      </c>
      <c r="Q11" s="24" t="e">
        <f>VLOOKUP($B:$B,FL!$B:$AV,Total!Q$1,0)</f>
        <v>#REF!</v>
      </c>
      <c r="R11" s="42" t="e">
        <f>VLOOKUP(B:B,Conformance!$B$3:$AJ$37,Total!$R$1,0)</f>
        <v>#REF!</v>
      </c>
      <c r="S11" s="43" t="e">
        <f t="shared" si="1"/>
        <v>#REF!</v>
      </c>
    </row>
    <row r="12" spans="1:19" ht="15.75" x14ac:dyDescent="0.25">
      <c r="A12" s="16">
        <f t="shared" si="0"/>
        <v>10</v>
      </c>
      <c r="B12" s="38" t="str">
        <f>IF(FL!B12="","",FL!B12)</f>
        <v>V24AMohamed142</v>
      </c>
      <c r="C12" s="38" t="str">
        <f>IF(FL!C12="","",FL!C12)</f>
        <v>Ahmed Hany-Mohamed</v>
      </c>
      <c r="D12" s="38" t="str">
        <f>IF(FL!D12="","",FL!D12)</f>
        <v>Mohamed Ahmed-Nagy</v>
      </c>
      <c r="E12" s="38" t="str">
        <f>IF(FL!E12="","",FL!E12)</f>
        <v>Mohamed Ahmed-Nagy</v>
      </c>
      <c r="F12" s="24">
        <f>VLOOKUP($B:$B,FL!$B:$AV,Total!F$1,0)</f>
        <v>0</v>
      </c>
      <c r="G12" s="24">
        <f>VLOOKUP($B:$B,FL!$B:$AV,Total!G$1,0)</f>
        <v>0</v>
      </c>
      <c r="H12" s="24">
        <f>VLOOKUP($B:$B,FL!$B:$AV,Total!H$1,0)</f>
        <v>0</v>
      </c>
      <c r="I12" s="24">
        <f>VLOOKUP($B:$B,FL!$B:$AV,Total!I$1,0)</f>
        <v>0</v>
      </c>
      <c r="J12" s="24">
        <f>VLOOKUP($B:$B,FL!$B:$AV,Total!J$1,0)</f>
        <v>0</v>
      </c>
      <c r="K12" s="24">
        <f>VLOOKUP($B:$B,FL!$B:$AV,Total!K$1,0)</f>
        <v>0</v>
      </c>
      <c r="L12" s="24">
        <f>VLOOKUP($B:$B,FL!$B:$AV,Total!L$1,0)</f>
        <v>0</v>
      </c>
      <c r="M12" s="24">
        <f>VLOOKUP($B:$B,FL!$B:$AV,Total!M$1,0)</f>
        <v>0</v>
      </c>
      <c r="N12" s="24">
        <f>VLOOKUP($B:$B,FL!$B:$AV,Total!N$1,0)</f>
        <v>0</v>
      </c>
      <c r="O12" s="24">
        <f>VLOOKUP($B:$B,FL!$B:$AV,Total!O$1,0)</f>
        <v>0</v>
      </c>
      <c r="P12" s="24">
        <f>VLOOKUP($B:$B,FL!$B:$AV,Total!P$1,0)</f>
        <v>0</v>
      </c>
      <c r="Q12" s="24">
        <f>VLOOKUP($B:$B,FL!$B:$AV,Total!Q$1,0)</f>
        <v>0</v>
      </c>
      <c r="R12" s="42">
        <f>VLOOKUP(B:B,Conformance!$B$3:$AJ$37,Total!$R$1,0)</f>
        <v>0</v>
      </c>
      <c r="S12" s="43">
        <f t="shared" si="1"/>
        <v>0</v>
      </c>
    </row>
    <row r="13" spans="1:19" ht="15.75" x14ac:dyDescent="0.25">
      <c r="A13" s="16">
        <f t="shared" si="0"/>
        <v>11</v>
      </c>
      <c r="B13" s="38" t="str">
        <f>IF(FL!B13="","",FL!B13)</f>
        <v>V24KKhalek1</v>
      </c>
      <c r="C13" s="38" t="str">
        <f>IF(FL!C13="","",FL!C13)</f>
        <v>Khaled Waleed-AbdElKhalek</v>
      </c>
      <c r="D13" s="38" t="str">
        <f>IF(FL!D13="","",FL!D13)</f>
        <v>Omar Emad-Mahmoud</v>
      </c>
      <c r="E13" s="38" t="str">
        <f>IF(FL!E13="","",FL!E13)</f>
        <v>Mohamed Ahmed-Nagy</v>
      </c>
      <c r="F13" s="24">
        <f>VLOOKUP($B:$B,FL!$B:$AV,Total!F$1,0)</f>
        <v>17</v>
      </c>
      <c r="G13" s="24">
        <f>VLOOKUP($B:$B,FL!$B:$AV,Total!G$1,0)</f>
        <v>0</v>
      </c>
      <c r="H13" s="24">
        <f>VLOOKUP($B:$B,FL!$B:$AV,Total!H$1,0)</f>
        <v>0</v>
      </c>
      <c r="I13" s="24">
        <f>VLOOKUP($B:$B,FL!$B:$AV,Total!I$1,0)</f>
        <v>0</v>
      </c>
      <c r="J13" s="24">
        <f>VLOOKUP($B:$B,FL!$B:$AV,Total!J$1,0)</f>
        <v>0</v>
      </c>
      <c r="K13" s="24">
        <f>VLOOKUP($B:$B,FL!$B:$AV,Total!K$1,0)</f>
        <v>0</v>
      </c>
      <c r="L13" s="24">
        <f>VLOOKUP($B:$B,FL!$B:$AV,Total!L$1,0)</f>
        <v>1</v>
      </c>
      <c r="M13" s="24">
        <f>VLOOKUP($B:$B,FL!$B:$AV,Total!M$1,0)</f>
        <v>0</v>
      </c>
      <c r="N13" s="24">
        <f>VLOOKUP($B:$B,FL!$B:$AV,Total!N$1,0)</f>
        <v>0</v>
      </c>
      <c r="O13" s="24">
        <f>VLOOKUP($B:$B,FL!$B:$AV,Total!O$1,0)</f>
        <v>5</v>
      </c>
      <c r="P13" s="24">
        <f>VLOOKUP($B:$B,FL!$B:$AV,Total!P$1,0)</f>
        <v>0</v>
      </c>
      <c r="Q13" s="24">
        <f>VLOOKUP($B:$B,FL!$B:$AV,Total!Q$1,0)</f>
        <v>0</v>
      </c>
      <c r="R13" s="42">
        <f>VLOOKUP(B:B,Conformance!$B$3:$AJ$37,Total!$R$1,0)</f>
        <v>5.0925925925925748E-3</v>
      </c>
      <c r="S13" s="43">
        <f t="shared" si="1"/>
        <v>0</v>
      </c>
    </row>
    <row r="14" spans="1:19" ht="15.75" x14ac:dyDescent="0.25">
      <c r="A14" s="16">
        <f t="shared" si="0"/>
        <v>12</v>
      </c>
      <c r="B14" s="38" t="str">
        <f>IF(FL!B14="","",FL!B14)</f>
        <v>V25RFarag3</v>
      </c>
      <c r="C14" s="38" t="str">
        <f>IF(FL!C14="","",FL!C14)</f>
        <v xml:space="preserve">Rawan Ayman-Farag </v>
      </c>
      <c r="D14" s="38" t="str">
        <f>IF(FL!D14="","",FL!D14)</f>
        <v>Merna Ashraf-Ashrafy</v>
      </c>
      <c r="E14" s="38" t="str">
        <f>IF(FL!E14="","",FL!E14)</f>
        <v>Mohamed Ahmed-Nagy</v>
      </c>
      <c r="F14" s="24">
        <f>VLOOKUP($B:$B,FL!$B:$AV,Total!F$1,0)</f>
        <v>16</v>
      </c>
      <c r="G14" s="24">
        <f>VLOOKUP($B:$B,FL!$B:$AV,Total!G$1,0)</f>
        <v>0</v>
      </c>
      <c r="H14" s="24">
        <f>VLOOKUP($B:$B,FL!$B:$AV,Total!H$1,0)</f>
        <v>0</v>
      </c>
      <c r="I14" s="24">
        <f>VLOOKUP($B:$B,FL!$B:$AV,Total!I$1,0)</f>
        <v>0</v>
      </c>
      <c r="J14" s="24">
        <f>VLOOKUP($B:$B,FL!$B:$AV,Total!J$1,0)</f>
        <v>0</v>
      </c>
      <c r="K14" s="24">
        <f>VLOOKUP($B:$B,FL!$B:$AV,Total!K$1,0)</f>
        <v>0</v>
      </c>
      <c r="L14" s="24">
        <f>VLOOKUP($B:$B,FL!$B:$AV,Total!L$1,0)</f>
        <v>0</v>
      </c>
      <c r="M14" s="24">
        <f>VLOOKUP($B:$B,FL!$B:$AV,Total!M$1,0)</f>
        <v>0</v>
      </c>
      <c r="N14" s="24">
        <f>VLOOKUP($B:$B,FL!$B:$AV,Total!N$1,0)</f>
        <v>0</v>
      </c>
      <c r="O14" s="24">
        <f>VLOOKUP($B:$B,FL!$B:$AV,Total!O$1,0)</f>
        <v>7</v>
      </c>
      <c r="P14" s="24">
        <f>VLOOKUP($B:$B,FL!$B:$AV,Total!P$1,0)</f>
        <v>0</v>
      </c>
      <c r="Q14" s="24">
        <f>VLOOKUP($B:$B,FL!$B:$AV,Total!Q$1,0)</f>
        <v>0</v>
      </c>
      <c r="R14" s="42">
        <f>VLOOKUP(B:B,Conformance!$B$3:$AJ$37,Total!$R$1,0)</f>
        <v>2.8703703703703751E-3</v>
      </c>
      <c r="S14" s="43">
        <f t="shared" si="1"/>
        <v>0</v>
      </c>
    </row>
    <row r="15" spans="1:19" ht="15.75" x14ac:dyDescent="0.25">
      <c r="A15" s="16">
        <f t="shared" si="0"/>
        <v>13</v>
      </c>
      <c r="B15" s="38" t="str">
        <f>IF(FL!B15="","",FL!B15)</f>
        <v>V25ASamir2</v>
      </c>
      <c r="C15" s="38" t="str">
        <f>IF(FL!C15="","",FL!C15)</f>
        <v>AbdElRahman Mohamed-Samir</v>
      </c>
      <c r="D15" s="38" t="str">
        <f>IF(FL!D15="","",FL!D15)</f>
        <v>AbdElRahman Adel-ElKelany</v>
      </c>
      <c r="E15" s="38" t="str">
        <f>IF(FL!E15="","",FL!E15)</f>
        <v>Mohamed Ahmed-Nagy</v>
      </c>
      <c r="F15" s="24">
        <f>VLOOKUP($B:$B,FL!$B:$AV,Total!F$1,0)</f>
        <v>15</v>
      </c>
      <c r="G15" s="24">
        <f>VLOOKUP($B:$B,FL!$B:$AV,Total!G$1,0)</f>
        <v>2</v>
      </c>
      <c r="H15" s="24">
        <f>VLOOKUP($B:$B,FL!$B:$AV,Total!H$1,0)</f>
        <v>0</v>
      </c>
      <c r="I15" s="24">
        <f>VLOOKUP($B:$B,FL!$B:$AV,Total!I$1,0)</f>
        <v>0</v>
      </c>
      <c r="J15" s="24">
        <f>VLOOKUP($B:$B,FL!$B:$AV,Total!J$1,0)</f>
        <v>0</v>
      </c>
      <c r="K15" s="24">
        <f>VLOOKUP($B:$B,FL!$B:$AV,Total!K$1,0)</f>
        <v>0</v>
      </c>
      <c r="L15" s="24">
        <f>VLOOKUP($B:$B,FL!$B:$AV,Total!L$1,0)</f>
        <v>0</v>
      </c>
      <c r="M15" s="24">
        <f>VLOOKUP($B:$B,FL!$B:$AV,Total!M$1,0)</f>
        <v>0</v>
      </c>
      <c r="N15" s="24">
        <f>VLOOKUP($B:$B,FL!$B:$AV,Total!N$1,0)</f>
        <v>0</v>
      </c>
      <c r="O15" s="24">
        <f>VLOOKUP($B:$B,FL!$B:$AV,Total!O$1,0)</f>
        <v>6</v>
      </c>
      <c r="P15" s="24">
        <f>VLOOKUP($B:$B,FL!$B:$AV,Total!P$1,0)</f>
        <v>0</v>
      </c>
      <c r="Q15" s="24">
        <f>VLOOKUP($B:$B,FL!$B:$AV,Total!Q$1,0)</f>
        <v>0</v>
      </c>
      <c r="R15" s="42">
        <f>VLOOKUP(B:B,Conformance!$B$3:$AJ$37,Total!$R$1,0)</f>
        <v>3.5069444444444375E-3</v>
      </c>
      <c r="S15" s="43">
        <f t="shared" si="1"/>
        <v>0</v>
      </c>
    </row>
    <row r="16" spans="1:19" ht="15.75" x14ac:dyDescent="0.25">
      <c r="A16" s="16">
        <f t="shared" si="0"/>
        <v>14</v>
      </c>
      <c r="B16" s="38" t="str">
        <f>IF(FL!B16="","",FL!B16)</f>
        <v>V25SZekry</v>
      </c>
      <c r="C16" s="38" t="str">
        <f>IF(FL!C16="","",FL!C16)</f>
        <v>Safaa Safwat-Zekry</v>
      </c>
      <c r="D16" s="38" t="str">
        <f>IF(FL!D16="","",FL!D16)</f>
        <v>Merna Ashraf-Ashrafy</v>
      </c>
      <c r="E16" s="38" t="str">
        <f>IF(FL!E16="","",FL!E16)</f>
        <v>Mohamed Ahmed-Nagy</v>
      </c>
      <c r="F16" s="24">
        <f>VLOOKUP($B:$B,FL!$B:$AV,Total!F$1,0)</f>
        <v>17</v>
      </c>
      <c r="G16" s="24">
        <f>VLOOKUP($B:$B,FL!$B:$AV,Total!G$1,0)</f>
        <v>1</v>
      </c>
      <c r="H16" s="24">
        <f>VLOOKUP($B:$B,FL!$B:$AV,Total!H$1,0)</f>
        <v>0</v>
      </c>
      <c r="I16" s="24">
        <f>VLOOKUP($B:$B,FL!$B:$AV,Total!I$1,0)</f>
        <v>0</v>
      </c>
      <c r="J16" s="24">
        <f>VLOOKUP($B:$B,FL!$B:$AV,Total!J$1,0)</f>
        <v>0</v>
      </c>
      <c r="K16" s="24">
        <f>VLOOKUP($B:$B,FL!$B:$AV,Total!K$1,0)</f>
        <v>0</v>
      </c>
      <c r="L16" s="24">
        <f>VLOOKUP($B:$B,FL!$B:$AV,Total!L$1,0)</f>
        <v>0</v>
      </c>
      <c r="M16" s="24">
        <f>VLOOKUP($B:$B,FL!$B:$AV,Total!M$1,0)</f>
        <v>0</v>
      </c>
      <c r="N16" s="24">
        <f>VLOOKUP($B:$B,FL!$B:$AV,Total!N$1,0)</f>
        <v>0</v>
      </c>
      <c r="O16" s="24">
        <f>VLOOKUP($B:$B,FL!$B:$AV,Total!O$1,0)</f>
        <v>5</v>
      </c>
      <c r="P16" s="24">
        <f>VLOOKUP($B:$B,FL!$B:$AV,Total!P$1,0)</f>
        <v>0</v>
      </c>
      <c r="Q16" s="24">
        <f>VLOOKUP($B:$B,FL!$B:$AV,Total!Q$1,0)</f>
        <v>0</v>
      </c>
      <c r="R16" s="42">
        <f>VLOOKUP(B:B,Conformance!$B$3:$AJ$37,Total!$R$1,0)</f>
        <v>1.173611111111102E-2</v>
      </c>
      <c r="S16" s="43">
        <f t="shared" si="1"/>
        <v>0</v>
      </c>
    </row>
    <row r="17" spans="1:19" ht="15.75" x14ac:dyDescent="0.25">
      <c r="A17" s="16">
        <f t="shared" si="0"/>
        <v>15</v>
      </c>
      <c r="B17" s="38" t="str">
        <f>IF(FL!B17="","",FL!B17)</f>
        <v>V24OMohamed10</v>
      </c>
      <c r="C17" s="38" t="str">
        <f>IF(FL!C17="","",FL!C17)</f>
        <v>Osama Magdy-Mohamed</v>
      </c>
      <c r="D17" s="38" t="str">
        <f>IF(FL!D17="","",FL!D17)</f>
        <v>AbdElRahman Adel-ElKelany</v>
      </c>
      <c r="E17" s="38" t="str">
        <f>IF(FL!E17="","",FL!E17)</f>
        <v>Mohamed Ahmed-Nagy</v>
      </c>
      <c r="F17" s="24">
        <f>VLOOKUP($B:$B,FL!$B:$AV,Total!F$1,0)</f>
        <v>16</v>
      </c>
      <c r="G17" s="24">
        <f>VLOOKUP($B:$B,FL!$B:$AV,Total!G$1,0)</f>
        <v>0</v>
      </c>
      <c r="H17" s="24">
        <f>VLOOKUP($B:$B,FL!$B:$AV,Total!H$1,0)</f>
        <v>0</v>
      </c>
      <c r="I17" s="24">
        <f>VLOOKUP($B:$B,FL!$B:$AV,Total!I$1,0)</f>
        <v>0</v>
      </c>
      <c r="J17" s="24">
        <f>VLOOKUP($B:$B,FL!$B:$AV,Total!J$1,0)</f>
        <v>0</v>
      </c>
      <c r="K17" s="24">
        <f>VLOOKUP($B:$B,FL!$B:$AV,Total!K$1,0)</f>
        <v>0</v>
      </c>
      <c r="L17" s="24">
        <f>VLOOKUP($B:$B,FL!$B:$AV,Total!L$1,0)</f>
        <v>0</v>
      </c>
      <c r="M17" s="24">
        <f>VLOOKUP($B:$B,FL!$B:$AV,Total!M$1,0)</f>
        <v>0</v>
      </c>
      <c r="N17" s="24">
        <f>VLOOKUP($B:$B,FL!$B:$AV,Total!N$1,0)</f>
        <v>0</v>
      </c>
      <c r="O17" s="24">
        <f>VLOOKUP($B:$B,FL!$B:$AV,Total!O$1,0)</f>
        <v>7</v>
      </c>
      <c r="P17" s="24">
        <f>VLOOKUP($B:$B,FL!$B:$AV,Total!P$1,0)</f>
        <v>0</v>
      </c>
      <c r="Q17" s="24">
        <f>VLOOKUP($B:$B,FL!$B:$AV,Total!Q$1,0)</f>
        <v>0</v>
      </c>
      <c r="R17" s="42">
        <f>VLOOKUP(B:B,Conformance!$B$3:$AJ$37,Total!$R$1,0)</f>
        <v>0.12077546296296289</v>
      </c>
      <c r="S17" s="43">
        <f t="shared" si="1"/>
        <v>1</v>
      </c>
    </row>
    <row r="18" spans="1:19" ht="15.75" x14ac:dyDescent="0.25">
      <c r="A18" s="16">
        <f t="shared" si="0"/>
        <v>16</v>
      </c>
      <c r="B18" s="38" t="e">
        <f>IF(FL!#REF!="","",FL!#REF!)</f>
        <v>#REF!</v>
      </c>
      <c r="C18" s="38" t="e">
        <f>IF(FL!#REF!="","",FL!#REF!)</f>
        <v>#REF!</v>
      </c>
      <c r="D18" s="38" t="e">
        <f>IF(FL!#REF!="","",FL!#REF!)</f>
        <v>#REF!</v>
      </c>
      <c r="E18" s="38" t="e">
        <f>IF(FL!#REF!="","",FL!#REF!)</f>
        <v>#REF!</v>
      </c>
      <c r="F18" s="24" t="e">
        <f>VLOOKUP($B:$B,FL!$B:$AV,Total!F$1,0)</f>
        <v>#REF!</v>
      </c>
      <c r="G18" s="24" t="e">
        <f>VLOOKUP($B:$B,FL!$B:$AV,Total!G$1,0)</f>
        <v>#REF!</v>
      </c>
      <c r="H18" s="24" t="e">
        <f>VLOOKUP($B:$B,FL!$B:$AV,Total!H$1,0)</f>
        <v>#REF!</v>
      </c>
      <c r="I18" s="24" t="e">
        <f>VLOOKUP($B:$B,FL!$B:$AV,Total!I$1,0)</f>
        <v>#REF!</v>
      </c>
      <c r="J18" s="24" t="e">
        <f>VLOOKUP($B:$B,FL!$B:$AV,Total!J$1,0)</f>
        <v>#REF!</v>
      </c>
      <c r="K18" s="24" t="e">
        <f>VLOOKUP($B:$B,FL!$B:$AV,Total!K$1,0)</f>
        <v>#REF!</v>
      </c>
      <c r="L18" s="24" t="e">
        <f>VLOOKUP($B:$B,FL!$B:$AV,Total!L$1,0)</f>
        <v>#REF!</v>
      </c>
      <c r="M18" s="24" t="e">
        <f>VLOOKUP($B:$B,FL!$B:$AV,Total!M$1,0)</f>
        <v>#REF!</v>
      </c>
      <c r="N18" s="24" t="e">
        <f>VLOOKUP($B:$B,FL!$B:$AV,Total!N$1,0)</f>
        <v>#REF!</v>
      </c>
      <c r="O18" s="24" t="e">
        <f>VLOOKUP($B:$B,FL!$B:$AV,Total!O$1,0)</f>
        <v>#REF!</v>
      </c>
      <c r="P18" s="24" t="e">
        <f>VLOOKUP($B:$B,FL!$B:$AV,Total!P$1,0)</f>
        <v>#REF!</v>
      </c>
      <c r="Q18" s="24" t="e">
        <f>VLOOKUP($B:$B,FL!$B:$AV,Total!Q$1,0)</f>
        <v>#REF!</v>
      </c>
      <c r="R18" s="42" t="e">
        <f>VLOOKUP(B:B,Conformance!$B$3:$AJ$37,Total!$R$1,0)</f>
        <v>#REF!</v>
      </c>
      <c r="S18" s="43" t="e">
        <f t="shared" si="1"/>
        <v>#REF!</v>
      </c>
    </row>
    <row r="19" spans="1:19" ht="15.75" x14ac:dyDescent="0.25">
      <c r="A19" s="16">
        <f t="shared" si="0"/>
        <v>17</v>
      </c>
      <c r="B19" s="38" t="e">
        <f>IF(FL!#REF!="","",FL!#REF!)</f>
        <v>#REF!</v>
      </c>
      <c r="C19" s="38" t="e">
        <f>IF(FL!#REF!="","",FL!#REF!)</f>
        <v>#REF!</v>
      </c>
      <c r="D19" s="38" t="e">
        <f>IF(FL!#REF!="","",FL!#REF!)</f>
        <v>#REF!</v>
      </c>
      <c r="E19" s="38" t="e">
        <f>IF(FL!#REF!="","",FL!#REF!)</f>
        <v>#REF!</v>
      </c>
      <c r="F19" s="24" t="e">
        <f>VLOOKUP($B:$B,FL!$B:$AV,Total!F$1,0)</f>
        <v>#REF!</v>
      </c>
      <c r="G19" s="24" t="e">
        <f>VLOOKUP($B:$B,FL!$B:$AV,Total!G$1,0)</f>
        <v>#REF!</v>
      </c>
      <c r="H19" s="24" t="e">
        <f>VLOOKUP($B:$B,FL!$B:$AV,Total!H$1,0)</f>
        <v>#REF!</v>
      </c>
      <c r="I19" s="24" t="e">
        <f>VLOOKUP($B:$B,FL!$B:$AV,Total!I$1,0)</f>
        <v>#REF!</v>
      </c>
      <c r="J19" s="24" t="e">
        <f>VLOOKUP($B:$B,FL!$B:$AV,Total!J$1,0)</f>
        <v>#REF!</v>
      </c>
      <c r="K19" s="24" t="e">
        <f>VLOOKUP($B:$B,FL!$B:$AV,Total!K$1,0)</f>
        <v>#REF!</v>
      </c>
      <c r="L19" s="24" t="e">
        <f>VLOOKUP($B:$B,FL!$B:$AV,Total!L$1,0)</f>
        <v>#REF!</v>
      </c>
      <c r="M19" s="24" t="e">
        <f>VLOOKUP($B:$B,FL!$B:$AV,Total!M$1,0)</f>
        <v>#REF!</v>
      </c>
      <c r="N19" s="24" t="e">
        <f>VLOOKUP($B:$B,FL!$B:$AV,Total!N$1,0)</f>
        <v>#REF!</v>
      </c>
      <c r="O19" s="24" t="e">
        <f>VLOOKUP($B:$B,FL!$B:$AV,Total!O$1,0)</f>
        <v>#REF!</v>
      </c>
      <c r="P19" s="24" t="e">
        <f>VLOOKUP($B:$B,FL!$B:$AV,Total!P$1,0)</f>
        <v>#REF!</v>
      </c>
      <c r="Q19" s="24" t="e">
        <f>VLOOKUP($B:$B,FL!$B:$AV,Total!Q$1,0)</f>
        <v>#REF!</v>
      </c>
      <c r="R19" s="42" t="e">
        <f>VLOOKUP(B:B,Conformance!$B$3:$AJ$37,Total!$R$1,0)</f>
        <v>#REF!</v>
      </c>
      <c r="S19" s="43" t="e">
        <f t="shared" si="1"/>
        <v>#REF!</v>
      </c>
    </row>
    <row r="20" spans="1:19" ht="15.75" x14ac:dyDescent="0.25">
      <c r="A20" s="16">
        <f t="shared" si="0"/>
        <v>18</v>
      </c>
      <c r="B20" s="38" t="str">
        <f>IF(FL!B18="","",FL!B18)</f>
        <v>V25TAhmed3</v>
      </c>
      <c r="C20" s="38" t="str">
        <f>IF(FL!C18="","",FL!C18)</f>
        <v>Tarek Ayman-Ahmed</v>
      </c>
      <c r="D20" s="38" t="str">
        <f>IF(FL!D18="","",FL!D18)</f>
        <v>AbdElRahman Adel-ElKelany</v>
      </c>
      <c r="E20" s="38" t="str">
        <f>IF(FL!E18="","",FL!E18)</f>
        <v>Mohamed Ahmed-Nagy</v>
      </c>
      <c r="F20" s="24">
        <f>VLOOKUP($B:$B,FL!$B:$AV,Total!F$1,0)</f>
        <v>18</v>
      </c>
      <c r="G20" s="24">
        <f>VLOOKUP($B:$B,FL!$B:$AV,Total!G$1,0)</f>
        <v>0</v>
      </c>
      <c r="H20" s="24">
        <f>VLOOKUP($B:$B,FL!$B:$AV,Total!H$1,0)</f>
        <v>0</v>
      </c>
      <c r="I20" s="24">
        <f>VLOOKUP($B:$B,FL!$B:$AV,Total!I$1,0)</f>
        <v>0</v>
      </c>
      <c r="J20" s="24">
        <f>VLOOKUP($B:$B,FL!$B:$AV,Total!J$1,0)</f>
        <v>0</v>
      </c>
      <c r="K20" s="24">
        <f>VLOOKUP($B:$B,FL!$B:$AV,Total!K$1,0)</f>
        <v>0</v>
      </c>
      <c r="L20" s="24">
        <f>VLOOKUP($B:$B,FL!$B:$AV,Total!L$1,0)</f>
        <v>0</v>
      </c>
      <c r="M20" s="24">
        <f>VLOOKUP($B:$B,FL!$B:$AV,Total!M$1,0)</f>
        <v>0</v>
      </c>
      <c r="N20" s="24">
        <f>VLOOKUP($B:$B,FL!$B:$AV,Total!N$1,0)</f>
        <v>0</v>
      </c>
      <c r="O20" s="24">
        <f>VLOOKUP($B:$B,FL!$B:$AV,Total!O$1,0)</f>
        <v>5</v>
      </c>
      <c r="P20" s="24">
        <f>VLOOKUP($B:$B,FL!$B:$AV,Total!P$1,0)</f>
        <v>0</v>
      </c>
      <c r="Q20" s="24">
        <f>VLOOKUP($B:$B,FL!$B:$AV,Total!Q$1,0)</f>
        <v>0</v>
      </c>
      <c r="R20" s="42">
        <f>VLOOKUP(B:B,Conformance!$B$3:$AJ$37,Total!$R$1,0)</f>
        <v>0.10303240740740738</v>
      </c>
      <c r="S20" s="43">
        <f t="shared" si="1"/>
        <v>1</v>
      </c>
    </row>
    <row r="21" spans="1:19" ht="15.75" x14ac:dyDescent="0.25">
      <c r="A21" s="16">
        <f t="shared" si="0"/>
        <v>19</v>
      </c>
      <c r="B21" s="38" t="e">
        <f>IF(FL!#REF!="","",FL!#REF!)</f>
        <v>#REF!</v>
      </c>
      <c r="C21" s="38" t="e">
        <f>IF(FL!#REF!="","",FL!#REF!)</f>
        <v>#REF!</v>
      </c>
      <c r="D21" s="38" t="e">
        <f>IF(FL!#REF!="","",FL!#REF!)</f>
        <v>#REF!</v>
      </c>
      <c r="E21" s="38" t="e">
        <f>IF(FL!#REF!="","",FL!#REF!)</f>
        <v>#REF!</v>
      </c>
      <c r="F21" s="24" t="e">
        <f>VLOOKUP($B:$B,FL!$B:$AV,Total!F$1,0)</f>
        <v>#REF!</v>
      </c>
      <c r="G21" s="24" t="e">
        <f>VLOOKUP($B:$B,FL!$B:$AV,Total!G$1,0)</f>
        <v>#REF!</v>
      </c>
      <c r="H21" s="24" t="e">
        <f>VLOOKUP($B:$B,FL!$B:$AV,Total!H$1,0)</f>
        <v>#REF!</v>
      </c>
      <c r="I21" s="24" t="e">
        <f>VLOOKUP($B:$B,FL!$B:$AV,Total!I$1,0)</f>
        <v>#REF!</v>
      </c>
      <c r="J21" s="24" t="e">
        <f>VLOOKUP($B:$B,FL!$B:$AV,Total!J$1,0)</f>
        <v>#REF!</v>
      </c>
      <c r="K21" s="24" t="e">
        <f>VLOOKUP($B:$B,FL!$B:$AV,Total!K$1,0)</f>
        <v>#REF!</v>
      </c>
      <c r="L21" s="24" t="e">
        <f>VLOOKUP($B:$B,FL!$B:$AV,Total!L$1,0)</f>
        <v>#REF!</v>
      </c>
      <c r="M21" s="24" t="e">
        <f>VLOOKUP($B:$B,FL!$B:$AV,Total!M$1,0)</f>
        <v>#REF!</v>
      </c>
      <c r="N21" s="24" t="e">
        <f>VLOOKUP($B:$B,FL!$B:$AV,Total!N$1,0)</f>
        <v>#REF!</v>
      </c>
      <c r="O21" s="24" t="e">
        <f>VLOOKUP($B:$B,FL!$B:$AV,Total!O$1,0)</f>
        <v>#REF!</v>
      </c>
      <c r="P21" s="24" t="e">
        <f>VLOOKUP($B:$B,FL!$B:$AV,Total!P$1,0)</f>
        <v>#REF!</v>
      </c>
      <c r="Q21" s="24" t="e">
        <f>VLOOKUP($B:$B,FL!$B:$AV,Total!Q$1,0)</f>
        <v>#REF!</v>
      </c>
      <c r="R21" s="42" t="e">
        <f>VLOOKUP(B:B,Conformance!$B$3:$AJ$37,Total!$R$1,0)</f>
        <v>#REF!</v>
      </c>
      <c r="S21" s="43" t="e">
        <f t="shared" si="1"/>
        <v>#REF!</v>
      </c>
    </row>
    <row r="22" spans="1:19" ht="15.75" x14ac:dyDescent="0.25">
      <c r="A22" s="16">
        <f t="shared" si="0"/>
        <v>20</v>
      </c>
      <c r="B22" s="38" t="str">
        <f>IF(FL!B19="","",FL!B19)</f>
        <v>V25ARizk</v>
      </c>
      <c r="C22" s="38" t="str">
        <f>IF(FL!C19="","",FL!C19)</f>
        <v>Ahmed Sameh-Rizk</v>
      </c>
      <c r="D22" s="38" t="str">
        <f>IF(FL!D19="","",FL!D19)</f>
        <v>Omar Emad-Mahmoud</v>
      </c>
      <c r="E22" s="38" t="str">
        <f>IF(FL!E19="","",FL!E19)</f>
        <v>Mohamed Ahmed-Nagy</v>
      </c>
      <c r="F22" s="24">
        <f>VLOOKUP($B:$B,FL!$B:$AV,Total!F$1,0)</f>
        <v>18</v>
      </c>
      <c r="G22" s="24">
        <f>VLOOKUP($B:$B,FL!$B:$AV,Total!G$1,0)</f>
        <v>0</v>
      </c>
      <c r="H22" s="24">
        <f>VLOOKUP($B:$B,FL!$B:$AV,Total!H$1,0)</f>
        <v>0</v>
      </c>
      <c r="I22" s="24">
        <f>VLOOKUP($B:$B,FL!$B:$AV,Total!I$1,0)</f>
        <v>0</v>
      </c>
      <c r="J22" s="24">
        <f>VLOOKUP($B:$B,FL!$B:$AV,Total!J$1,0)</f>
        <v>0</v>
      </c>
      <c r="K22" s="24">
        <f>VLOOKUP($B:$B,FL!$B:$AV,Total!K$1,0)</f>
        <v>0</v>
      </c>
      <c r="L22" s="24">
        <f>VLOOKUP($B:$B,FL!$B:$AV,Total!L$1,0)</f>
        <v>0</v>
      </c>
      <c r="M22" s="24">
        <f>VLOOKUP($B:$B,FL!$B:$AV,Total!M$1,0)</f>
        <v>0</v>
      </c>
      <c r="N22" s="24">
        <f>VLOOKUP($B:$B,FL!$B:$AV,Total!N$1,0)</f>
        <v>0</v>
      </c>
      <c r="O22" s="24">
        <f>VLOOKUP($B:$B,FL!$B:$AV,Total!O$1,0)</f>
        <v>5</v>
      </c>
      <c r="P22" s="24">
        <f>VLOOKUP($B:$B,FL!$B:$AV,Total!P$1,0)</f>
        <v>0</v>
      </c>
      <c r="Q22" s="24">
        <f>VLOOKUP($B:$B,FL!$B:$AV,Total!Q$1,0)</f>
        <v>0</v>
      </c>
      <c r="R22" s="42">
        <f>VLOOKUP(B:B,Conformance!$B$3:$AJ$37,Total!$R$1,0)</f>
        <v>4.5983796296296307E-2</v>
      </c>
      <c r="S22" s="43">
        <f t="shared" si="1"/>
        <v>0</v>
      </c>
    </row>
    <row r="23" spans="1:19" ht="15.75" x14ac:dyDescent="0.25">
      <c r="A23" s="16">
        <f t="shared" si="0"/>
        <v>21</v>
      </c>
      <c r="B23" s="38" t="str">
        <f>IF(FL!B20="","",FL!B20)</f>
        <v>V25YMohamed24</v>
      </c>
      <c r="C23" s="38" t="str">
        <f>IF(FL!C20="","",FL!C20)</f>
        <v>Yasmine Waleed-Mohamed</v>
      </c>
      <c r="D23" s="38" t="str">
        <f>IF(FL!D20="","",FL!D20)</f>
        <v>Merna Ashraf-Ashrafy</v>
      </c>
      <c r="E23" s="38" t="str">
        <f>IF(FL!E20="","",FL!E20)</f>
        <v>Mohamed Ahmed-Nagy</v>
      </c>
      <c r="F23" s="24">
        <f>VLOOKUP($B:$B,FL!$B:$AV,Total!F$1,0)</f>
        <v>15</v>
      </c>
      <c r="G23" s="24">
        <f>VLOOKUP($B:$B,FL!$B:$AV,Total!G$1,0)</f>
        <v>1</v>
      </c>
      <c r="H23" s="24">
        <f>VLOOKUP($B:$B,FL!$B:$AV,Total!H$1,0)</f>
        <v>0</v>
      </c>
      <c r="I23" s="24">
        <f>VLOOKUP($B:$B,FL!$B:$AV,Total!I$1,0)</f>
        <v>0</v>
      </c>
      <c r="J23" s="24">
        <f>VLOOKUP($B:$B,FL!$B:$AV,Total!J$1,0)</f>
        <v>0</v>
      </c>
      <c r="K23" s="24">
        <f>VLOOKUP($B:$B,FL!$B:$AV,Total!K$1,0)</f>
        <v>0</v>
      </c>
      <c r="L23" s="24">
        <f>VLOOKUP($B:$B,FL!$B:$AV,Total!L$1,0)</f>
        <v>0</v>
      </c>
      <c r="M23" s="24">
        <f>VLOOKUP($B:$B,FL!$B:$AV,Total!M$1,0)</f>
        <v>0</v>
      </c>
      <c r="N23" s="24">
        <f>VLOOKUP($B:$B,FL!$B:$AV,Total!N$1,0)</f>
        <v>0</v>
      </c>
      <c r="O23" s="24">
        <f>VLOOKUP($B:$B,FL!$B:$AV,Total!O$1,0)</f>
        <v>7</v>
      </c>
      <c r="P23" s="24">
        <f>VLOOKUP($B:$B,FL!$B:$AV,Total!P$1,0)</f>
        <v>0</v>
      </c>
      <c r="Q23" s="24">
        <f>VLOOKUP($B:$B,FL!$B:$AV,Total!Q$1,0)</f>
        <v>0</v>
      </c>
      <c r="R23" s="42">
        <f>VLOOKUP(B:B,Conformance!$B$3:$AJ$37,Total!$R$1,0)</f>
        <v>0</v>
      </c>
      <c r="S23" s="43">
        <f t="shared" si="1"/>
        <v>0</v>
      </c>
    </row>
    <row r="24" spans="1:19" ht="15.75" x14ac:dyDescent="0.25">
      <c r="A24" s="16">
        <f t="shared" si="0"/>
        <v>22</v>
      </c>
      <c r="B24" s="38" t="str">
        <f>IF(FL!B21="","",FL!B21)</f>
        <v>V25NSaeed1</v>
      </c>
      <c r="C24" s="38" t="str">
        <f>IF(FL!C21="","",FL!C21)</f>
        <v>Nouran AbdAllah-Saeed</v>
      </c>
      <c r="D24" s="38" t="str">
        <f>IF(FL!D21="","",FL!D21)</f>
        <v>Merna Ashraf-Ashrafy</v>
      </c>
      <c r="E24" s="38" t="str">
        <f>IF(FL!E21="","",FL!E21)</f>
        <v>Mohamed Ahmed-Nagy</v>
      </c>
      <c r="F24" s="24">
        <f>VLOOKUP($B:$B,FL!$B:$AV,Total!F$1,0)</f>
        <v>15</v>
      </c>
      <c r="G24" s="24">
        <f>VLOOKUP($B:$B,FL!$B:$AV,Total!G$1,0)</f>
        <v>0</v>
      </c>
      <c r="H24" s="24">
        <f>VLOOKUP($B:$B,FL!$B:$AV,Total!H$1,0)</f>
        <v>0</v>
      </c>
      <c r="I24" s="24">
        <f>VLOOKUP($B:$B,FL!$B:$AV,Total!I$1,0)</f>
        <v>0</v>
      </c>
      <c r="J24" s="24">
        <f>VLOOKUP($B:$B,FL!$B:$AV,Total!J$1,0)</f>
        <v>0</v>
      </c>
      <c r="K24" s="24">
        <f>VLOOKUP($B:$B,FL!$B:$AV,Total!K$1,0)</f>
        <v>0</v>
      </c>
      <c r="L24" s="24">
        <f>VLOOKUP($B:$B,FL!$B:$AV,Total!L$1,0)</f>
        <v>0</v>
      </c>
      <c r="M24" s="24">
        <f>VLOOKUP($B:$B,FL!$B:$AV,Total!M$1,0)</f>
        <v>0</v>
      </c>
      <c r="N24" s="24">
        <f>VLOOKUP($B:$B,FL!$B:$AV,Total!N$1,0)</f>
        <v>0</v>
      </c>
      <c r="O24" s="24">
        <f>VLOOKUP($B:$B,FL!$B:$AV,Total!O$1,0)</f>
        <v>8</v>
      </c>
      <c r="P24" s="24">
        <f>VLOOKUP($B:$B,FL!$B:$AV,Total!P$1,0)</f>
        <v>0</v>
      </c>
      <c r="Q24" s="24">
        <f>VLOOKUP($B:$B,FL!$B:$AV,Total!Q$1,0)</f>
        <v>0</v>
      </c>
      <c r="R24" s="42">
        <f>VLOOKUP(B:B,Conformance!$B$3:$AJ$37,Total!$R$1,0)</f>
        <v>2.5810185185184409E-3</v>
      </c>
      <c r="S24" s="43">
        <f t="shared" si="1"/>
        <v>0</v>
      </c>
    </row>
    <row r="25" spans="1:19" ht="15.75" x14ac:dyDescent="0.25">
      <c r="A25" s="16">
        <f t="shared" si="0"/>
        <v>23</v>
      </c>
      <c r="B25" s="38" t="str">
        <f>IF(FL!B22="","",FL!B22)</f>
        <v>V25JRazek</v>
      </c>
      <c r="C25" s="38" t="str">
        <f>IF(FL!C22="","",FL!C22)</f>
        <v>Jana HossamElDin-AbdElRazek</v>
      </c>
      <c r="D25" s="38" t="str">
        <f>IF(FL!D22="","",FL!D22)</f>
        <v>Merna Ashraf-Ashrafy</v>
      </c>
      <c r="E25" s="38" t="str">
        <f>IF(FL!E22="","",FL!E22)</f>
        <v>Mohamed Ahmed-Nagy</v>
      </c>
      <c r="F25" s="24">
        <f>VLOOKUP($B:$B,FL!$B:$AV,Total!F$1,0)</f>
        <v>16</v>
      </c>
      <c r="G25" s="24">
        <f>VLOOKUP($B:$B,FL!$B:$AV,Total!G$1,0)</f>
        <v>0</v>
      </c>
      <c r="H25" s="24">
        <f>VLOOKUP($B:$B,FL!$B:$AV,Total!H$1,0)</f>
        <v>0</v>
      </c>
      <c r="I25" s="24">
        <f>VLOOKUP($B:$B,FL!$B:$AV,Total!I$1,0)</f>
        <v>0</v>
      </c>
      <c r="J25" s="24">
        <f>VLOOKUP($B:$B,FL!$B:$AV,Total!J$1,0)</f>
        <v>0</v>
      </c>
      <c r="K25" s="24">
        <f>VLOOKUP($B:$B,FL!$B:$AV,Total!K$1,0)</f>
        <v>0</v>
      </c>
      <c r="L25" s="24">
        <f>VLOOKUP($B:$B,FL!$B:$AV,Total!L$1,0)</f>
        <v>0</v>
      </c>
      <c r="M25" s="24">
        <f>VLOOKUP($B:$B,FL!$B:$AV,Total!M$1,0)</f>
        <v>0</v>
      </c>
      <c r="N25" s="24">
        <f>VLOOKUP($B:$B,FL!$B:$AV,Total!N$1,0)</f>
        <v>0</v>
      </c>
      <c r="O25" s="24">
        <f>VLOOKUP($B:$B,FL!$B:$AV,Total!O$1,0)</f>
        <v>7</v>
      </c>
      <c r="P25" s="24">
        <f>VLOOKUP($B:$B,FL!$B:$AV,Total!P$1,0)</f>
        <v>0</v>
      </c>
      <c r="Q25" s="24">
        <f>VLOOKUP($B:$B,FL!$B:$AV,Total!Q$1,0)</f>
        <v>0</v>
      </c>
      <c r="R25" s="42">
        <f>VLOOKUP(B:B,Conformance!$B$3:$AJ$37,Total!$R$1,0)</f>
        <v>4.3611111111111121E-2</v>
      </c>
      <c r="S25" s="43">
        <f t="shared" si="1"/>
        <v>0</v>
      </c>
    </row>
    <row r="26" spans="1:19" ht="15.75" x14ac:dyDescent="0.25">
      <c r="A26" s="16">
        <f t="shared" si="0"/>
        <v>24</v>
      </c>
      <c r="B26" s="38" t="str">
        <f>IF(FL!B23="","",FL!B23)</f>
        <v>V25OAzab</v>
      </c>
      <c r="C26" s="38" t="str">
        <f>IF(FL!C23="","",FL!C23)</f>
        <v>Omnia Wageeh-ElAzab</v>
      </c>
      <c r="D26" s="38" t="str">
        <f>IF(FL!D23="","",FL!D23)</f>
        <v>AbdElRahman Adel-ElKelany</v>
      </c>
      <c r="E26" s="38" t="str">
        <f>IF(FL!E23="","",FL!E23)</f>
        <v>Mohamed Ahmed-Nagy</v>
      </c>
      <c r="F26" s="24">
        <f>VLOOKUP($B:$B,FL!$B:$AV,Total!F$1,0)</f>
        <v>15</v>
      </c>
      <c r="G26" s="24">
        <f>VLOOKUP($B:$B,FL!$B:$AV,Total!G$1,0)</f>
        <v>1</v>
      </c>
      <c r="H26" s="24">
        <f>VLOOKUP($B:$B,FL!$B:$AV,Total!H$1,0)</f>
        <v>0</v>
      </c>
      <c r="I26" s="24">
        <f>VLOOKUP($B:$B,FL!$B:$AV,Total!I$1,0)</f>
        <v>0</v>
      </c>
      <c r="J26" s="24">
        <f>VLOOKUP($B:$B,FL!$B:$AV,Total!J$1,0)</f>
        <v>0</v>
      </c>
      <c r="K26" s="24">
        <f>VLOOKUP($B:$B,FL!$B:$AV,Total!K$1,0)</f>
        <v>0</v>
      </c>
      <c r="L26" s="24">
        <f>VLOOKUP($B:$B,FL!$B:$AV,Total!L$1,0)</f>
        <v>0</v>
      </c>
      <c r="M26" s="24">
        <f>VLOOKUP($B:$B,FL!$B:$AV,Total!M$1,0)</f>
        <v>0</v>
      </c>
      <c r="N26" s="24">
        <f>VLOOKUP($B:$B,FL!$B:$AV,Total!N$1,0)</f>
        <v>0</v>
      </c>
      <c r="O26" s="24">
        <f>VLOOKUP($B:$B,FL!$B:$AV,Total!O$1,0)</f>
        <v>7</v>
      </c>
      <c r="P26" s="24">
        <f>VLOOKUP($B:$B,FL!$B:$AV,Total!P$1,0)</f>
        <v>0</v>
      </c>
      <c r="Q26" s="24">
        <f>VLOOKUP($B:$B,FL!$B:$AV,Total!Q$1,0)</f>
        <v>0</v>
      </c>
      <c r="R26" s="42">
        <f>VLOOKUP(B:B,Conformance!$B$3:$AJ$37,Total!$R$1,0)</f>
        <v>0</v>
      </c>
      <c r="S26" s="43">
        <f t="shared" si="1"/>
        <v>0</v>
      </c>
    </row>
    <row r="27" spans="1:19" ht="15.75" x14ac:dyDescent="0.25">
      <c r="A27" s="16">
        <f t="shared" si="0"/>
        <v>25</v>
      </c>
      <c r="B27" s="38" t="e">
        <f>IF(FL!#REF!="","",FL!#REF!)</f>
        <v>#REF!</v>
      </c>
      <c r="C27" s="38" t="e">
        <f>IF(FL!#REF!="","",FL!#REF!)</f>
        <v>#REF!</v>
      </c>
      <c r="D27" s="38" t="e">
        <f>IF(FL!#REF!="","",FL!#REF!)</f>
        <v>#REF!</v>
      </c>
      <c r="E27" s="38" t="e">
        <f>IF(FL!#REF!="","",FL!#REF!)</f>
        <v>#REF!</v>
      </c>
      <c r="F27" s="24" t="e">
        <f>VLOOKUP($B:$B,FL!$B:$AV,Total!F$1,0)</f>
        <v>#REF!</v>
      </c>
      <c r="G27" s="24" t="e">
        <f>VLOOKUP($B:$B,FL!$B:$AV,Total!G$1,0)</f>
        <v>#REF!</v>
      </c>
      <c r="H27" s="24" t="e">
        <f>VLOOKUP($B:$B,FL!$B:$AV,Total!H$1,0)</f>
        <v>#REF!</v>
      </c>
      <c r="I27" s="24" t="e">
        <f>VLOOKUP($B:$B,FL!$B:$AV,Total!I$1,0)</f>
        <v>#REF!</v>
      </c>
      <c r="J27" s="24" t="e">
        <f>VLOOKUP($B:$B,FL!$B:$AV,Total!J$1,0)</f>
        <v>#REF!</v>
      </c>
      <c r="K27" s="24" t="e">
        <f>VLOOKUP($B:$B,FL!$B:$AV,Total!K$1,0)</f>
        <v>#REF!</v>
      </c>
      <c r="L27" s="24" t="e">
        <f>VLOOKUP($B:$B,FL!$B:$AV,Total!L$1,0)</f>
        <v>#REF!</v>
      </c>
      <c r="M27" s="24" t="e">
        <f>VLOOKUP($B:$B,FL!$B:$AV,Total!M$1,0)</f>
        <v>#REF!</v>
      </c>
      <c r="N27" s="24" t="e">
        <f>VLOOKUP($B:$B,FL!$B:$AV,Total!N$1,0)</f>
        <v>#REF!</v>
      </c>
      <c r="O27" s="24" t="e">
        <f>VLOOKUP($B:$B,FL!$B:$AV,Total!O$1,0)</f>
        <v>#REF!</v>
      </c>
      <c r="P27" s="24" t="e">
        <f>VLOOKUP($B:$B,FL!$B:$AV,Total!P$1,0)</f>
        <v>#REF!</v>
      </c>
      <c r="Q27" s="24" t="e">
        <f>VLOOKUP($B:$B,FL!$B:$AV,Total!Q$1,0)</f>
        <v>#REF!</v>
      </c>
      <c r="R27" s="42" t="e">
        <f>VLOOKUP(B:B,Conformance!$B$3:$AJ$37,Total!$R$1,0)</f>
        <v>#REF!</v>
      </c>
      <c r="S27" s="43" t="e">
        <f t="shared" si="1"/>
        <v>#REF!</v>
      </c>
    </row>
    <row r="28" spans="1:19" s="28" customFormat="1" ht="15.75" x14ac:dyDescent="0.25">
      <c r="A28" s="16">
        <f t="shared" si="0"/>
        <v>26</v>
      </c>
      <c r="B28" s="38" t="str">
        <f>IF(FL!B24="","",FL!B24)</f>
        <v>V25MHassanien</v>
      </c>
      <c r="C28" s="38" t="str">
        <f>IF(FL!C24="","",FL!C24)</f>
        <v>Mohamed Adel-Hassanien</v>
      </c>
      <c r="D28" s="38" t="str">
        <f>IF(FL!D24="","",FL!D24)</f>
        <v>AbdElRahman Adel-ElKelany</v>
      </c>
      <c r="E28" s="38" t="str">
        <f>IF(FL!E24="","",FL!E24)</f>
        <v>Mohamed Ahmed-Nagy</v>
      </c>
      <c r="F28" s="24">
        <f>VLOOKUP($B:$B,FL!$B:$AV,Total!F$1,0)</f>
        <v>16</v>
      </c>
      <c r="G28" s="24">
        <f>VLOOKUP($B:$B,FL!$B:$AV,Total!G$1,0)</f>
        <v>0</v>
      </c>
      <c r="H28" s="24">
        <f>VLOOKUP($B:$B,FL!$B:$AV,Total!H$1,0)</f>
        <v>0</v>
      </c>
      <c r="I28" s="24">
        <f>VLOOKUP($B:$B,FL!$B:$AV,Total!I$1,0)</f>
        <v>0</v>
      </c>
      <c r="J28" s="24">
        <f>VLOOKUP($B:$B,FL!$B:$AV,Total!J$1,0)</f>
        <v>0</v>
      </c>
      <c r="K28" s="24">
        <f>VLOOKUP($B:$B,FL!$B:$AV,Total!K$1,0)</f>
        <v>0</v>
      </c>
      <c r="L28" s="24">
        <f>VLOOKUP($B:$B,FL!$B:$AV,Total!L$1,0)</f>
        <v>0</v>
      </c>
      <c r="M28" s="24">
        <f>VLOOKUP($B:$B,FL!$B:$AV,Total!M$1,0)</f>
        <v>0</v>
      </c>
      <c r="N28" s="24">
        <f>VLOOKUP($B:$B,FL!$B:$AV,Total!N$1,0)</f>
        <v>0</v>
      </c>
      <c r="O28" s="24">
        <f>VLOOKUP($B:$B,FL!$B:$AV,Total!O$1,0)</f>
        <v>7</v>
      </c>
      <c r="P28" s="24">
        <f>VLOOKUP($B:$B,FL!$B:$AV,Total!P$1,0)</f>
        <v>0</v>
      </c>
      <c r="Q28" s="24">
        <f>VLOOKUP($B:$B,FL!$B:$AV,Total!Q$1,0)</f>
        <v>0</v>
      </c>
      <c r="R28" s="42">
        <f>VLOOKUP(B:B,Conformance!$B$3:$AJ$37,Total!$R$1,0)</f>
        <v>2.9745370370370208E-3</v>
      </c>
      <c r="S28" s="43">
        <f t="shared" ref="S28:S34" si="2">IF((R28*24)&gt;12,3,IF((R28*24)&gt;6,2,IF((R28*24)&gt;2,1,0)))</f>
        <v>0</v>
      </c>
    </row>
    <row r="29" spans="1:19" s="28" customFormat="1" ht="15.75" x14ac:dyDescent="0.25">
      <c r="A29" s="16">
        <f t="shared" si="0"/>
        <v>27</v>
      </c>
      <c r="B29" s="38" t="str">
        <f>IF(FL!B25="","",FL!B25)</f>
        <v>V25OMahmoud1</v>
      </c>
      <c r="C29" s="38" t="str">
        <f>IF(FL!C25="","",FL!C25)</f>
        <v>Ola Essam-Mahmoud</v>
      </c>
      <c r="D29" s="38" t="str">
        <f>IF(FL!D25="","",FL!D25)</f>
        <v>Merna Ashraf-Ashrafy</v>
      </c>
      <c r="E29" s="38" t="str">
        <f>IF(FL!E25="","",FL!E25)</f>
        <v>Mohamed Ahmed-Nagy</v>
      </c>
      <c r="F29" s="24">
        <f>VLOOKUP($B:$B,FL!$B:$AV,Total!F$1,0)</f>
        <v>19</v>
      </c>
      <c r="G29" s="24">
        <f>VLOOKUP($B:$B,FL!$B:$AV,Total!G$1,0)</f>
        <v>0</v>
      </c>
      <c r="H29" s="24">
        <f>VLOOKUP($B:$B,FL!$B:$AV,Total!H$1,0)</f>
        <v>0</v>
      </c>
      <c r="I29" s="24">
        <f>VLOOKUP($B:$B,FL!$B:$AV,Total!I$1,0)</f>
        <v>0</v>
      </c>
      <c r="J29" s="24">
        <f>VLOOKUP($B:$B,FL!$B:$AV,Total!J$1,0)</f>
        <v>0</v>
      </c>
      <c r="K29" s="24">
        <f>VLOOKUP($B:$B,FL!$B:$AV,Total!K$1,0)</f>
        <v>0</v>
      </c>
      <c r="L29" s="24">
        <f>VLOOKUP($B:$B,FL!$B:$AV,Total!L$1,0)</f>
        <v>0</v>
      </c>
      <c r="M29" s="24">
        <f>VLOOKUP($B:$B,FL!$B:$AV,Total!M$1,0)</f>
        <v>0</v>
      </c>
      <c r="N29" s="24">
        <f>VLOOKUP($B:$B,FL!$B:$AV,Total!N$1,0)</f>
        <v>0</v>
      </c>
      <c r="O29" s="24">
        <f>VLOOKUP($B:$B,FL!$B:$AV,Total!O$1,0)</f>
        <v>4</v>
      </c>
      <c r="P29" s="24">
        <f>VLOOKUP($B:$B,FL!$B:$AV,Total!P$1,0)</f>
        <v>0</v>
      </c>
      <c r="Q29" s="24">
        <f>VLOOKUP($B:$B,FL!$B:$AV,Total!Q$1,0)</f>
        <v>0</v>
      </c>
      <c r="R29" s="42">
        <f>VLOOKUP(B:B,Conformance!$B$3:$AJ$37,Total!$R$1,0)</f>
        <v>0</v>
      </c>
      <c r="S29" s="43">
        <f t="shared" si="2"/>
        <v>0</v>
      </c>
    </row>
    <row r="30" spans="1:19" s="28" customFormat="1" ht="15.75" x14ac:dyDescent="0.25">
      <c r="A30" s="16">
        <f t="shared" si="0"/>
        <v>28</v>
      </c>
      <c r="B30" s="38" t="str">
        <f>IF(FL!B26="","",FL!B26)</f>
        <v>V25YMohamed7</v>
      </c>
      <c r="C30" s="38" t="str">
        <f>IF(FL!C26="","",FL!C26)</f>
        <v>Youssef Hamdy-Mohamed</v>
      </c>
      <c r="D30" s="38" t="str">
        <f>IF(FL!D26="","",FL!D26)</f>
        <v>Omar Emad-Mahmoud</v>
      </c>
      <c r="E30" s="38" t="str">
        <f>IF(FL!E26="","",FL!E26)</f>
        <v>Mohamed Ahmed-Nagy</v>
      </c>
      <c r="F30" s="24">
        <f>VLOOKUP($B:$B,FL!$B:$AV,Total!F$1,0)</f>
        <v>12</v>
      </c>
      <c r="G30" s="24">
        <f>VLOOKUP($B:$B,FL!$B:$AV,Total!G$1,0)</f>
        <v>5</v>
      </c>
      <c r="H30" s="24">
        <f>VLOOKUP($B:$B,FL!$B:$AV,Total!H$1,0)</f>
        <v>0</v>
      </c>
      <c r="I30" s="24">
        <f>VLOOKUP($B:$B,FL!$B:$AV,Total!I$1,0)</f>
        <v>0</v>
      </c>
      <c r="J30" s="24">
        <f>VLOOKUP($B:$B,FL!$B:$AV,Total!J$1,0)</f>
        <v>0</v>
      </c>
      <c r="K30" s="24">
        <f>VLOOKUP($B:$B,FL!$B:$AV,Total!K$1,0)</f>
        <v>0</v>
      </c>
      <c r="L30" s="24">
        <f>VLOOKUP($B:$B,FL!$B:$AV,Total!L$1,0)</f>
        <v>0</v>
      </c>
      <c r="M30" s="24">
        <f>VLOOKUP($B:$B,FL!$B:$AV,Total!M$1,0)</f>
        <v>0</v>
      </c>
      <c r="N30" s="24">
        <f>VLOOKUP($B:$B,FL!$B:$AV,Total!N$1,0)</f>
        <v>0</v>
      </c>
      <c r="O30" s="24">
        <f>VLOOKUP($B:$B,FL!$B:$AV,Total!O$1,0)</f>
        <v>6</v>
      </c>
      <c r="P30" s="24">
        <f>VLOOKUP($B:$B,FL!$B:$AV,Total!P$1,0)</f>
        <v>0</v>
      </c>
      <c r="Q30" s="24">
        <f>VLOOKUP($B:$B,FL!$B:$AV,Total!Q$1,0)</f>
        <v>0</v>
      </c>
      <c r="R30" s="42">
        <f>VLOOKUP(B:B,Conformance!$B$3:$AJ$37,Total!$R$1,0)</f>
        <v>7.9432870370370431E-2</v>
      </c>
      <c r="S30" s="43">
        <f t="shared" si="2"/>
        <v>0</v>
      </c>
    </row>
    <row r="31" spans="1:19" s="28" customFormat="1" ht="15.75" x14ac:dyDescent="0.25">
      <c r="A31" s="16">
        <f t="shared" si="0"/>
        <v>29</v>
      </c>
      <c r="B31" s="38" t="str">
        <f>IF(FL!B27="","",FL!B27)</f>
        <v>V25AHussein9</v>
      </c>
      <c r="C31" s="38" t="str">
        <f>IF(FL!C27="","",FL!C27)</f>
        <v>Ahmed Khaled-Hussein</v>
      </c>
      <c r="D31" s="38" t="str">
        <f>IF(FL!D27="","",FL!D27)</f>
        <v>Omar Emad-Mahmoud</v>
      </c>
      <c r="E31" s="38" t="str">
        <f>IF(FL!E27="","",FL!E27)</f>
        <v>Mohamed Ahmed-Nagy</v>
      </c>
      <c r="F31" s="24">
        <f>VLOOKUP($B:$B,FL!$B:$AV,Total!F$1,0)</f>
        <v>17</v>
      </c>
      <c r="G31" s="24">
        <f>VLOOKUP($B:$B,FL!$B:$AV,Total!G$1,0)</f>
        <v>1</v>
      </c>
      <c r="H31" s="24">
        <f>VLOOKUP($B:$B,FL!$B:$AV,Total!H$1,0)</f>
        <v>0</v>
      </c>
      <c r="I31" s="24">
        <f>VLOOKUP($B:$B,FL!$B:$AV,Total!I$1,0)</f>
        <v>0</v>
      </c>
      <c r="J31" s="24">
        <f>VLOOKUP($B:$B,FL!$B:$AV,Total!J$1,0)</f>
        <v>0</v>
      </c>
      <c r="K31" s="24">
        <f>VLOOKUP($B:$B,FL!$B:$AV,Total!K$1,0)</f>
        <v>0</v>
      </c>
      <c r="L31" s="24">
        <f>VLOOKUP($B:$B,FL!$B:$AV,Total!L$1,0)</f>
        <v>0</v>
      </c>
      <c r="M31" s="24">
        <f>VLOOKUP($B:$B,FL!$B:$AV,Total!M$1,0)</f>
        <v>0</v>
      </c>
      <c r="N31" s="24">
        <f>VLOOKUP($B:$B,FL!$B:$AV,Total!N$1,0)</f>
        <v>0</v>
      </c>
      <c r="O31" s="24">
        <f>VLOOKUP($B:$B,FL!$B:$AV,Total!O$1,0)</f>
        <v>5</v>
      </c>
      <c r="P31" s="24">
        <f>VLOOKUP($B:$B,FL!$B:$AV,Total!P$1,0)</f>
        <v>0</v>
      </c>
      <c r="Q31" s="24">
        <f>VLOOKUP($B:$B,FL!$B:$AV,Total!Q$1,0)</f>
        <v>0</v>
      </c>
      <c r="R31" s="42">
        <f>VLOOKUP(B:B,Conformance!$B$3:$AJ$37,Total!$R$1,0)</f>
        <v>2.658564814814816E-2</v>
      </c>
      <c r="S31" s="43">
        <f t="shared" si="2"/>
        <v>0</v>
      </c>
    </row>
    <row r="32" spans="1:19" s="28" customFormat="1" ht="15.75" x14ac:dyDescent="0.25">
      <c r="A32" s="16">
        <f t="shared" si="0"/>
        <v>30</v>
      </c>
      <c r="B32" s="38" t="str">
        <f>IF(FL!B28="","",FL!B28)</f>
        <v>V24ASaeed11</v>
      </c>
      <c r="C32" s="38" t="str">
        <f>IF(FL!C28="","",FL!C28)</f>
        <v>Ali Bahat-Saeed</v>
      </c>
      <c r="D32" s="38" t="str">
        <f>IF(FL!D28="","",FL!D28)</f>
        <v>Omar Emad-Mahmoud</v>
      </c>
      <c r="E32" s="38" t="str">
        <f>IF(FL!E28="","",FL!E28)</f>
        <v>Mohamed Ahmed-Nagy</v>
      </c>
      <c r="F32" s="24">
        <f>VLOOKUP($B:$B,FL!$B:$AV,Total!F$1,0)</f>
        <v>14</v>
      </c>
      <c r="G32" s="24">
        <f>VLOOKUP($B:$B,FL!$B:$AV,Total!G$1,0)</f>
        <v>2</v>
      </c>
      <c r="H32" s="24">
        <f>VLOOKUP($B:$B,FL!$B:$AV,Total!H$1,0)</f>
        <v>1</v>
      </c>
      <c r="I32" s="24">
        <f>VLOOKUP($B:$B,FL!$B:$AV,Total!I$1,0)</f>
        <v>0</v>
      </c>
      <c r="J32" s="24">
        <f>VLOOKUP($B:$B,FL!$B:$AV,Total!J$1,0)</f>
        <v>0</v>
      </c>
      <c r="K32" s="24">
        <f>VLOOKUP($B:$B,FL!$B:$AV,Total!K$1,0)</f>
        <v>0</v>
      </c>
      <c r="L32" s="24">
        <f>VLOOKUP($B:$B,FL!$B:$AV,Total!L$1,0)</f>
        <v>0</v>
      </c>
      <c r="M32" s="24">
        <f>VLOOKUP($B:$B,FL!$B:$AV,Total!M$1,0)</f>
        <v>0</v>
      </c>
      <c r="N32" s="24">
        <f>VLOOKUP($B:$B,FL!$B:$AV,Total!N$1,0)</f>
        <v>0</v>
      </c>
      <c r="O32" s="24">
        <f>VLOOKUP($B:$B,FL!$B:$AV,Total!O$1,0)</f>
        <v>6</v>
      </c>
      <c r="P32" s="24">
        <f>VLOOKUP($B:$B,FL!$B:$AV,Total!P$1,0)</f>
        <v>0</v>
      </c>
      <c r="Q32" s="24">
        <f>VLOOKUP($B:$B,FL!$B:$AV,Total!Q$1,0)</f>
        <v>0</v>
      </c>
      <c r="R32" s="42">
        <f>VLOOKUP(B:B,Conformance!$B$3:$AJ$37,Total!$R$1,0)</f>
        <v>1.388888888888884E-3</v>
      </c>
      <c r="S32" s="43">
        <f t="shared" si="2"/>
        <v>0</v>
      </c>
    </row>
    <row r="33" spans="1:19" s="28" customFormat="1" ht="15.75" x14ac:dyDescent="0.25">
      <c r="A33" s="16">
        <f t="shared" si="0"/>
        <v>31</v>
      </c>
      <c r="B33" s="38" t="str">
        <f>IF(FL!B29="","",FL!B29)</f>
        <v>V25BHassan3</v>
      </c>
      <c r="C33" s="38" t="str">
        <f>IF(FL!C29="","",FL!C29)</f>
        <v>Bassant Salah-Hassan</v>
      </c>
      <c r="D33" s="38" t="str">
        <f>IF(FL!D29="","",FL!D29)</f>
        <v>AbdElRahman Adel-ElKelany</v>
      </c>
      <c r="E33" s="38" t="str">
        <f>IF(FL!E29="","",FL!E29)</f>
        <v>Mohamed Ahmed-Nagy</v>
      </c>
      <c r="F33" s="24">
        <f>VLOOKUP($B:$B,FL!$B:$AV,Total!F$1,0)</f>
        <v>16</v>
      </c>
      <c r="G33" s="24">
        <f>VLOOKUP($B:$B,FL!$B:$AV,Total!G$1,0)</f>
        <v>0</v>
      </c>
      <c r="H33" s="24">
        <f>VLOOKUP($B:$B,FL!$B:$AV,Total!H$1,0)</f>
        <v>0</v>
      </c>
      <c r="I33" s="24">
        <f>VLOOKUP($B:$B,FL!$B:$AV,Total!I$1,0)</f>
        <v>0</v>
      </c>
      <c r="J33" s="24">
        <f>VLOOKUP($B:$B,FL!$B:$AV,Total!J$1,0)</f>
        <v>0</v>
      </c>
      <c r="K33" s="24">
        <f>VLOOKUP($B:$B,FL!$B:$AV,Total!K$1,0)</f>
        <v>0</v>
      </c>
      <c r="L33" s="24">
        <f>VLOOKUP($B:$B,FL!$B:$AV,Total!L$1,0)</f>
        <v>0</v>
      </c>
      <c r="M33" s="24">
        <f>VLOOKUP($B:$B,FL!$B:$AV,Total!M$1,0)</f>
        <v>0</v>
      </c>
      <c r="N33" s="24">
        <f>VLOOKUP($B:$B,FL!$B:$AV,Total!N$1,0)</f>
        <v>0</v>
      </c>
      <c r="O33" s="24">
        <f>VLOOKUP($B:$B,FL!$B:$AV,Total!O$1,0)</f>
        <v>7</v>
      </c>
      <c r="P33" s="24">
        <f>VLOOKUP($B:$B,FL!$B:$AV,Total!P$1,0)</f>
        <v>0</v>
      </c>
      <c r="Q33" s="24">
        <f>VLOOKUP($B:$B,FL!$B:$AV,Total!Q$1,0)</f>
        <v>0</v>
      </c>
      <c r="R33" s="42">
        <f>VLOOKUP(B:B,Conformance!$B$3:$AJ$37,Total!$R$1,0)</f>
        <v>0</v>
      </c>
      <c r="S33" s="43">
        <f t="shared" si="2"/>
        <v>0</v>
      </c>
    </row>
    <row r="34" spans="1:19" s="28" customFormat="1" ht="15.75" x14ac:dyDescent="0.25">
      <c r="A34" s="16">
        <f t="shared" si="0"/>
        <v>32</v>
      </c>
      <c r="B34" s="38" t="str">
        <f>IF(FL!B30="","",FL!B30)</f>
        <v>V25MHamdy1</v>
      </c>
      <c r="C34" s="38" t="str">
        <f>IF(FL!C30="","",FL!C30)</f>
        <v>Mohada Mohamed-Hamdy</v>
      </c>
      <c r="D34" s="38" t="str">
        <f>IF(FL!D30="","",FL!D30)</f>
        <v>Merna Ashraf-Ashrafy</v>
      </c>
      <c r="E34" s="38" t="str">
        <f>IF(FL!E30="","",FL!E30)</f>
        <v>Mohamed Ahmed-Nagy</v>
      </c>
      <c r="F34" s="24">
        <f>VLOOKUP($B:$B,FL!$B:$AV,Total!F$1,0)</f>
        <v>15</v>
      </c>
      <c r="G34" s="24">
        <f>VLOOKUP($B:$B,FL!$B:$AV,Total!G$1,0)</f>
        <v>0</v>
      </c>
      <c r="H34" s="24">
        <f>VLOOKUP($B:$B,FL!$B:$AV,Total!H$1,0)</f>
        <v>0</v>
      </c>
      <c r="I34" s="24">
        <f>VLOOKUP($B:$B,FL!$B:$AV,Total!I$1,0)</f>
        <v>0</v>
      </c>
      <c r="J34" s="24">
        <f>VLOOKUP($B:$B,FL!$B:$AV,Total!J$1,0)</f>
        <v>0</v>
      </c>
      <c r="K34" s="24">
        <f>VLOOKUP($B:$B,FL!$B:$AV,Total!K$1,0)</f>
        <v>0</v>
      </c>
      <c r="L34" s="24">
        <f>VLOOKUP($B:$B,FL!$B:$AV,Total!L$1,0)</f>
        <v>0</v>
      </c>
      <c r="M34" s="24">
        <f>VLOOKUP($B:$B,FL!$B:$AV,Total!M$1,0)</f>
        <v>0</v>
      </c>
      <c r="N34" s="24">
        <f>VLOOKUP($B:$B,FL!$B:$AV,Total!N$1,0)</f>
        <v>0</v>
      </c>
      <c r="O34" s="24">
        <f>VLOOKUP($B:$B,FL!$B:$AV,Total!O$1,0)</f>
        <v>8</v>
      </c>
      <c r="P34" s="24">
        <f>VLOOKUP($B:$B,FL!$B:$AV,Total!P$1,0)</f>
        <v>0</v>
      </c>
      <c r="Q34" s="24">
        <f>VLOOKUP($B:$B,FL!$B:$AV,Total!Q$1,0)</f>
        <v>0</v>
      </c>
      <c r="R34" s="42">
        <f>VLOOKUP(B:B,Conformance!$B$3:$AJ$37,Total!$R$1,0)</f>
        <v>0</v>
      </c>
      <c r="S34" s="43">
        <f t="shared" si="2"/>
        <v>0</v>
      </c>
    </row>
    <row r="35" spans="1:19" s="28" customFormat="1" ht="15.75" x14ac:dyDescent="0.25">
      <c r="A35" s="16">
        <f t="shared" si="0"/>
        <v>33</v>
      </c>
      <c r="B35" s="38" t="str">
        <f>IF(FL!B31="","",FL!B31)</f>
        <v>V25AMahmoud45</v>
      </c>
      <c r="C35" s="38" t="str">
        <f>IF(FL!C31="","",FL!C31)</f>
        <v>Aya Ezzat-Mahmoud</v>
      </c>
      <c r="D35" s="38" t="str">
        <f>IF(FL!D31="","",FL!D31)</f>
        <v>AbdElRahman Adel-ElKelany</v>
      </c>
      <c r="E35" s="38" t="str">
        <f>IF(FL!E31="","",FL!E31)</f>
        <v>Mohamed Ahmed-Nagy</v>
      </c>
      <c r="F35" s="24">
        <f>VLOOKUP($B:$B,FL!$B:$AV,Total!F$1,0)</f>
        <v>15</v>
      </c>
      <c r="G35" s="24">
        <f>VLOOKUP($B:$B,FL!$B:$AV,Total!G$1,0)</f>
        <v>1</v>
      </c>
      <c r="H35" s="24">
        <f>VLOOKUP($B:$B,FL!$B:$AV,Total!H$1,0)</f>
        <v>0</v>
      </c>
      <c r="I35" s="24">
        <f>VLOOKUP($B:$B,FL!$B:$AV,Total!I$1,0)</f>
        <v>0</v>
      </c>
      <c r="J35" s="24">
        <f>VLOOKUP($B:$B,FL!$B:$AV,Total!J$1,0)</f>
        <v>0</v>
      </c>
      <c r="K35" s="24">
        <f>VLOOKUP($B:$B,FL!$B:$AV,Total!K$1,0)</f>
        <v>0</v>
      </c>
      <c r="L35" s="24">
        <f>VLOOKUP($B:$B,FL!$B:$AV,Total!L$1,0)</f>
        <v>0</v>
      </c>
      <c r="M35" s="24">
        <f>VLOOKUP($B:$B,FL!$B:$AV,Total!M$1,0)</f>
        <v>0</v>
      </c>
      <c r="N35" s="24">
        <f>VLOOKUP($B:$B,FL!$B:$AV,Total!N$1,0)</f>
        <v>0</v>
      </c>
      <c r="O35" s="24">
        <f>VLOOKUP($B:$B,FL!$B:$AV,Total!O$1,0)</f>
        <v>7</v>
      </c>
      <c r="P35" s="24">
        <f>VLOOKUP($B:$B,FL!$B:$AV,Total!P$1,0)</f>
        <v>0</v>
      </c>
      <c r="Q35" s="24">
        <f>VLOOKUP($B:$B,FL!$B:$AV,Total!Q$1,0)</f>
        <v>0</v>
      </c>
      <c r="R35" s="42">
        <f>VLOOKUP(B:B,Conformance!$B$3:$AJ$37,Total!$R$1,0)</f>
        <v>2.3622685185185215E-2</v>
      </c>
      <c r="S35" s="43">
        <f t="shared" ref="S35:S36" si="3">IF((R35*24)&gt;12,3,IF((R35*24)&gt;6,2,IF((R35*24)&gt;2,1,0)))</f>
        <v>0</v>
      </c>
    </row>
    <row r="36" spans="1:19" s="28" customFormat="1" ht="15.75" x14ac:dyDescent="0.25">
      <c r="A36" s="16">
        <f t="shared" si="0"/>
        <v>34</v>
      </c>
      <c r="B36" s="38" t="e">
        <f>IF(FL!#REF!="","",FL!#REF!)</f>
        <v>#REF!</v>
      </c>
      <c r="C36" s="38" t="e">
        <f>IF(FL!#REF!="","",FL!#REF!)</f>
        <v>#REF!</v>
      </c>
      <c r="D36" s="38" t="e">
        <f>IF(FL!#REF!="","",FL!#REF!)</f>
        <v>#REF!</v>
      </c>
      <c r="E36" s="38" t="e">
        <f>IF(FL!#REF!="","",FL!#REF!)</f>
        <v>#REF!</v>
      </c>
      <c r="F36" s="24" t="e">
        <f>VLOOKUP($B:$B,FL!$B:$AV,Total!F$1,0)</f>
        <v>#REF!</v>
      </c>
      <c r="G36" s="24" t="e">
        <f>VLOOKUP($B:$B,FL!$B:$AV,Total!G$1,0)</f>
        <v>#REF!</v>
      </c>
      <c r="H36" s="24" t="e">
        <f>VLOOKUP($B:$B,FL!$B:$AV,Total!H$1,0)</f>
        <v>#REF!</v>
      </c>
      <c r="I36" s="24" t="e">
        <f>VLOOKUP($B:$B,FL!$B:$AV,Total!I$1,0)</f>
        <v>#REF!</v>
      </c>
      <c r="J36" s="24" t="e">
        <f>VLOOKUP($B:$B,FL!$B:$AV,Total!J$1,0)</f>
        <v>#REF!</v>
      </c>
      <c r="K36" s="24" t="e">
        <f>VLOOKUP($B:$B,FL!$B:$AV,Total!K$1,0)</f>
        <v>#REF!</v>
      </c>
      <c r="L36" s="24" t="e">
        <f>VLOOKUP($B:$B,FL!$B:$AV,Total!L$1,0)</f>
        <v>#REF!</v>
      </c>
      <c r="M36" s="24" t="e">
        <f>VLOOKUP($B:$B,FL!$B:$AV,Total!M$1,0)</f>
        <v>#REF!</v>
      </c>
      <c r="N36" s="24" t="e">
        <f>VLOOKUP($B:$B,FL!$B:$AV,Total!N$1,0)</f>
        <v>#REF!</v>
      </c>
      <c r="O36" s="24" t="e">
        <f>VLOOKUP($B:$B,FL!$B:$AV,Total!O$1,0)</f>
        <v>#REF!</v>
      </c>
      <c r="P36" s="24" t="e">
        <f>VLOOKUP($B:$B,FL!$B:$AV,Total!P$1,0)</f>
        <v>#REF!</v>
      </c>
      <c r="Q36" s="24" t="e">
        <f>VLOOKUP($B:$B,FL!$B:$AV,Total!Q$1,0)</f>
        <v>#REF!</v>
      </c>
      <c r="R36" s="42" t="e">
        <f>VLOOKUP(B:B,Conformance!$B$3:$AJ$37,Total!$R$1,0)</f>
        <v>#REF!</v>
      </c>
      <c r="S36" s="43" t="e">
        <f t="shared" si="3"/>
        <v>#REF!</v>
      </c>
    </row>
  </sheetData>
  <sortState ref="B3:S27">
    <sortCondition descending="1" ref="R3"/>
  </sortState>
  <mergeCells count="1">
    <mergeCell ref="A1:E1"/>
  </mergeCells>
  <conditionalFormatting sqref="F3:Q36">
    <cfRule type="containsText" dxfId="119" priority="59" operator="containsText" text="Attend">
      <formula>NOT(ISERROR(SEARCH("Attend",F3)))</formula>
    </cfRule>
  </conditionalFormatting>
  <conditionalFormatting sqref="F3:Q36">
    <cfRule type="containsText" dxfId="118" priority="52" operator="containsText" text="app issue">
      <formula>NOT(ISERROR(SEARCH("app issue",F3)))</formula>
    </cfRule>
    <cfRule type="containsText" dxfId="117" priority="53" operator="containsText" text="annual">
      <formula>NOT(ISERROR(SEARCH("annual",F3)))</formula>
    </cfRule>
    <cfRule type="containsText" dxfId="116" priority="54" operator="containsText" text="Training">
      <formula>NOT(ISERROR(SEARCH("Training",F3)))</formula>
    </cfRule>
    <cfRule type="containsText" dxfId="115" priority="55" operator="containsText" text="Task">
      <formula>NOT(ISERROR(SEARCH("Task",F3)))</formula>
    </cfRule>
    <cfRule type="containsText" dxfId="114" priority="56" operator="containsText" text="UPL">
      <formula>NOT(ISERROR(SEARCH("UPL",F3)))</formula>
    </cfRule>
    <cfRule type="containsText" dxfId="113" priority="57" operator="containsText" text="No Show">
      <formula>NOT(ISERROR(SEARCH("No Show",F3)))</formula>
    </cfRule>
    <cfRule type="containsText" dxfId="112" priority="58" operator="containsText" text="OFF">
      <formula>NOT(ISERROR(SEARCH("OFF",F3)))</formula>
    </cfRule>
  </conditionalFormatting>
  <conditionalFormatting sqref="F5:F7">
    <cfRule type="containsText" dxfId="111" priority="51" operator="containsText" text="Attend">
      <formula>NOT(ISERROR(SEARCH("Attend",F5)))</formula>
    </cfRule>
  </conditionalFormatting>
  <conditionalFormatting sqref="F5:F7">
    <cfRule type="containsText" dxfId="110" priority="44" operator="containsText" text="app issue">
      <formula>NOT(ISERROR(SEARCH("app issue",F5)))</formula>
    </cfRule>
    <cfRule type="containsText" dxfId="109" priority="45" operator="containsText" text="annual">
      <formula>NOT(ISERROR(SEARCH("annual",F5)))</formula>
    </cfRule>
    <cfRule type="containsText" dxfId="108" priority="46" operator="containsText" text="Training">
      <formula>NOT(ISERROR(SEARCH("Training",F5)))</formula>
    </cfRule>
    <cfRule type="containsText" dxfId="107" priority="47" operator="containsText" text="Task">
      <formula>NOT(ISERROR(SEARCH("Task",F5)))</formula>
    </cfRule>
    <cfRule type="containsText" dxfId="106" priority="48" operator="containsText" text="UPL">
      <formula>NOT(ISERROR(SEARCH("UPL",F5)))</formula>
    </cfRule>
    <cfRule type="containsText" dxfId="105" priority="49" operator="containsText" text="No Show">
      <formula>NOT(ISERROR(SEARCH("No Show",F5)))</formula>
    </cfRule>
    <cfRule type="containsText" dxfId="104" priority="50" operator="containsText" text="OFF">
      <formula>NOT(ISERROR(SEARCH("OFF",F5)))</formula>
    </cfRule>
  </conditionalFormatting>
  <conditionalFormatting sqref="F4">
    <cfRule type="containsText" dxfId="103" priority="43" operator="containsText" text="Attend">
      <formula>NOT(ISERROR(SEARCH("Attend",F4)))</formula>
    </cfRule>
  </conditionalFormatting>
  <conditionalFormatting sqref="F4">
    <cfRule type="containsText" dxfId="102" priority="36" operator="containsText" text="app issue">
      <formula>NOT(ISERROR(SEARCH("app issue",F4)))</formula>
    </cfRule>
    <cfRule type="containsText" dxfId="101" priority="37" operator="containsText" text="annual">
      <formula>NOT(ISERROR(SEARCH("annual",F4)))</formula>
    </cfRule>
    <cfRule type="containsText" dxfId="100" priority="38" operator="containsText" text="Training">
      <formula>NOT(ISERROR(SEARCH("Training",F4)))</formula>
    </cfRule>
    <cfRule type="containsText" dxfId="99" priority="39" operator="containsText" text="Task">
      <formula>NOT(ISERROR(SEARCH("Task",F4)))</formula>
    </cfRule>
    <cfRule type="containsText" dxfId="98" priority="40" operator="containsText" text="UPL">
      <formula>NOT(ISERROR(SEARCH("UPL",F4)))</formula>
    </cfRule>
    <cfRule type="containsText" dxfId="97" priority="41" operator="containsText" text="No Show">
      <formula>NOT(ISERROR(SEARCH("No Show",F4)))</formula>
    </cfRule>
    <cfRule type="containsText" dxfId="96" priority="42" operator="containsText" text="OFF">
      <formula>NOT(ISERROR(SEARCH("OFF",F4)))</formula>
    </cfRule>
  </conditionalFormatting>
  <conditionalFormatting sqref="F8">
    <cfRule type="containsText" dxfId="95" priority="35" operator="containsText" text="Attend">
      <formula>NOT(ISERROR(SEARCH("Attend",F8)))</formula>
    </cfRule>
  </conditionalFormatting>
  <conditionalFormatting sqref="F8">
    <cfRule type="containsText" dxfId="94" priority="28" operator="containsText" text="app issue">
      <formula>NOT(ISERROR(SEARCH("app issue",F8)))</formula>
    </cfRule>
    <cfRule type="containsText" dxfId="93" priority="29" operator="containsText" text="annual">
      <formula>NOT(ISERROR(SEARCH("annual",F8)))</formula>
    </cfRule>
    <cfRule type="containsText" dxfId="92" priority="30" operator="containsText" text="Training">
      <formula>NOT(ISERROR(SEARCH("Training",F8)))</formula>
    </cfRule>
    <cfRule type="containsText" dxfId="91" priority="31" operator="containsText" text="Task">
      <formula>NOT(ISERROR(SEARCH("Task",F8)))</formula>
    </cfRule>
    <cfRule type="containsText" dxfId="90" priority="32" operator="containsText" text="UPL">
      <formula>NOT(ISERROR(SEARCH("UPL",F8)))</formula>
    </cfRule>
    <cfRule type="containsText" dxfId="89" priority="33" operator="containsText" text="No Show">
      <formula>NOT(ISERROR(SEARCH("No Show",F8)))</formula>
    </cfRule>
    <cfRule type="containsText" dxfId="88" priority="34" operator="containsText" text="OFF">
      <formula>NOT(ISERROR(SEARCH("OFF",F8)))</formula>
    </cfRule>
  </conditionalFormatting>
  <conditionalFormatting sqref="F11">
    <cfRule type="containsText" dxfId="87" priority="27" operator="containsText" text="Attend">
      <formula>NOT(ISERROR(SEARCH("Attend",F11)))</formula>
    </cfRule>
  </conditionalFormatting>
  <conditionalFormatting sqref="F11">
    <cfRule type="containsText" dxfId="86" priority="20" operator="containsText" text="app issue">
      <formula>NOT(ISERROR(SEARCH("app issue",F11)))</formula>
    </cfRule>
    <cfRule type="containsText" dxfId="85" priority="21" operator="containsText" text="annual">
      <formula>NOT(ISERROR(SEARCH("annual",F11)))</formula>
    </cfRule>
    <cfRule type="containsText" dxfId="84" priority="22" operator="containsText" text="Training">
      <formula>NOT(ISERROR(SEARCH("Training",F11)))</formula>
    </cfRule>
    <cfRule type="containsText" dxfId="83" priority="23" operator="containsText" text="Task">
      <formula>NOT(ISERROR(SEARCH("Task",F11)))</formula>
    </cfRule>
    <cfRule type="containsText" dxfId="82" priority="24" operator="containsText" text="UPL">
      <formula>NOT(ISERROR(SEARCH("UPL",F11)))</formula>
    </cfRule>
    <cfRule type="containsText" dxfId="81" priority="25" operator="containsText" text="No Show">
      <formula>NOT(ISERROR(SEARCH("No Show",F11)))</formula>
    </cfRule>
    <cfRule type="containsText" dxfId="80" priority="26" operator="containsText" text="OFF">
      <formula>NOT(ISERROR(SEARCH("OFF",F11)))</formula>
    </cfRule>
  </conditionalFormatting>
  <conditionalFormatting sqref="C2:C36">
    <cfRule type="duplicateValues" dxfId="79" priority="140178"/>
  </conditionalFormatting>
  <conditionalFormatting sqref="C2:C36">
    <cfRule type="duplicateValues" dxfId="78" priority="140179"/>
    <cfRule type="duplicateValues" dxfId="77" priority="140180"/>
    <cfRule type="duplicateValues" dxfId="76" priority="140181"/>
  </conditionalFormatting>
  <conditionalFormatting sqref="C2:C36">
    <cfRule type="duplicateValues" dxfId="75" priority="140182"/>
    <cfRule type="duplicateValues" dxfId="74" priority="140183"/>
  </conditionalFormatting>
  <conditionalFormatting sqref="C2:C36">
    <cfRule type="duplicateValues" dxfId="73" priority="140184"/>
    <cfRule type="duplicateValues" dxfId="72" priority="140185"/>
    <cfRule type="duplicateValues" dxfId="71" priority="140186"/>
    <cfRule type="duplicateValues" dxfId="70" priority="140187"/>
  </conditionalFormatting>
  <conditionalFormatting sqref="C2:C36">
    <cfRule type="duplicateValues" dxfId="69" priority="140188"/>
    <cfRule type="duplicateValues" dxfId="68" priority="140189"/>
    <cfRule type="duplicateValues" dxfId="67" priority="140190"/>
    <cfRule type="duplicateValues" dxfId="66" priority="140191"/>
    <cfRule type="duplicateValues" dxfId="65" priority="140192"/>
  </conditionalFormatting>
  <conditionalFormatting sqref="C2:C36">
    <cfRule type="duplicateValues" dxfId="64" priority="140193"/>
    <cfRule type="aboveAverage" dxfId="63" priority="140194" aboveAverage="0"/>
  </conditionalFormatting>
  <conditionalFormatting sqref="B2:B36">
    <cfRule type="duplicateValues" dxfId="62" priority="140195"/>
  </conditionalFormatting>
  <conditionalFormatting sqref="A2:A36">
    <cfRule type="cellIs" dxfId="61" priority="19" operator="equal">
      <formula>"Compensation"</formula>
    </cfRule>
  </conditionalFormatting>
  <conditionalFormatting sqref="A1:C1">
    <cfRule type="cellIs" dxfId="60" priority="18" operator="equal">
      <formula>"Compensation"</formula>
    </cfRule>
  </conditionalFormatting>
  <conditionalFormatting sqref="C1">
    <cfRule type="duplicateValues" dxfId="59" priority="17"/>
  </conditionalFormatting>
  <conditionalFormatting sqref="C1">
    <cfRule type="duplicateValues" dxfId="58" priority="16"/>
  </conditionalFormatting>
  <conditionalFormatting sqref="C1">
    <cfRule type="duplicateValues" dxfId="57" priority="14"/>
    <cfRule type="duplicateValues" dxfId="56" priority="15"/>
  </conditionalFormatting>
  <conditionalFormatting sqref="C1">
    <cfRule type="duplicateValues" dxfId="55" priority="10"/>
    <cfRule type="duplicateValues" dxfId="54" priority="11"/>
    <cfRule type="duplicateValues" dxfId="53" priority="12"/>
    <cfRule type="duplicateValues" dxfId="52" priority="13"/>
  </conditionalFormatting>
  <conditionalFormatting sqref="B1">
    <cfRule type="duplicateValues" dxfId="51" priority="9"/>
  </conditionalFormatting>
  <conditionalFormatting sqref="B1">
    <cfRule type="duplicateValues" dxfId="50" priority="8"/>
  </conditionalFormatting>
  <conditionalFormatting sqref="C1">
    <cfRule type="duplicateValues" dxfId="49" priority="6"/>
    <cfRule type="duplicateValues" dxfId="48" priority="7"/>
  </conditionalFormatting>
  <conditionalFormatting sqref="C1">
    <cfRule type="duplicateValues" dxfId="47" priority="4"/>
    <cfRule type="duplicateValues" dxfId="46" priority="5"/>
  </conditionalFormatting>
  <conditionalFormatting sqref="B1">
    <cfRule type="duplicateValues" dxfId="45" priority="3"/>
  </conditionalFormatting>
  <conditionalFormatting sqref="B1">
    <cfRule type="duplicateValues" dxfId="44" priority="1"/>
    <cfRule type="duplicateValues" dxfId="43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T144"/>
  <sheetViews>
    <sheetView workbookViewId="0"/>
  </sheetViews>
  <sheetFormatPr defaultColWidth="9.140625" defaultRowHeight="15" x14ac:dyDescent="0.25"/>
  <cols>
    <col min="1" max="1" width="26.7109375" style="3" bestFit="1" customWidth="1"/>
    <col min="2" max="2" width="16.140625" style="3" bestFit="1" customWidth="1"/>
    <col min="3" max="3" width="15.5703125" style="3" bestFit="1" customWidth="1"/>
    <col min="4" max="4" width="14" style="3" bestFit="1" customWidth="1"/>
    <col min="5" max="5" width="19.85546875" style="3" bestFit="1" customWidth="1"/>
    <col min="6" max="7" width="11" style="3" bestFit="1" customWidth="1"/>
    <col min="8" max="8" width="20.7109375" style="3" bestFit="1" customWidth="1"/>
    <col min="9" max="9" width="18.28515625" style="3" bestFit="1" customWidth="1"/>
    <col min="10" max="10" width="16.28515625" style="3" bestFit="1" customWidth="1"/>
    <col min="11" max="11" width="11" style="3" bestFit="1" customWidth="1"/>
    <col min="12" max="12" width="18" style="3" bestFit="1" customWidth="1"/>
    <col min="13" max="19" width="3" style="3" customWidth="1"/>
    <col min="20" max="20" width="11.28515625" style="3" bestFit="1" customWidth="1"/>
    <col min="21" max="16384" width="9.140625" style="3"/>
  </cols>
  <sheetData>
    <row r="1" spans="1:20" x14ac:dyDescent="0.25">
      <c r="A1" s="30" t="s">
        <v>6</v>
      </c>
      <c r="B1" s="29" t="s">
        <v>24</v>
      </c>
      <c r="C1" s="29" t="s">
        <v>13</v>
      </c>
      <c r="D1" s="29" t="s">
        <v>14</v>
      </c>
      <c r="E1" s="29" t="s">
        <v>15</v>
      </c>
      <c r="F1" s="29" t="s">
        <v>29</v>
      </c>
      <c r="G1" s="29" t="s">
        <v>16</v>
      </c>
      <c r="H1" s="29" t="s">
        <v>23</v>
      </c>
      <c r="I1" s="29" t="s">
        <v>32</v>
      </c>
      <c r="J1" s="29" t="s">
        <v>17</v>
      </c>
      <c r="K1" s="29" t="s">
        <v>19</v>
      </c>
      <c r="L1"/>
      <c r="M1"/>
      <c r="N1"/>
      <c r="O1"/>
      <c r="P1"/>
      <c r="Q1"/>
      <c r="R1"/>
      <c r="S1"/>
      <c r="T1"/>
    </row>
    <row r="2" spans="1:20" x14ac:dyDescent="0.25">
      <c r="A2" s="29" t="s">
        <v>38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/>
      <c r="M2"/>
      <c r="N2"/>
      <c r="O2"/>
      <c r="P2"/>
      <c r="Q2"/>
      <c r="R2"/>
      <c r="S2"/>
      <c r="T2"/>
    </row>
    <row r="3" spans="1:20" x14ac:dyDescent="0.25">
      <c r="A3" s="29" t="s">
        <v>110</v>
      </c>
      <c r="B3" s="31">
        <v>8</v>
      </c>
      <c r="C3" s="31">
        <v>1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12</v>
      </c>
      <c r="J3" s="31">
        <v>0</v>
      </c>
      <c r="K3" s="31">
        <v>2</v>
      </c>
      <c r="L3"/>
      <c r="M3"/>
      <c r="N3"/>
      <c r="O3"/>
      <c r="P3"/>
      <c r="Q3"/>
      <c r="R3"/>
      <c r="S3"/>
      <c r="T3"/>
    </row>
    <row r="4" spans="1:20" x14ac:dyDescent="0.25">
      <c r="A4" s="29" t="s">
        <v>54</v>
      </c>
      <c r="B4" s="31">
        <v>1</v>
      </c>
      <c r="C4" s="31">
        <v>0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11</v>
      </c>
      <c r="J4" s="31">
        <v>0</v>
      </c>
      <c r="K4" s="31">
        <v>0</v>
      </c>
      <c r="L4"/>
      <c r="M4"/>
      <c r="N4"/>
      <c r="O4"/>
      <c r="P4"/>
      <c r="Q4"/>
      <c r="R4"/>
      <c r="S4"/>
      <c r="T4"/>
    </row>
    <row r="5" spans="1:20" x14ac:dyDescent="0.25">
      <c r="A5" s="29" t="s">
        <v>103</v>
      </c>
      <c r="B5" s="31">
        <v>86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6</v>
      </c>
      <c r="L5"/>
      <c r="M5"/>
      <c r="N5"/>
      <c r="O5"/>
      <c r="P5"/>
      <c r="Q5"/>
      <c r="R5"/>
      <c r="S5"/>
      <c r="T5"/>
    </row>
    <row r="6" spans="1:20" x14ac:dyDescent="0.25">
      <c r="A6" s="29" t="s">
        <v>51</v>
      </c>
      <c r="B6" s="31">
        <v>199</v>
      </c>
      <c r="C6" s="31">
        <v>11</v>
      </c>
      <c r="D6" s="31">
        <v>1</v>
      </c>
      <c r="E6" s="31">
        <v>0</v>
      </c>
      <c r="F6" s="31">
        <v>0</v>
      </c>
      <c r="G6" s="31">
        <v>0</v>
      </c>
      <c r="H6" s="31">
        <v>2</v>
      </c>
      <c r="I6" s="31">
        <v>0</v>
      </c>
      <c r="J6" s="31">
        <v>5</v>
      </c>
      <c r="K6" s="31">
        <v>69</v>
      </c>
      <c r="L6"/>
      <c r="M6"/>
      <c r="N6"/>
      <c r="O6"/>
      <c r="P6"/>
      <c r="Q6"/>
      <c r="R6"/>
      <c r="S6"/>
      <c r="T6"/>
    </row>
    <row r="7" spans="1:20" x14ac:dyDescent="0.25">
      <c r="A7" s="29" t="s">
        <v>56</v>
      </c>
      <c r="B7" s="31">
        <v>198</v>
      </c>
      <c r="C7" s="31">
        <v>18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11</v>
      </c>
      <c r="K7" s="31">
        <v>83</v>
      </c>
      <c r="L7"/>
      <c r="M7"/>
      <c r="N7"/>
      <c r="O7"/>
      <c r="P7"/>
      <c r="Q7"/>
      <c r="R7"/>
      <c r="S7"/>
      <c r="T7"/>
    </row>
    <row r="8" spans="1:20" x14ac:dyDescent="0.25">
      <c r="A8" s="29" t="s">
        <v>60</v>
      </c>
      <c r="B8" s="31">
        <v>191</v>
      </c>
      <c r="C8" s="31">
        <v>8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67</v>
      </c>
      <c r="L8"/>
      <c r="M8"/>
      <c r="N8"/>
      <c r="O8"/>
      <c r="P8"/>
      <c r="Q8"/>
      <c r="R8"/>
      <c r="S8"/>
      <c r="T8"/>
    </row>
    <row r="9" spans="1:20" x14ac:dyDescent="0.25">
      <c r="A9" s="29" t="s">
        <v>12</v>
      </c>
      <c r="B9" s="31">
        <v>683</v>
      </c>
      <c r="C9" s="31">
        <v>38</v>
      </c>
      <c r="D9" s="31">
        <v>1</v>
      </c>
      <c r="E9" s="31">
        <v>0</v>
      </c>
      <c r="F9" s="31">
        <v>0</v>
      </c>
      <c r="G9" s="31">
        <v>0</v>
      </c>
      <c r="H9" s="31">
        <v>2</v>
      </c>
      <c r="I9" s="31">
        <v>23</v>
      </c>
      <c r="J9" s="31">
        <v>16</v>
      </c>
      <c r="K9" s="31">
        <v>227</v>
      </c>
      <c r="L9"/>
      <c r="M9"/>
      <c r="N9"/>
      <c r="O9"/>
      <c r="P9"/>
      <c r="Q9"/>
      <c r="R9"/>
      <c r="S9"/>
      <c r="T9"/>
    </row>
    <row r="10" spans="1:20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 x14ac:dyDescent="0.25">
      <c r="A21" s="35" t="s">
        <v>35</v>
      </c>
      <c r="B21"/>
      <c r="C21"/>
      <c r="D21"/>
      <c r="E21"/>
      <c r="F21"/>
      <c r="G21"/>
      <c r="H21"/>
      <c r="I21"/>
      <c r="J21"/>
      <c r="K21"/>
    </row>
    <row r="22" spans="1:20" x14ac:dyDescent="0.25">
      <c r="A22" s="36" t="s">
        <v>103</v>
      </c>
      <c r="B22"/>
      <c r="C22"/>
      <c r="D22"/>
      <c r="E22"/>
      <c r="F22"/>
      <c r="G22"/>
      <c r="H22"/>
      <c r="I22"/>
      <c r="J22"/>
      <c r="K22"/>
    </row>
    <row r="23" spans="1:20" x14ac:dyDescent="0.25">
      <c r="A23" s="36" t="s">
        <v>51</v>
      </c>
      <c r="B23"/>
      <c r="C23"/>
      <c r="D23"/>
      <c r="E23"/>
      <c r="F23"/>
      <c r="G23"/>
      <c r="H23"/>
      <c r="I23"/>
      <c r="J23"/>
      <c r="K23"/>
    </row>
    <row r="24" spans="1:20" x14ac:dyDescent="0.25">
      <c r="A24" s="36" t="s">
        <v>56</v>
      </c>
      <c r="B24"/>
      <c r="C24"/>
      <c r="D24"/>
      <c r="E24"/>
      <c r="F24"/>
      <c r="G24"/>
      <c r="H24"/>
      <c r="I24"/>
      <c r="J24"/>
      <c r="K24"/>
    </row>
    <row r="25" spans="1:20" x14ac:dyDescent="0.25">
      <c r="A25" s="36" t="s">
        <v>60</v>
      </c>
      <c r="B25"/>
      <c r="C25"/>
      <c r="D25"/>
      <c r="E25"/>
      <c r="F25"/>
      <c r="G25"/>
      <c r="H25"/>
      <c r="I25"/>
      <c r="J25"/>
      <c r="K25"/>
    </row>
    <row r="26" spans="1:20" x14ac:dyDescent="0.25">
      <c r="A26" s="36" t="s">
        <v>12</v>
      </c>
      <c r="B26"/>
      <c r="C26"/>
      <c r="D26"/>
      <c r="E26"/>
      <c r="F26"/>
      <c r="G26"/>
      <c r="H26"/>
      <c r="I26"/>
      <c r="J26"/>
      <c r="K26"/>
    </row>
    <row r="27" spans="1:20" x14ac:dyDescent="0.25">
      <c r="A27"/>
      <c r="B27"/>
      <c r="C27"/>
      <c r="D27"/>
      <c r="E27"/>
      <c r="F27"/>
      <c r="G27"/>
      <c r="H27"/>
      <c r="I27"/>
      <c r="J27"/>
      <c r="K27"/>
    </row>
    <row r="28" spans="1:20" x14ac:dyDescent="0.25">
      <c r="A28"/>
      <c r="B28"/>
      <c r="C28"/>
      <c r="D28"/>
      <c r="E28"/>
      <c r="F28"/>
      <c r="G28"/>
      <c r="H28"/>
      <c r="I28"/>
      <c r="J28"/>
      <c r="K28"/>
    </row>
    <row r="29" spans="1:20" x14ac:dyDescent="0.25">
      <c r="A29"/>
      <c r="B29"/>
      <c r="C29"/>
      <c r="D29"/>
      <c r="E29"/>
      <c r="F29"/>
      <c r="G29"/>
      <c r="H29"/>
      <c r="I29"/>
      <c r="J29"/>
      <c r="K29"/>
    </row>
    <row r="30" spans="1:20" x14ac:dyDescent="0.25">
      <c r="A30"/>
      <c r="B30"/>
      <c r="C30"/>
      <c r="D30"/>
      <c r="E30"/>
      <c r="F30"/>
      <c r="G30"/>
      <c r="H30"/>
      <c r="I30"/>
      <c r="J30"/>
      <c r="K30"/>
    </row>
    <row r="31" spans="1:20" x14ac:dyDescent="0.25">
      <c r="A31"/>
      <c r="B31"/>
      <c r="C31"/>
      <c r="D31"/>
      <c r="E31"/>
      <c r="F31"/>
      <c r="G31"/>
      <c r="H31"/>
      <c r="I31"/>
      <c r="J31"/>
      <c r="K31"/>
    </row>
    <row r="32" spans="1:20" x14ac:dyDescent="0.25">
      <c r="A32"/>
      <c r="B32"/>
      <c r="C32"/>
      <c r="D32"/>
      <c r="E32"/>
      <c r="F32"/>
      <c r="G32"/>
      <c r="H32"/>
      <c r="I32"/>
      <c r="J32"/>
      <c r="K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</row>
    <row r="42" spans="1:12" x14ac:dyDescent="0.25">
      <c r="A42" s="32" t="s">
        <v>35</v>
      </c>
      <c r="B42" s="28" t="s">
        <v>24</v>
      </c>
      <c r="C42" s="28" t="s">
        <v>13</v>
      </c>
      <c r="D42" s="28" t="s">
        <v>14</v>
      </c>
      <c r="E42" s="28" t="s">
        <v>15</v>
      </c>
      <c r="F42" s="28" t="s">
        <v>29</v>
      </c>
      <c r="G42" s="28" t="s">
        <v>16</v>
      </c>
      <c r="H42" s="28" t="s">
        <v>23</v>
      </c>
      <c r="I42" s="28" t="s">
        <v>32</v>
      </c>
      <c r="J42" s="28" t="s">
        <v>17</v>
      </c>
      <c r="K42" s="28" t="s">
        <v>19</v>
      </c>
      <c r="L42" s="28" t="s">
        <v>36</v>
      </c>
    </row>
    <row r="43" spans="1:12" x14ac:dyDescent="0.25">
      <c r="A43" s="33" t="s">
        <v>38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spans="1:12" x14ac:dyDescent="0.25">
      <c r="A44" s="33" t="s">
        <v>110</v>
      </c>
      <c r="B44" s="34">
        <v>8</v>
      </c>
      <c r="C44" s="34">
        <v>1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12</v>
      </c>
      <c r="J44" s="34">
        <v>0</v>
      </c>
      <c r="K44" s="34">
        <v>2</v>
      </c>
      <c r="L44" s="34">
        <v>0</v>
      </c>
    </row>
    <row r="45" spans="1:12" x14ac:dyDescent="0.25">
      <c r="A45" s="33" t="s">
        <v>103</v>
      </c>
      <c r="B45" s="34">
        <v>674</v>
      </c>
      <c r="C45" s="34">
        <v>37</v>
      </c>
      <c r="D45" s="34">
        <v>1</v>
      </c>
      <c r="E45" s="34">
        <v>0</v>
      </c>
      <c r="F45" s="34">
        <v>0</v>
      </c>
      <c r="G45" s="34">
        <v>0</v>
      </c>
      <c r="H45" s="34">
        <v>2</v>
      </c>
      <c r="I45" s="34">
        <v>0</v>
      </c>
      <c r="J45" s="34">
        <v>16</v>
      </c>
      <c r="K45" s="34">
        <v>225</v>
      </c>
      <c r="L45" s="34">
        <v>0</v>
      </c>
    </row>
    <row r="46" spans="1:12" x14ac:dyDescent="0.25">
      <c r="A46" s="33" t="s">
        <v>133</v>
      </c>
      <c r="B46" s="34">
        <v>1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11</v>
      </c>
      <c r="J46" s="34">
        <v>0</v>
      </c>
      <c r="K46" s="34">
        <v>0</v>
      </c>
      <c r="L46" s="34">
        <v>0</v>
      </c>
    </row>
    <row r="47" spans="1:12" x14ac:dyDescent="0.25">
      <c r="A47" s="33" t="s">
        <v>12</v>
      </c>
      <c r="B47" s="34">
        <v>683</v>
      </c>
      <c r="C47" s="34">
        <v>38</v>
      </c>
      <c r="D47" s="34">
        <v>1</v>
      </c>
      <c r="E47" s="34">
        <v>0</v>
      </c>
      <c r="F47" s="34">
        <v>0</v>
      </c>
      <c r="G47" s="34">
        <v>0</v>
      </c>
      <c r="H47" s="34">
        <v>2</v>
      </c>
      <c r="I47" s="34">
        <v>23</v>
      </c>
      <c r="J47" s="34">
        <v>16</v>
      </c>
      <c r="K47" s="34">
        <v>227</v>
      </c>
      <c r="L47" s="34">
        <v>0</v>
      </c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</row>
    <row r="63" spans="1:12" x14ac:dyDescent="0.25">
      <c r="A63"/>
      <c r="B63"/>
      <c r="C63"/>
      <c r="D63"/>
      <c r="E63"/>
      <c r="F63"/>
      <c r="G63"/>
      <c r="H63"/>
      <c r="I63"/>
      <c r="J63"/>
      <c r="K63"/>
    </row>
    <row r="64" spans="1:12" x14ac:dyDescent="0.25">
      <c r="A64"/>
      <c r="B64"/>
      <c r="C64"/>
      <c r="D64"/>
      <c r="E64"/>
      <c r="F64"/>
      <c r="G64"/>
      <c r="H64"/>
      <c r="I64"/>
      <c r="J64"/>
      <c r="K64"/>
    </row>
    <row r="65" spans="1:11" x14ac:dyDescent="0.25">
      <c r="A65"/>
      <c r="B65"/>
      <c r="C65"/>
      <c r="D65"/>
      <c r="E65"/>
      <c r="F65"/>
      <c r="G65"/>
      <c r="H65"/>
      <c r="I65"/>
      <c r="J65"/>
      <c r="K65"/>
    </row>
    <row r="66" spans="1:11" x14ac:dyDescent="0.25">
      <c r="A66"/>
      <c r="B66"/>
      <c r="C66"/>
      <c r="D66"/>
      <c r="E66"/>
      <c r="F66"/>
      <c r="G66"/>
      <c r="H66"/>
      <c r="I66"/>
      <c r="J66"/>
      <c r="K66"/>
    </row>
    <row r="67" spans="1:11" x14ac:dyDescent="0.25">
      <c r="A67"/>
      <c r="B67"/>
      <c r="C67"/>
      <c r="D67"/>
      <c r="E67"/>
      <c r="F67"/>
      <c r="G67"/>
      <c r="H67"/>
      <c r="I67"/>
      <c r="J67"/>
      <c r="K67"/>
    </row>
    <row r="68" spans="1:11" x14ac:dyDescent="0.25">
      <c r="A68"/>
      <c r="B68"/>
      <c r="C68"/>
      <c r="D68"/>
      <c r="E68"/>
      <c r="F68"/>
      <c r="G68"/>
      <c r="H68"/>
      <c r="I68"/>
      <c r="J68"/>
      <c r="K68"/>
    </row>
    <row r="69" spans="1:11" x14ac:dyDescent="0.25">
      <c r="A69"/>
      <c r="B69"/>
      <c r="C69"/>
      <c r="D69"/>
      <c r="E69"/>
      <c r="F69"/>
      <c r="G69"/>
      <c r="H69"/>
      <c r="I69"/>
      <c r="J69"/>
      <c r="K69"/>
    </row>
    <row r="70" spans="1:11" x14ac:dyDescent="0.25">
      <c r="A70"/>
      <c r="B70"/>
      <c r="C70"/>
      <c r="D70"/>
      <c r="E70"/>
      <c r="F70"/>
      <c r="G70"/>
      <c r="H70"/>
      <c r="I70"/>
      <c r="J70"/>
      <c r="K70"/>
    </row>
    <row r="71" spans="1:11" x14ac:dyDescent="0.25">
      <c r="A71"/>
      <c r="B71"/>
      <c r="C71"/>
      <c r="D71"/>
      <c r="E71"/>
      <c r="F71"/>
      <c r="G71"/>
      <c r="H71"/>
      <c r="I71"/>
      <c r="J71"/>
      <c r="K71"/>
    </row>
    <row r="72" spans="1:11" x14ac:dyDescent="0.25">
      <c r="A72"/>
      <c r="B72"/>
      <c r="C72"/>
      <c r="D72"/>
      <c r="E72"/>
      <c r="F72"/>
      <c r="G72"/>
      <c r="H72"/>
      <c r="I72"/>
      <c r="J72"/>
      <c r="K72"/>
    </row>
    <row r="73" spans="1:11" x14ac:dyDescent="0.25">
      <c r="A73"/>
      <c r="B73"/>
      <c r="C73"/>
      <c r="D73"/>
      <c r="E73"/>
      <c r="F73"/>
      <c r="G73"/>
      <c r="H73"/>
      <c r="I73"/>
      <c r="J73"/>
      <c r="K73"/>
    </row>
    <row r="74" spans="1:11" x14ac:dyDescent="0.25">
      <c r="A74"/>
      <c r="B74"/>
      <c r="C74"/>
      <c r="D74"/>
      <c r="E74"/>
      <c r="F74"/>
      <c r="G74"/>
      <c r="H74"/>
      <c r="I74"/>
      <c r="J74"/>
      <c r="K74"/>
    </row>
    <row r="75" spans="1:11" x14ac:dyDescent="0.25">
      <c r="A75"/>
      <c r="B75"/>
      <c r="C75"/>
      <c r="D75"/>
      <c r="E75"/>
      <c r="F75"/>
      <c r="G75"/>
      <c r="H75"/>
      <c r="I75"/>
      <c r="J75"/>
      <c r="K75"/>
    </row>
    <row r="76" spans="1:11" x14ac:dyDescent="0.25">
      <c r="A76"/>
      <c r="B76"/>
      <c r="C76"/>
      <c r="D76"/>
      <c r="E76"/>
      <c r="F76"/>
      <c r="G76"/>
      <c r="H76"/>
      <c r="I76"/>
      <c r="J76"/>
      <c r="K76"/>
    </row>
    <row r="77" spans="1:11" x14ac:dyDescent="0.25">
      <c r="A77"/>
      <c r="B77"/>
      <c r="C77"/>
      <c r="D77"/>
      <c r="E77"/>
      <c r="F77"/>
      <c r="G77"/>
      <c r="H77"/>
      <c r="I77"/>
      <c r="J77"/>
      <c r="K77"/>
    </row>
    <row r="78" spans="1:11" x14ac:dyDescent="0.25">
      <c r="A78"/>
      <c r="B78"/>
      <c r="C78"/>
      <c r="D78"/>
      <c r="E78"/>
      <c r="F78"/>
      <c r="G78"/>
      <c r="H78"/>
      <c r="I78"/>
      <c r="J78"/>
      <c r="K78"/>
    </row>
    <row r="79" spans="1:11" x14ac:dyDescent="0.25">
      <c r="A79"/>
      <c r="B79"/>
      <c r="C79"/>
      <c r="D79"/>
      <c r="E79"/>
      <c r="F79"/>
      <c r="G79"/>
      <c r="H79"/>
      <c r="I79"/>
      <c r="J79"/>
      <c r="K79"/>
    </row>
    <row r="80" spans="1:11" x14ac:dyDescent="0.25">
      <c r="A80"/>
      <c r="B80"/>
      <c r="C80"/>
      <c r="D80"/>
      <c r="E80"/>
      <c r="F80"/>
      <c r="G80"/>
      <c r="H80"/>
      <c r="I80"/>
      <c r="J80"/>
      <c r="K80"/>
    </row>
    <row r="81" spans="1:11" x14ac:dyDescent="0.25">
      <c r="A81"/>
      <c r="B81"/>
      <c r="C81"/>
      <c r="D81"/>
      <c r="E81"/>
      <c r="F81"/>
      <c r="G81"/>
      <c r="H81"/>
      <c r="I81"/>
      <c r="J81"/>
      <c r="K81"/>
    </row>
    <row r="82" spans="1:11" x14ac:dyDescent="0.25">
      <c r="A82"/>
      <c r="B82"/>
      <c r="C82"/>
      <c r="D82"/>
      <c r="E82"/>
      <c r="F82"/>
      <c r="G82"/>
      <c r="H82"/>
      <c r="I82"/>
      <c r="J82"/>
      <c r="K82"/>
    </row>
    <row r="83" spans="1:11" x14ac:dyDescent="0.25">
      <c r="A83"/>
      <c r="B83"/>
      <c r="C83"/>
      <c r="D83"/>
      <c r="E83"/>
      <c r="F83"/>
      <c r="G83"/>
      <c r="H83"/>
      <c r="I83"/>
      <c r="J83"/>
      <c r="K83"/>
    </row>
    <row r="84" spans="1:11" x14ac:dyDescent="0.25">
      <c r="A84"/>
      <c r="B84"/>
      <c r="C84"/>
      <c r="D84"/>
      <c r="E84"/>
      <c r="F84"/>
      <c r="G84"/>
      <c r="H84"/>
      <c r="I84"/>
      <c r="J84"/>
      <c r="K84"/>
    </row>
    <row r="85" spans="1:11" x14ac:dyDescent="0.25">
      <c r="A85"/>
      <c r="B85"/>
      <c r="C85"/>
      <c r="D85"/>
      <c r="E85"/>
      <c r="F85"/>
      <c r="G85"/>
      <c r="H85"/>
      <c r="I85"/>
      <c r="J85"/>
      <c r="K85"/>
    </row>
    <row r="86" spans="1:11" x14ac:dyDescent="0.25">
      <c r="A86"/>
      <c r="B86"/>
      <c r="C86"/>
      <c r="D86"/>
      <c r="E86"/>
      <c r="F86"/>
      <c r="G86"/>
      <c r="H86"/>
      <c r="I86"/>
      <c r="J86"/>
      <c r="K86"/>
    </row>
    <row r="87" spans="1:11" x14ac:dyDescent="0.25">
      <c r="A87"/>
      <c r="B87"/>
      <c r="C87"/>
      <c r="D87"/>
      <c r="E87"/>
      <c r="F87"/>
      <c r="G87"/>
      <c r="H87"/>
      <c r="I87"/>
      <c r="J87"/>
      <c r="K87"/>
    </row>
    <row r="88" spans="1:11" x14ac:dyDescent="0.25">
      <c r="A88"/>
      <c r="B88"/>
      <c r="C88"/>
      <c r="D88"/>
      <c r="E88"/>
      <c r="F88"/>
      <c r="G88"/>
      <c r="H88"/>
      <c r="I88"/>
      <c r="J88"/>
      <c r="K88"/>
    </row>
    <row r="89" spans="1:11" x14ac:dyDescent="0.25">
      <c r="A89"/>
      <c r="B89"/>
      <c r="C89"/>
      <c r="D89"/>
      <c r="E89"/>
      <c r="F89"/>
      <c r="G89"/>
      <c r="H89"/>
      <c r="I89"/>
      <c r="J89"/>
      <c r="K89"/>
    </row>
    <row r="90" spans="1:11" x14ac:dyDescent="0.25">
      <c r="A90"/>
      <c r="B90"/>
      <c r="C90"/>
      <c r="D90"/>
      <c r="E90"/>
      <c r="F90"/>
      <c r="G90"/>
      <c r="H90"/>
      <c r="I90"/>
      <c r="J90"/>
      <c r="K90"/>
    </row>
    <row r="91" spans="1:11" x14ac:dyDescent="0.25">
      <c r="A91"/>
      <c r="B91"/>
      <c r="C91"/>
      <c r="D91"/>
      <c r="E91"/>
      <c r="F91"/>
      <c r="G91"/>
      <c r="H91"/>
      <c r="I91"/>
      <c r="J91"/>
      <c r="K91"/>
    </row>
    <row r="92" spans="1:11" x14ac:dyDescent="0.25">
      <c r="A92"/>
      <c r="B92"/>
      <c r="C92"/>
      <c r="D92"/>
      <c r="E92"/>
      <c r="F92"/>
      <c r="G92"/>
      <c r="H92"/>
      <c r="I92"/>
      <c r="J92"/>
      <c r="K92"/>
    </row>
    <row r="93" spans="1:11" x14ac:dyDescent="0.25">
      <c r="A93"/>
      <c r="B93"/>
      <c r="C93"/>
      <c r="D93"/>
      <c r="E93"/>
      <c r="F93"/>
      <c r="G93"/>
      <c r="H93"/>
      <c r="I93"/>
      <c r="J93"/>
      <c r="K93"/>
    </row>
    <row r="94" spans="1:11" x14ac:dyDescent="0.25">
      <c r="A94"/>
      <c r="B94"/>
      <c r="C94"/>
      <c r="D94"/>
      <c r="E94"/>
      <c r="F94"/>
      <c r="G94"/>
      <c r="H94"/>
      <c r="I94"/>
      <c r="J94"/>
      <c r="K94"/>
    </row>
    <row r="95" spans="1:11" x14ac:dyDescent="0.25">
      <c r="A95"/>
      <c r="B95"/>
      <c r="C95"/>
      <c r="D95"/>
      <c r="E95"/>
      <c r="F95"/>
      <c r="G95"/>
      <c r="H95"/>
      <c r="I95"/>
      <c r="J95"/>
      <c r="K95"/>
    </row>
    <row r="96" spans="1:11" x14ac:dyDescent="0.25">
      <c r="A96"/>
      <c r="B96"/>
      <c r="C96"/>
      <c r="D96"/>
      <c r="E96"/>
      <c r="F96"/>
      <c r="G96"/>
      <c r="H96"/>
      <c r="I96"/>
      <c r="J96"/>
      <c r="K96"/>
    </row>
    <row r="97" spans="1:11" x14ac:dyDescent="0.25">
      <c r="A97"/>
      <c r="B97"/>
      <c r="C97"/>
      <c r="D97"/>
      <c r="E97"/>
      <c r="F97"/>
      <c r="G97"/>
      <c r="H97"/>
      <c r="I97"/>
      <c r="J97"/>
      <c r="K97"/>
    </row>
    <row r="98" spans="1:11" x14ac:dyDescent="0.25">
      <c r="A98"/>
      <c r="B98"/>
      <c r="C98"/>
      <c r="D98"/>
      <c r="E98"/>
      <c r="F98"/>
      <c r="G98"/>
      <c r="H98"/>
      <c r="I98"/>
      <c r="J98"/>
      <c r="K98"/>
    </row>
    <row r="99" spans="1:11" x14ac:dyDescent="0.25">
      <c r="A99"/>
      <c r="B99"/>
      <c r="C99"/>
      <c r="D99"/>
      <c r="E99"/>
      <c r="F99"/>
      <c r="G99"/>
      <c r="H99"/>
      <c r="I99"/>
      <c r="J99"/>
      <c r="K99"/>
    </row>
    <row r="100" spans="1:11" x14ac:dyDescent="0.25">
      <c r="A100"/>
      <c r="B100"/>
      <c r="C100"/>
      <c r="D100"/>
      <c r="E100"/>
      <c r="F100"/>
      <c r="G100"/>
      <c r="H100"/>
      <c r="I100"/>
      <c r="J100"/>
      <c r="K100"/>
    </row>
    <row r="101" spans="1:11" x14ac:dyDescent="0.25">
      <c r="A101"/>
      <c r="B101"/>
      <c r="C101"/>
      <c r="D101"/>
      <c r="E101"/>
      <c r="F101"/>
      <c r="G101"/>
      <c r="H101"/>
      <c r="I101"/>
      <c r="J101"/>
      <c r="K101"/>
    </row>
    <row r="102" spans="1:11" x14ac:dyDescent="0.25">
      <c r="A102"/>
      <c r="B102"/>
      <c r="C102"/>
      <c r="D102"/>
      <c r="E102"/>
      <c r="F102"/>
      <c r="G102"/>
      <c r="H102"/>
      <c r="I102"/>
      <c r="J102"/>
      <c r="K102"/>
    </row>
    <row r="103" spans="1:11" x14ac:dyDescent="0.25">
      <c r="A103"/>
      <c r="B103"/>
      <c r="C103"/>
      <c r="D103"/>
      <c r="E103"/>
      <c r="F103"/>
      <c r="G103"/>
      <c r="H103"/>
      <c r="I103"/>
      <c r="J103"/>
      <c r="K103"/>
    </row>
    <row r="104" spans="1:11" x14ac:dyDescent="0.25">
      <c r="A104"/>
      <c r="B104"/>
      <c r="C104"/>
      <c r="D104"/>
      <c r="E104"/>
      <c r="F104"/>
      <c r="G104"/>
      <c r="H104"/>
      <c r="I104"/>
      <c r="J104"/>
      <c r="K104"/>
    </row>
    <row r="105" spans="1:11" x14ac:dyDescent="0.25">
      <c r="A105"/>
      <c r="B105"/>
      <c r="C105"/>
      <c r="D105"/>
      <c r="E105"/>
      <c r="F105"/>
      <c r="G105"/>
      <c r="H105"/>
      <c r="I105"/>
      <c r="J105"/>
      <c r="K105"/>
    </row>
    <row r="106" spans="1:11" x14ac:dyDescent="0.25">
      <c r="A106"/>
      <c r="B106"/>
      <c r="C106"/>
      <c r="D106"/>
      <c r="E106"/>
      <c r="F106"/>
      <c r="G106"/>
      <c r="H106"/>
      <c r="I106"/>
      <c r="J106"/>
      <c r="K106"/>
    </row>
    <row r="107" spans="1:11" x14ac:dyDescent="0.25">
      <c r="A107"/>
      <c r="B107"/>
      <c r="C107"/>
      <c r="D107"/>
      <c r="E107"/>
      <c r="F107"/>
      <c r="G107"/>
      <c r="H107"/>
      <c r="I107"/>
      <c r="J107"/>
      <c r="K107"/>
    </row>
    <row r="108" spans="1:11" x14ac:dyDescent="0.25">
      <c r="A108"/>
      <c r="B108"/>
      <c r="C108"/>
      <c r="D108"/>
      <c r="E108"/>
      <c r="F108"/>
      <c r="G108"/>
      <c r="H108"/>
      <c r="I108"/>
      <c r="J108"/>
      <c r="K108"/>
    </row>
    <row r="109" spans="1:11" x14ac:dyDescent="0.25">
      <c r="A109"/>
      <c r="B109"/>
      <c r="C109"/>
      <c r="D109"/>
      <c r="E109"/>
      <c r="F109"/>
      <c r="G109"/>
      <c r="H109"/>
      <c r="I109"/>
      <c r="J109"/>
      <c r="K109"/>
    </row>
    <row r="110" spans="1:11" x14ac:dyDescent="0.25">
      <c r="A110"/>
      <c r="B110"/>
      <c r="C110"/>
      <c r="D110"/>
      <c r="E110"/>
      <c r="F110"/>
      <c r="G110"/>
      <c r="H110"/>
      <c r="I110"/>
      <c r="J110"/>
      <c r="K110"/>
    </row>
    <row r="111" spans="1:11" x14ac:dyDescent="0.25">
      <c r="A111"/>
      <c r="B111"/>
      <c r="C111"/>
      <c r="D111"/>
      <c r="E111"/>
      <c r="F111"/>
      <c r="G111"/>
      <c r="H111"/>
      <c r="I111"/>
      <c r="J111"/>
      <c r="K111"/>
    </row>
    <row r="112" spans="1:11" x14ac:dyDescent="0.25">
      <c r="A112"/>
      <c r="B112"/>
      <c r="C112"/>
      <c r="D112"/>
      <c r="E112"/>
      <c r="F112"/>
      <c r="G112"/>
      <c r="H112"/>
      <c r="I112"/>
      <c r="J112"/>
      <c r="K112"/>
    </row>
    <row r="113" spans="1:11" x14ac:dyDescent="0.25">
      <c r="A113"/>
      <c r="B113"/>
      <c r="C113"/>
      <c r="D113"/>
      <c r="E113"/>
      <c r="F113"/>
      <c r="G113"/>
      <c r="H113"/>
      <c r="I113"/>
      <c r="J113"/>
      <c r="K113"/>
    </row>
    <row r="114" spans="1:11" x14ac:dyDescent="0.25">
      <c r="A114"/>
      <c r="B114"/>
      <c r="C114"/>
      <c r="D114"/>
      <c r="E114"/>
      <c r="F114"/>
      <c r="G114"/>
      <c r="H114"/>
      <c r="I114"/>
      <c r="J114"/>
      <c r="K114"/>
    </row>
    <row r="115" spans="1:11" x14ac:dyDescent="0.25">
      <c r="A115"/>
      <c r="B115"/>
      <c r="C115"/>
      <c r="D115"/>
      <c r="E115"/>
      <c r="F115"/>
      <c r="G115"/>
      <c r="H115"/>
      <c r="I115"/>
      <c r="J115"/>
      <c r="K115"/>
    </row>
    <row r="116" spans="1:11" x14ac:dyDescent="0.25">
      <c r="A116"/>
      <c r="B116"/>
      <c r="C116"/>
      <c r="D116"/>
      <c r="E116"/>
      <c r="F116"/>
      <c r="G116"/>
      <c r="H116"/>
      <c r="I116"/>
      <c r="J116"/>
      <c r="K116"/>
    </row>
    <row r="117" spans="1:11" x14ac:dyDescent="0.25">
      <c r="A117"/>
      <c r="B117"/>
      <c r="C117"/>
      <c r="D117"/>
      <c r="E117"/>
      <c r="F117"/>
      <c r="G117"/>
      <c r="H117"/>
      <c r="I117"/>
      <c r="J117"/>
      <c r="K117"/>
    </row>
    <row r="118" spans="1:11" x14ac:dyDescent="0.25">
      <c r="A118"/>
      <c r="B118"/>
      <c r="C118"/>
      <c r="D118"/>
      <c r="E118"/>
      <c r="F118"/>
      <c r="G118"/>
      <c r="H118"/>
      <c r="I118"/>
      <c r="J118"/>
      <c r="K118"/>
    </row>
    <row r="119" spans="1:11" x14ac:dyDescent="0.25">
      <c r="A119"/>
      <c r="B119"/>
      <c r="C119"/>
      <c r="D119"/>
      <c r="E119"/>
      <c r="F119"/>
      <c r="G119"/>
      <c r="H119"/>
      <c r="I119"/>
      <c r="J119"/>
      <c r="K119"/>
    </row>
    <row r="120" spans="1:11" x14ac:dyDescent="0.25">
      <c r="A120"/>
      <c r="B120"/>
      <c r="C120"/>
      <c r="D120"/>
      <c r="E120"/>
      <c r="F120"/>
      <c r="G120"/>
      <c r="H120"/>
      <c r="I120"/>
      <c r="J120"/>
      <c r="K120"/>
    </row>
    <row r="121" spans="1:11" x14ac:dyDescent="0.25">
      <c r="A121"/>
      <c r="B121"/>
      <c r="C121"/>
      <c r="D121"/>
      <c r="E121"/>
      <c r="F121"/>
      <c r="G121"/>
      <c r="H121"/>
      <c r="I121"/>
      <c r="J121"/>
      <c r="K121"/>
    </row>
    <row r="122" spans="1:11" x14ac:dyDescent="0.25">
      <c r="A122"/>
      <c r="B122"/>
      <c r="C122"/>
      <c r="D122"/>
      <c r="E122"/>
      <c r="F122"/>
      <c r="G122"/>
      <c r="H122"/>
      <c r="I122"/>
      <c r="J122"/>
      <c r="K122"/>
    </row>
    <row r="123" spans="1:11" x14ac:dyDescent="0.25">
      <c r="A123"/>
      <c r="B123"/>
      <c r="C123"/>
      <c r="D123"/>
      <c r="E123"/>
      <c r="F123"/>
      <c r="G123"/>
      <c r="H123"/>
      <c r="I123"/>
      <c r="J123"/>
      <c r="K123"/>
    </row>
    <row r="124" spans="1:11" x14ac:dyDescent="0.25">
      <c r="A124"/>
      <c r="B124"/>
      <c r="C124"/>
      <c r="D124"/>
      <c r="E124"/>
      <c r="F124"/>
      <c r="G124"/>
      <c r="H124"/>
      <c r="I124"/>
      <c r="J124"/>
      <c r="K124"/>
    </row>
    <row r="125" spans="1:11" x14ac:dyDescent="0.25">
      <c r="A125"/>
      <c r="B125"/>
      <c r="C125"/>
      <c r="D125"/>
      <c r="E125"/>
      <c r="F125"/>
      <c r="G125"/>
      <c r="H125"/>
      <c r="I125"/>
      <c r="J125"/>
      <c r="K125"/>
    </row>
    <row r="126" spans="1:11" x14ac:dyDescent="0.25">
      <c r="A126"/>
      <c r="B126"/>
      <c r="C126"/>
      <c r="D126"/>
      <c r="E126"/>
      <c r="F126"/>
      <c r="G126"/>
      <c r="H126"/>
      <c r="I126"/>
      <c r="J126"/>
      <c r="K126"/>
    </row>
    <row r="127" spans="1:11" x14ac:dyDescent="0.25">
      <c r="A127"/>
      <c r="B127"/>
      <c r="C127"/>
      <c r="D127"/>
      <c r="E127"/>
      <c r="F127"/>
      <c r="G127"/>
      <c r="H127"/>
      <c r="I127"/>
      <c r="J127"/>
      <c r="K127"/>
    </row>
    <row r="128" spans="1:11" x14ac:dyDescent="0.25">
      <c r="A128"/>
      <c r="B128"/>
      <c r="C128"/>
      <c r="D128"/>
      <c r="E128"/>
      <c r="F128"/>
      <c r="G128"/>
      <c r="H128"/>
      <c r="I128"/>
      <c r="J128"/>
      <c r="K128"/>
    </row>
    <row r="129" spans="1:11" x14ac:dyDescent="0.25">
      <c r="A129"/>
      <c r="B129"/>
      <c r="C129"/>
      <c r="D129"/>
      <c r="E129"/>
      <c r="F129"/>
      <c r="G129"/>
      <c r="H129"/>
      <c r="I129"/>
      <c r="J129"/>
      <c r="K129"/>
    </row>
    <row r="130" spans="1:11" x14ac:dyDescent="0.25">
      <c r="A130"/>
      <c r="B130"/>
      <c r="C130"/>
      <c r="D130"/>
      <c r="E130"/>
      <c r="F130"/>
      <c r="G130"/>
      <c r="H130"/>
      <c r="I130"/>
      <c r="J130"/>
      <c r="K130"/>
    </row>
    <row r="131" spans="1:11" x14ac:dyDescent="0.25">
      <c r="A131"/>
      <c r="B131"/>
      <c r="C131"/>
      <c r="D131"/>
      <c r="E131"/>
      <c r="F131"/>
      <c r="G131"/>
      <c r="H131"/>
      <c r="I131"/>
      <c r="J131"/>
      <c r="K131"/>
    </row>
    <row r="132" spans="1:11" x14ac:dyDescent="0.25">
      <c r="A132"/>
      <c r="B132"/>
      <c r="C132"/>
      <c r="D132"/>
      <c r="E132"/>
      <c r="F132"/>
      <c r="G132"/>
      <c r="H132"/>
      <c r="I132"/>
      <c r="J132"/>
      <c r="K132"/>
    </row>
    <row r="133" spans="1:11" x14ac:dyDescent="0.25">
      <c r="A133"/>
      <c r="B133"/>
      <c r="C133"/>
      <c r="D133"/>
      <c r="E133"/>
      <c r="F133"/>
      <c r="G133"/>
      <c r="H133"/>
      <c r="I133"/>
      <c r="J133"/>
      <c r="K133"/>
    </row>
    <row r="134" spans="1:11" x14ac:dyDescent="0.25">
      <c r="A134"/>
      <c r="B134"/>
      <c r="C134"/>
      <c r="D134"/>
      <c r="E134"/>
      <c r="F134"/>
      <c r="G134"/>
      <c r="H134"/>
      <c r="I134"/>
      <c r="J134"/>
      <c r="K134"/>
    </row>
    <row r="135" spans="1:11" x14ac:dyDescent="0.25">
      <c r="A135"/>
      <c r="B135"/>
      <c r="C135"/>
      <c r="D135"/>
      <c r="E135"/>
      <c r="F135"/>
      <c r="G135"/>
      <c r="H135"/>
      <c r="I135"/>
      <c r="J135"/>
      <c r="K135"/>
    </row>
    <row r="136" spans="1:11" x14ac:dyDescent="0.25">
      <c r="A136"/>
      <c r="B136"/>
      <c r="C136"/>
      <c r="D136"/>
      <c r="E136"/>
      <c r="F136"/>
      <c r="G136"/>
      <c r="H136"/>
      <c r="I136"/>
      <c r="J136"/>
      <c r="K136"/>
    </row>
    <row r="137" spans="1:11" x14ac:dyDescent="0.25">
      <c r="A137"/>
      <c r="B137"/>
      <c r="C137"/>
      <c r="D137"/>
      <c r="E137"/>
      <c r="F137"/>
      <c r="G137"/>
      <c r="H137"/>
      <c r="I137"/>
      <c r="J137"/>
      <c r="K137"/>
    </row>
    <row r="138" spans="1:11" x14ac:dyDescent="0.25">
      <c r="A138"/>
      <c r="B138"/>
      <c r="C138"/>
      <c r="D138"/>
      <c r="E138"/>
      <c r="F138"/>
      <c r="G138"/>
      <c r="H138"/>
      <c r="I138"/>
      <c r="J138"/>
      <c r="K138"/>
    </row>
    <row r="139" spans="1:11" x14ac:dyDescent="0.25">
      <c r="A139"/>
      <c r="B139"/>
      <c r="C139"/>
      <c r="D139"/>
      <c r="E139"/>
      <c r="F139"/>
      <c r="G139"/>
      <c r="H139"/>
      <c r="I139"/>
      <c r="J139"/>
      <c r="K139"/>
    </row>
    <row r="140" spans="1:11" x14ac:dyDescent="0.25">
      <c r="A140"/>
      <c r="B140"/>
      <c r="C140"/>
      <c r="D140"/>
      <c r="E140"/>
      <c r="F140"/>
      <c r="G140"/>
      <c r="H140"/>
      <c r="I140"/>
      <c r="J140"/>
      <c r="K140"/>
    </row>
    <row r="141" spans="1:11" x14ac:dyDescent="0.25">
      <c r="A141"/>
      <c r="B141"/>
      <c r="C141"/>
      <c r="D141"/>
      <c r="E141"/>
      <c r="F141"/>
      <c r="G141"/>
      <c r="H141"/>
      <c r="I141"/>
      <c r="J141"/>
      <c r="K141"/>
    </row>
    <row r="142" spans="1:11" x14ac:dyDescent="0.25">
      <c r="A142"/>
      <c r="B142"/>
      <c r="C142"/>
      <c r="D142"/>
      <c r="E142"/>
      <c r="F142"/>
      <c r="G142"/>
      <c r="H142"/>
      <c r="I142"/>
      <c r="J142"/>
      <c r="K142"/>
    </row>
    <row r="143" spans="1:11" x14ac:dyDescent="0.25">
      <c r="A143"/>
      <c r="B143"/>
      <c r="C143"/>
      <c r="D143"/>
      <c r="E143"/>
      <c r="F143"/>
      <c r="G143"/>
      <c r="H143"/>
      <c r="I143"/>
      <c r="J143"/>
      <c r="K143"/>
    </row>
    <row r="144" spans="1:11" x14ac:dyDescent="0.25">
      <c r="A144"/>
      <c r="B144"/>
      <c r="C144"/>
      <c r="D144"/>
      <c r="E144"/>
      <c r="F144"/>
      <c r="G144"/>
      <c r="H144"/>
      <c r="I144"/>
      <c r="J144"/>
      <c r="K144"/>
    </row>
  </sheetData>
  <sortState ref="A24:A38">
    <sortCondition ref="A24"/>
  </sortState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</vt:lpstr>
      <vt:lpstr>Conformance</vt:lpstr>
      <vt:lpstr>Tardy tracker</vt:lpstr>
      <vt:lpstr>Summary</vt:lpstr>
      <vt:lpstr>Total</vt:lpstr>
      <vt:lpstr>PIV</vt:lpstr>
    </vt:vector>
  </TitlesOfParts>
  <Company>Atheel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Ali EzzElDin Ali</cp:lastModifiedBy>
  <cp:lastPrinted>2024-10-13T15:00:41Z</cp:lastPrinted>
  <dcterms:created xsi:type="dcterms:W3CDTF">2017-05-10T05:05:14Z</dcterms:created>
  <dcterms:modified xsi:type="dcterms:W3CDTF">2025-12-14T17:09:00Z</dcterms:modified>
</cp:coreProperties>
</file>